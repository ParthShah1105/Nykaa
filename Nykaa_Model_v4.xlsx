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Claude cowork\Nykaa\"/>
    </mc:Choice>
  </mc:AlternateContent>
  <xr:revisionPtr revIDLastSave="0" documentId="13_ncr:1_{4990BCFB-B87D-4EA3-AF95-EF2849427971}" xr6:coauthVersionLast="47" xr6:coauthVersionMax="47" xr10:uidLastSave="{00000000-0000-0000-0000-000000000000}"/>
  <bookViews>
    <workbookView xWindow="-108" yWindow="-108" windowWidth="23256" windowHeight="13896" activeTab="3" xr2:uid="{00000000-000D-0000-FFFF-FFFF00000000}"/>
  </bookViews>
  <sheets>
    <sheet name="Projections" sheetId="1" r:id="rId1"/>
    <sheet name="Raw Data - financials" sheetId="2" r:id="rId2"/>
    <sheet name="Raw Data - Ops KPIs" sheetId="3" r:id="rId3"/>
    <sheet name="Financial Statements" sheetId="4" r:id="rId4"/>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27" i="4" l="1"/>
  <c r="AC127" i="4"/>
  <c r="AJ126" i="4"/>
  <c r="AI126" i="4"/>
  <c r="AH126" i="4"/>
  <c r="AG126" i="4"/>
  <c r="AF126" i="4"/>
  <c r="AE126" i="4"/>
  <c r="AD126" i="4"/>
  <c r="AC126" i="4"/>
  <c r="AJ122" i="4"/>
  <c r="AJ123" i="4" s="1"/>
  <c r="AI122" i="4"/>
  <c r="AH122" i="4"/>
  <c r="AG122" i="4"/>
  <c r="AF122" i="4"/>
  <c r="AE122" i="4"/>
  <c r="AD122" i="4"/>
  <c r="AC122" i="4"/>
  <c r="AJ121" i="4"/>
  <c r="AI121" i="4"/>
  <c r="AH121" i="4"/>
  <c r="AG121" i="4"/>
  <c r="AF121" i="4"/>
  <c r="AE121" i="4"/>
  <c r="AD121" i="4"/>
  <c r="AC121" i="4"/>
  <c r="AJ120" i="4"/>
  <c r="AI120" i="4"/>
  <c r="AH120" i="4"/>
  <c r="AG120" i="4"/>
  <c r="AF120" i="4"/>
  <c r="AE120" i="4"/>
  <c r="AD120" i="4"/>
  <c r="AC120" i="4"/>
  <c r="AJ119" i="4"/>
  <c r="AI119" i="4"/>
  <c r="AI123" i="4" s="1"/>
  <c r="AH119" i="4"/>
  <c r="AH123" i="4" s="1"/>
  <c r="AG119" i="4"/>
  <c r="AG123" i="4" s="1"/>
  <c r="AF119" i="4"/>
  <c r="AF123" i="4" s="1"/>
  <c r="AE119" i="4"/>
  <c r="AE123" i="4" s="1"/>
  <c r="AD119" i="4"/>
  <c r="AD123" i="4" s="1"/>
  <c r="AC119" i="4"/>
  <c r="AJ115" i="4"/>
  <c r="AI115" i="4"/>
  <c r="AI116" i="4" s="1"/>
  <c r="AH115" i="4"/>
  <c r="AH116" i="4" s="1"/>
  <c r="AG115" i="4"/>
  <c r="AF115" i="4"/>
  <c r="AE115" i="4"/>
  <c r="AD115" i="4"/>
  <c r="AC115" i="4"/>
  <c r="AJ114" i="4"/>
  <c r="AI114" i="4"/>
  <c r="AH114" i="4"/>
  <c r="AG114" i="4"/>
  <c r="AF114" i="4"/>
  <c r="AE114" i="4"/>
  <c r="AD114" i="4"/>
  <c r="AC114" i="4"/>
  <c r="AJ113" i="4"/>
  <c r="AI113" i="4"/>
  <c r="AH113" i="4"/>
  <c r="AG113" i="4"/>
  <c r="AF113" i="4"/>
  <c r="AE113" i="4"/>
  <c r="AE116" i="4" s="1"/>
  <c r="AD113" i="4"/>
  <c r="AC113" i="4"/>
  <c r="AJ112" i="4"/>
  <c r="AI112" i="4"/>
  <c r="AH112" i="4"/>
  <c r="AG112" i="4"/>
  <c r="AF112" i="4"/>
  <c r="AE112" i="4"/>
  <c r="AD112" i="4"/>
  <c r="AC112" i="4"/>
  <c r="AJ111" i="4"/>
  <c r="AI111" i="4"/>
  <c r="AH111" i="4"/>
  <c r="AG111" i="4"/>
  <c r="AF111" i="4"/>
  <c r="AE111" i="4"/>
  <c r="AD111" i="4"/>
  <c r="AC111" i="4"/>
  <c r="AJ107" i="4"/>
  <c r="AI107" i="4"/>
  <c r="AH107" i="4"/>
  <c r="AG107" i="4"/>
  <c r="AF107" i="4"/>
  <c r="AE107" i="4"/>
  <c r="AD107" i="4"/>
  <c r="AC107" i="4"/>
  <c r="AJ105" i="4"/>
  <c r="AI105" i="4"/>
  <c r="AH105" i="4"/>
  <c r="AG105" i="4"/>
  <c r="AF105" i="4"/>
  <c r="AE105" i="4"/>
  <c r="AD105" i="4"/>
  <c r="AC105" i="4"/>
  <c r="AJ103" i="4"/>
  <c r="AI103" i="4"/>
  <c r="AH103" i="4"/>
  <c r="AG103" i="4"/>
  <c r="AF103" i="4"/>
  <c r="AE103" i="4"/>
  <c r="AD103" i="4"/>
  <c r="AC103" i="4"/>
  <c r="AJ90" i="4"/>
  <c r="AI90" i="4"/>
  <c r="AH90" i="4"/>
  <c r="AG90" i="4"/>
  <c r="AF90" i="4"/>
  <c r="AE90" i="4"/>
  <c r="AD90" i="4"/>
  <c r="AC90" i="4"/>
  <c r="W90" i="4"/>
  <c r="U90" i="4"/>
  <c r="S90" i="4"/>
  <c r="Q90" i="4"/>
  <c r="O90" i="4"/>
  <c r="M90" i="4"/>
  <c r="K90" i="4"/>
  <c r="I90" i="4"/>
  <c r="G90" i="4"/>
  <c r="E90" i="4"/>
  <c r="AJ89" i="4"/>
  <c r="AI89" i="4"/>
  <c r="AH89" i="4"/>
  <c r="AG89" i="4"/>
  <c r="AF89" i="4"/>
  <c r="AE89" i="4"/>
  <c r="AD89" i="4"/>
  <c r="AC89" i="4"/>
  <c r="W89" i="4"/>
  <c r="U89" i="4"/>
  <c r="U91" i="4" s="1"/>
  <c r="S89" i="4"/>
  <c r="Q89" i="4"/>
  <c r="O89" i="4"/>
  <c r="M89" i="4"/>
  <c r="K89" i="4"/>
  <c r="I89" i="4"/>
  <c r="G89" i="4"/>
  <c r="E89" i="4"/>
  <c r="AJ88" i="4"/>
  <c r="AI88" i="4"/>
  <c r="AH88" i="4"/>
  <c r="AG88" i="4"/>
  <c r="AF88" i="4"/>
  <c r="AE88" i="4"/>
  <c r="AD88" i="4"/>
  <c r="AC88" i="4"/>
  <c r="W88" i="4"/>
  <c r="U88" i="4"/>
  <c r="S88" i="4"/>
  <c r="Q88" i="4"/>
  <c r="O88" i="4"/>
  <c r="M88" i="4"/>
  <c r="K88" i="4"/>
  <c r="I88" i="4"/>
  <c r="G88" i="4"/>
  <c r="E88" i="4"/>
  <c r="AJ87" i="4"/>
  <c r="AI87" i="4"/>
  <c r="AH87" i="4"/>
  <c r="AG87" i="4"/>
  <c r="AF87" i="4"/>
  <c r="AE87" i="4"/>
  <c r="AD87" i="4"/>
  <c r="AC87" i="4"/>
  <c r="W87" i="4"/>
  <c r="U87" i="4"/>
  <c r="S87" i="4"/>
  <c r="Q87" i="4"/>
  <c r="O87" i="4"/>
  <c r="M87" i="4"/>
  <c r="K87" i="4"/>
  <c r="I87" i="4"/>
  <c r="G87" i="4"/>
  <c r="G91" i="4" s="1"/>
  <c r="E87" i="4"/>
  <c r="AJ86" i="4"/>
  <c r="AI86" i="4"/>
  <c r="AH86" i="4"/>
  <c r="AG86" i="4"/>
  <c r="AF86" i="4"/>
  <c r="AE86" i="4"/>
  <c r="AD86" i="4"/>
  <c r="AD91" i="4" s="1"/>
  <c r="AC86" i="4"/>
  <c r="W86" i="4"/>
  <c r="U86" i="4"/>
  <c r="S86" i="4"/>
  <c r="Q86" i="4"/>
  <c r="O86" i="4"/>
  <c r="M86" i="4"/>
  <c r="K86" i="4"/>
  <c r="I86" i="4"/>
  <c r="G86" i="4"/>
  <c r="E86" i="4"/>
  <c r="AJ85" i="4"/>
  <c r="AI85" i="4"/>
  <c r="AH85" i="4"/>
  <c r="AG85" i="4"/>
  <c r="AF85" i="4"/>
  <c r="AE85" i="4"/>
  <c r="AD85" i="4"/>
  <c r="AC85" i="4"/>
  <c r="W85" i="4"/>
  <c r="U85" i="4"/>
  <c r="S85" i="4"/>
  <c r="Q85" i="4"/>
  <c r="O85" i="4"/>
  <c r="M85" i="4"/>
  <c r="M91" i="4" s="1"/>
  <c r="K85" i="4"/>
  <c r="I85" i="4"/>
  <c r="G85" i="4"/>
  <c r="E85" i="4"/>
  <c r="AN84" i="4"/>
  <c r="AM84" i="4"/>
  <c r="AL84" i="4"/>
  <c r="AK84" i="4"/>
  <c r="AJ84" i="4"/>
  <c r="AI84" i="4"/>
  <c r="AH84" i="4"/>
  <c r="AG84" i="4"/>
  <c r="AF84" i="4"/>
  <c r="AE84" i="4"/>
  <c r="AD84" i="4"/>
  <c r="AC84" i="4"/>
  <c r="W84" i="4"/>
  <c r="U84" i="4"/>
  <c r="S84" i="4"/>
  <c r="Q84" i="4"/>
  <c r="O84" i="4"/>
  <c r="M84" i="4"/>
  <c r="K84" i="4"/>
  <c r="I84" i="4"/>
  <c r="G84" i="4"/>
  <c r="E84" i="4"/>
  <c r="AJ83" i="4"/>
  <c r="AI83" i="4"/>
  <c r="AH83" i="4"/>
  <c r="AG83" i="4"/>
  <c r="AF83" i="4"/>
  <c r="AE83" i="4"/>
  <c r="AD83" i="4"/>
  <c r="AC83" i="4"/>
  <c r="W83" i="4"/>
  <c r="W91" i="4" s="1"/>
  <c r="U83" i="4"/>
  <c r="S83" i="4"/>
  <c r="Q83" i="4"/>
  <c r="O83" i="4"/>
  <c r="M83" i="4"/>
  <c r="K83" i="4"/>
  <c r="I83" i="4"/>
  <c r="G83" i="4"/>
  <c r="E83" i="4"/>
  <c r="E91" i="4" s="1"/>
  <c r="AJ82" i="4"/>
  <c r="AI82" i="4"/>
  <c r="AH82" i="4"/>
  <c r="AG82" i="4"/>
  <c r="AF82" i="4"/>
  <c r="AE82" i="4"/>
  <c r="AD82" i="4"/>
  <c r="AC82" i="4"/>
  <c r="W82" i="4"/>
  <c r="U82" i="4"/>
  <c r="S82" i="4"/>
  <c r="S91" i="4" s="1"/>
  <c r="Q82" i="4"/>
  <c r="Q91" i="4" s="1"/>
  <c r="O82" i="4"/>
  <c r="M82" i="4"/>
  <c r="K82" i="4"/>
  <c r="I82" i="4"/>
  <c r="G82" i="4"/>
  <c r="E82" i="4"/>
  <c r="AH79" i="4"/>
  <c r="AE79" i="4"/>
  <c r="AD79" i="4"/>
  <c r="AD93" i="4" s="1"/>
  <c r="AJ78" i="4"/>
  <c r="AI78" i="4"/>
  <c r="AH78" i="4"/>
  <c r="AG78" i="4"/>
  <c r="AF78" i="4"/>
  <c r="AE78" i="4"/>
  <c r="AD78" i="4"/>
  <c r="AC78" i="4"/>
  <c r="W78" i="4"/>
  <c r="U78" i="4"/>
  <c r="S78" i="4"/>
  <c r="Q78" i="4"/>
  <c r="O78" i="4"/>
  <c r="M78" i="4"/>
  <c r="K78" i="4"/>
  <c r="I78" i="4"/>
  <c r="G78" i="4"/>
  <c r="E78" i="4"/>
  <c r="AJ77" i="4"/>
  <c r="AI77" i="4"/>
  <c r="AI79" i="4" s="1"/>
  <c r="AH77" i="4"/>
  <c r="AG77" i="4"/>
  <c r="AF77" i="4"/>
  <c r="AF79" i="4" s="1"/>
  <c r="AE77" i="4"/>
  <c r="AD77" i="4"/>
  <c r="AC77" i="4"/>
  <c r="W77" i="4"/>
  <c r="U77" i="4"/>
  <c r="S77" i="4"/>
  <c r="Q77" i="4"/>
  <c r="O77" i="4"/>
  <c r="M77" i="4"/>
  <c r="K77" i="4"/>
  <c r="I77" i="4"/>
  <c r="G77" i="4"/>
  <c r="G79" i="4" s="1"/>
  <c r="G93" i="4" s="1"/>
  <c r="E77" i="4"/>
  <c r="E79" i="4" s="1"/>
  <c r="AJ76" i="4"/>
  <c r="AI76" i="4"/>
  <c r="AH76" i="4"/>
  <c r="AG76" i="4"/>
  <c r="AF76" i="4"/>
  <c r="AE76" i="4"/>
  <c r="AD76" i="4"/>
  <c r="AC76" i="4"/>
  <c r="W76" i="4"/>
  <c r="U76" i="4"/>
  <c r="S76" i="4"/>
  <c r="Q76" i="4"/>
  <c r="O76" i="4"/>
  <c r="M76" i="4"/>
  <c r="K76" i="4"/>
  <c r="I76" i="4"/>
  <c r="G76" i="4"/>
  <c r="E76" i="4"/>
  <c r="AJ75" i="4"/>
  <c r="AJ79" i="4" s="1"/>
  <c r="AI75" i="4"/>
  <c r="AH75" i="4"/>
  <c r="AG75" i="4"/>
  <c r="AF75" i="4"/>
  <c r="AE75" i="4"/>
  <c r="AD75" i="4"/>
  <c r="AC75" i="4"/>
  <c r="W75" i="4"/>
  <c r="U75" i="4"/>
  <c r="U79" i="4" s="1"/>
  <c r="S75" i="4"/>
  <c r="S79" i="4" s="1"/>
  <c r="Q75" i="4"/>
  <c r="Q79" i="4" s="1"/>
  <c r="Q93" i="4" s="1"/>
  <c r="O75" i="4"/>
  <c r="O79" i="4" s="1"/>
  <c r="M75" i="4"/>
  <c r="M79" i="4" s="1"/>
  <c r="M93" i="4" s="1"/>
  <c r="K75" i="4"/>
  <c r="I75" i="4"/>
  <c r="G75" i="4"/>
  <c r="E75" i="4"/>
  <c r="AJ71" i="4"/>
  <c r="AI71" i="4"/>
  <c r="AH71" i="4"/>
  <c r="AG71" i="4"/>
  <c r="AF71" i="4"/>
  <c r="AE71" i="4"/>
  <c r="AD71" i="4"/>
  <c r="AC71" i="4"/>
  <c r="W71" i="4"/>
  <c r="U71" i="4"/>
  <c r="S71" i="4"/>
  <c r="Q71" i="4"/>
  <c r="O71" i="4"/>
  <c r="M71" i="4"/>
  <c r="K71" i="4"/>
  <c r="I71" i="4"/>
  <c r="G71" i="4"/>
  <c r="E71" i="4"/>
  <c r="AH70" i="4"/>
  <c r="AH72" i="4" s="1"/>
  <c r="AC70" i="4"/>
  <c r="AC72" i="4" s="1"/>
  <c r="W70" i="4"/>
  <c r="W72" i="4" s="1"/>
  <c r="Q70" i="4"/>
  <c r="Q72" i="4" s="1"/>
  <c r="K70" i="4"/>
  <c r="K72" i="4" s="1"/>
  <c r="I70" i="4"/>
  <c r="I72" i="4" s="1"/>
  <c r="AJ69" i="4"/>
  <c r="AI69" i="4"/>
  <c r="AH69" i="4"/>
  <c r="AG69" i="4"/>
  <c r="AF69" i="4"/>
  <c r="AF70" i="4" s="1"/>
  <c r="AF72" i="4" s="1"/>
  <c r="AE69" i="4"/>
  <c r="AE70" i="4" s="1"/>
  <c r="AE72" i="4" s="1"/>
  <c r="AD69" i="4"/>
  <c r="AD70" i="4" s="1"/>
  <c r="AD72" i="4" s="1"/>
  <c r="AC69" i="4"/>
  <c r="W69" i="4"/>
  <c r="U69" i="4"/>
  <c r="S69" i="4"/>
  <c r="Q69" i="4"/>
  <c r="O69" i="4"/>
  <c r="M69" i="4"/>
  <c r="K69" i="4"/>
  <c r="I69" i="4"/>
  <c r="G69" i="4"/>
  <c r="G70" i="4" s="1"/>
  <c r="G72" i="4" s="1"/>
  <c r="G94" i="4" s="1"/>
  <c r="E69" i="4"/>
  <c r="E70" i="4" s="1"/>
  <c r="E72" i="4" s="1"/>
  <c r="AJ68" i="4"/>
  <c r="AJ70" i="4" s="1"/>
  <c r="AI68" i="4"/>
  <c r="AH68" i="4"/>
  <c r="AG68" i="4"/>
  <c r="AG70" i="4" s="1"/>
  <c r="AG72" i="4" s="1"/>
  <c r="AF68" i="4"/>
  <c r="AE68" i="4"/>
  <c r="AD68" i="4"/>
  <c r="AC68" i="4"/>
  <c r="W68" i="4"/>
  <c r="U68" i="4"/>
  <c r="U70" i="4" s="1"/>
  <c r="U72" i="4" s="1"/>
  <c r="S68" i="4"/>
  <c r="S70" i="4" s="1"/>
  <c r="S72" i="4" s="1"/>
  <c r="Q68" i="4"/>
  <c r="O68" i="4"/>
  <c r="O70" i="4" s="1"/>
  <c r="O72" i="4" s="1"/>
  <c r="M68" i="4"/>
  <c r="K68" i="4"/>
  <c r="I68" i="4"/>
  <c r="G68" i="4"/>
  <c r="E68" i="4"/>
  <c r="AJ61" i="4"/>
  <c r="AI61" i="4"/>
  <c r="AH61" i="4"/>
  <c r="AG61" i="4"/>
  <c r="AF61" i="4"/>
  <c r="AE61" i="4"/>
  <c r="AD61" i="4"/>
  <c r="AC61" i="4"/>
  <c r="W61" i="4"/>
  <c r="U61" i="4"/>
  <c r="S61" i="4"/>
  <c r="Q61" i="4"/>
  <c r="O61" i="4"/>
  <c r="M61" i="4"/>
  <c r="K61" i="4"/>
  <c r="I61" i="4"/>
  <c r="G61" i="4"/>
  <c r="E61" i="4"/>
  <c r="AJ60" i="4"/>
  <c r="AI60" i="4"/>
  <c r="AH60" i="4"/>
  <c r="AG60" i="4"/>
  <c r="AF60" i="4"/>
  <c r="AE60" i="4"/>
  <c r="AD60" i="4"/>
  <c r="AC60" i="4"/>
  <c r="W60" i="4"/>
  <c r="U60" i="4"/>
  <c r="S60" i="4"/>
  <c r="Q60" i="4"/>
  <c r="O60" i="4"/>
  <c r="M60" i="4"/>
  <c r="K60" i="4"/>
  <c r="I60" i="4"/>
  <c r="G60" i="4"/>
  <c r="E60" i="4"/>
  <c r="AJ59" i="4"/>
  <c r="AI59" i="4"/>
  <c r="AH59" i="4"/>
  <c r="AG59" i="4"/>
  <c r="AF59" i="4"/>
  <c r="AE59" i="4"/>
  <c r="AD59" i="4"/>
  <c r="AC59" i="4"/>
  <c r="W59" i="4"/>
  <c r="U59" i="4"/>
  <c r="S59" i="4"/>
  <c r="Q59" i="4"/>
  <c r="O59" i="4"/>
  <c r="M59" i="4"/>
  <c r="K59" i="4"/>
  <c r="I59" i="4"/>
  <c r="G59" i="4"/>
  <c r="E59" i="4"/>
  <c r="AJ58" i="4"/>
  <c r="AI58" i="4"/>
  <c r="AH58" i="4"/>
  <c r="AG58" i="4"/>
  <c r="AF58" i="4"/>
  <c r="AE58" i="4"/>
  <c r="AD58" i="4"/>
  <c r="AC58" i="4"/>
  <c r="W58" i="4"/>
  <c r="U58" i="4"/>
  <c r="S58" i="4"/>
  <c r="Q58" i="4"/>
  <c r="O58" i="4"/>
  <c r="M58" i="4"/>
  <c r="K58" i="4"/>
  <c r="I58" i="4"/>
  <c r="G58" i="4"/>
  <c r="E58" i="4"/>
  <c r="AJ57" i="4"/>
  <c r="AK127" i="4" s="1"/>
  <c r="AI57" i="4"/>
  <c r="AJ127" i="4" s="1"/>
  <c r="AH57" i="4"/>
  <c r="AI127" i="4" s="1"/>
  <c r="AG57" i="4"/>
  <c r="AH127" i="4" s="1"/>
  <c r="AF57" i="4"/>
  <c r="AG127" i="4" s="1"/>
  <c r="AE57" i="4"/>
  <c r="AF127" i="4" s="1"/>
  <c r="AD57" i="4"/>
  <c r="AE127" i="4" s="1"/>
  <c r="AC57" i="4"/>
  <c r="W57" i="4"/>
  <c r="U57" i="4"/>
  <c r="S57" i="4"/>
  <c r="Q57" i="4"/>
  <c r="O57" i="4"/>
  <c r="M57" i="4"/>
  <c r="K57" i="4"/>
  <c r="I57" i="4"/>
  <c r="G57" i="4"/>
  <c r="E57" i="4"/>
  <c r="AJ56" i="4"/>
  <c r="AJ62" i="4" s="1"/>
  <c r="AI56" i="4"/>
  <c r="AH56" i="4"/>
  <c r="AG56" i="4"/>
  <c r="AF56" i="4"/>
  <c r="AE56" i="4"/>
  <c r="AD56" i="4"/>
  <c r="AC56" i="4"/>
  <c r="W56" i="4"/>
  <c r="U56" i="4"/>
  <c r="S56" i="4"/>
  <c r="Q56" i="4"/>
  <c r="O56" i="4"/>
  <c r="O62" i="4" s="1"/>
  <c r="M56" i="4"/>
  <c r="K56" i="4"/>
  <c r="I56" i="4"/>
  <c r="I62" i="4" s="1"/>
  <c r="G56" i="4"/>
  <c r="G62" i="4" s="1"/>
  <c r="E56" i="4"/>
  <c r="AJ55" i="4"/>
  <c r="AI55" i="4"/>
  <c r="AH55" i="4"/>
  <c r="AG55" i="4"/>
  <c r="AF55" i="4"/>
  <c r="AE55" i="4"/>
  <c r="AD55" i="4"/>
  <c r="AC55" i="4"/>
  <c r="W55" i="4"/>
  <c r="U55" i="4"/>
  <c r="S55" i="4"/>
  <c r="Q55" i="4"/>
  <c r="O55" i="4"/>
  <c r="M55" i="4"/>
  <c r="K55" i="4"/>
  <c r="I55" i="4"/>
  <c r="G55" i="4"/>
  <c r="E55" i="4"/>
  <c r="AJ54" i="4"/>
  <c r="AI54" i="4"/>
  <c r="AH54" i="4"/>
  <c r="AH62" i="4" s="1"/>
  <c r="AG54" i="4"/>
  <c r="AG62" i="4" s="1"/>
  <c r="AF54" i="4"/>
  <c r="AE54" i="4"/>
  <c r="AD54" i="4"/>
  <c r="AC54" i="4"/>
  <c r="W54" i="4"/>
  <c r="U54" i="4"/>
  <c r="S54" i="4"/>
  <c r="Q54" i="4"/>
  <c r="Q62" i="4" s="1"/>
  <c r="O54" i="4"/>
  <c r="M54" i="4"/>
  <c r="K54" i="4"/>
  <c r="K62" i="4" s="1"/>
  <c r="I54" i="4"/>
  <c r="G54" i="4"/>
  <c r="E54" i="4"/>
  <c r="AJ50" i="4"/>
  <c r="AI50" i="4"/>
  <c r="AH50" i="4"/>
  <c r="AG50" i="4"/>
  <c r="AF50" i="4"/>
  <c r="AE50" i="4"/>
  <c r="AD50" i="4"/>
  <c r="AC50" i="4"/>
  <c r="W50" i="4"/>
  <c r="U50" i="4"/>
  <c r="S50" i="4"/>
  <c r="Q50" i="4"/>
  <c r="O50" i="4"/>
  <c r="M50" i="4"/>
  <c r="K50" i="4"/>
  <c r="I50" i="4"/>
  <c r="G50" i="4"/>
  <c r="E50" i="4"/>
  <c r="AJ49" i="4"/>
  <c r="AI49" i="4"/>
  <c r="AH49" i="4"/>
  <c r="AG49" i="4"/>
  <c r="AF49" i="4"/>
  <c r="AE49" i="4"/>
  <c r="AD49" i="4"/>
  <c r="AC49" i="4"/>
  <c r="W49" i="4"/>
  <c r="U49" i="4"/>
  <c r="S49" i="4"/>
  <c r="Q49" i="4"/>
  <c r="O49" i="4"/>
  <c r="M49" i="4"/>
  <c r="K49" i="4"/>
  <c r="I49" i="4"/>
  <c r="G49" i="4"/>
  <c r="E49" i="4"/>
  <c r="AJ48" i="4"/>
  <c r="AI48" i="4"/>
  <c r="AH48" i="4"/>
  <c r="AG48" i="4"/>
  <c r="AF48" i="4"/>
  <c r="AE48" i="4"/>
  <c r="AD48" i="4"/>
  <c r="AC48" i="4"/>
  <c r="W48" i="4"/>
  <c r="U48" i="4"/>
  <c r="S48" i="4"/>
  <c r="Q48" i="4"/>
  <c r="O48" i="4"/>
  <c r="M48" i="4"/>
  <c r="K48" i="4"/>
  <c r="I48" i="4"/>
  <c r="G48" i="4"/>
  <c r="E48" i="4"/>
  <c r="AJ47" i="4"/>
  <c r="AI47" i="4"/>
  <c r="AH47" i="4"/>
  <c r="AG47" i="4"/>
  <c r="AF47" i="4"/>
  <c r="AE47" i="4"/>
  <c r="AD47" i="4"/>
  <c r="AC47" i="4"/>
  <c r="W47" i="4"/>
  <c r="U47" i="4"/>
  <c r="S47" i="4"/>
  <c r="Q47" i="4"/>
  <c r="O47" i="4"/>
  <c r="M47" i="4"/>
  <c r="K47" i="4"/>
  <c r="I47" i="4"/>
  <c r="G47" i="4"/>
  <c r="E47" i="4"/>
  <c r="AJ46" i="4"/>
  <c r="AI46" i="4"/>
  <c r="AH46" i="4"/>
  <c r="AG46" i="4"/>
  <c r="AF46" i="4"/>
  <c r="AE46" i="4"/>
  <c r="AD46" i="4"/>
  <c r="AC46" i="4"/>
  <c r="W46" i="4"/>
  <c r="U46" i="4"/>
  <c r="S46" i="4"/>
  <c r="Q46" i="4"/>
  <c r="O46" i="4"/>
  <c r="M46" i="4"/>
  <c r="K46" i="4"/>
  <c r="I46" i="4"/>
  <c r="G46" i="4"/>
  <c r="E46" i="4"/>
  <c r="AJ45" i="4"/>
  <c r="AI45" i="4"/>
  <c r="AH45" i="4"/>
  <c r="AG45" i="4"/>
  <c r="AF45" i="4"/>
  <c r="AE45" i="4"/>
  <c r="AD45" i="4"/>
  <c r="AC45" i="4"/>
  <c r="W45" i="4"/>
  <c r="U45" i="4"/>
  <c r="S45" i="4"/>
  <c r="Q45" i="4"/>
  <c r="O45" i="4"/>
  <c r="M45" i="4"/>
  <c r="K45" i="4"/>
  <c r="I45" i="4"/>
  <c r="G45" i="4"/>
  <c r="E45" i="4"/>
  <c r="AJ44" i="4"/>
  <c r="AI44" i="4"/>
  <c r="AH44" i="4"/>
  <c r="AG44" i="4"/>
  <c r="AF44" i="4"/>
  <c r="AE44" i="4"/>
  <c r="AD44" i="4"/>
  <c r="AC44" i="4"/>
  <c r="W44" i="4"/>
  <c r="U44" i="4"/>
  <c r="S44" i="4"/>
  <c r="Q44" i="4"/>
  <c r="O44" i="4"/>
  <c r="M44" i="4"/>
  <c r="K44" i="4"/>
  <c r="I44" i="4"/>
  <c r="G44" i="4"/>
  <c r="E44" i="4"/>
  <c r="AJ43" i="4"/>
  <c r="AI43" i="4"/>
  <c r="AH43" i="4"/>
  <c r="AG43" i="4"/>
  <c r="AF43" i="4"/>
  <c r="AE43" i="4"/>
  <c r="AD43" i="4"/>
  <c r="AC43" i="4"/>
  <c r="W43" i="4"/>
  <c r="U43" i="4"/>
  <c r="S43" i="4"/>
  <c r="Q43" i="4"/>
  <c r="O43" i="4"/>
  <c r="M43" i="4"/>
  <c r="K43" i="4"/>
  <c r="I43" i="4"/>
  <c r="G43" i="4"/>
  <c r="E43" i="4"/>
  <c r="AJ42" i="4"/>
  <c r="AI42" i="4"/>
  <c r="AH42" i="4"/>
  <c r="AG42" i="4"/>
  <c r="AF42" i="4"/>
  <c r="AE42" i="4"/>
  <c r="AD42" i="4"/>
  <c r="AC42" i="4"/>
  <c r="W42" i="4"/>
  <c r="U42" i="4"/>
  <c r="S42" i="4"/>
  <c r="Q42" i="4"/>
  <c r="O42" i="4"/>
  <c r="M42" i="4"/>
  <c r="K42" i="4"/>
  <c r="I42" i="4"/>
  <c r="G42" i="4"/>
  <c r="E42" i="4"/>
  <c r="AJ41" i="4"/>
  <c r="AI41" i="4"/>
  <c r="AI51" i="4" s="1"/>
  <c r="AH41" i="4"/>
  <c r="AG41" i="4"/>
  <c r="AF41" i="4"/>
  <c r="AE41" i="4"/>
  <c r="AD41" i="4"/>
  <c r="AC41" i="4"/>
  <c r="W41" i="4"/>
  <c r="U41" i="4"/>
  <c r="S41" i="4"/>
  <c r="Q41" i="4"/>
  <c r="O41" i="4"/>
  <c r="M41" i="4"/>
  <c r="K41" i="4"/>
  <c r="I41" i="4"/>
  <c r="G41" i="4"/>
  <c r="E41" i="4"/>
  <c r="AJ40" i="4"/>
  <c r="AI40" i="4"/>
  <c r="AH40" i="4"/>
  <c r="AG40" i="4"/>
  <c r="AF40" i="4"/>
  <c r="AE40" i="4"/>
  <c r="AD40" i="4"/>
  <c r="AC40" i="4"/>
  <c r="W40" i="4"/>
  <c r="U40" i="4"/>
  <c r="S40" i="4"/>
  <c r="Q40" i="4"/>
  <c r="O40" i="4"/>
  <c r="M40" i="4"/>
  <c r="K40" i="4"/>
  <c r="I40" i="4"/>
  <c r="G40" i="4"/>
  <c r="E40" i="4"/>
  <c r="AJ39" i="4"/>
  <c r="AI39" i="4"/>
  <c r="AH39" i="4"/>
  <c r="AG39" i="4"/>
  <c r="AF39" i="4"/>
  <c r="AE39" i="4"/>
  <c r="AE51" i="4" s="1"/>
  <c r="AD39" i="4"/>
  <c r="AD51" i="4" s="1"/>
  <c r="AC39" i="4"/>
  <c r="W39" i="4"/>
  <c r="U39" i="4"/>
  <c r="U51" i="4" s="1"/>
  <c r="S39" i="4"/>
  <c r="Q39" i="4"/>
  <c r="O39" i="4"/>
  <c r="M39" i="4"/>
  <c r="K39" i="4"/>
  <c r="I39" i="4"/>
  <c r="G39" i="4"/>
  <c r="E39" i="4"/>
  <c r="AJ38" i="4"/>
  <c r="AJ51" i="4" s="1"/>
  <c r="AI38" i="4"/>
  <c r="AH38" i="4"/>
  <c r="AG38" i="4"/>
  <c r="AF38" i="4"/>
  <c r="AE38" i="4"/>
  <c r="AD38" i="4"/>
  <c r="AC38" i="4"/>
  <c r="W38" i="4"/>
  <c r="U38" i="4"/>
  <c r="S38" i="4"/>
  <c r="Q38" i="4"/>
  <c r="Q51" i="4" s="1"/>
  <c r="Q64" i="4" s="1"/>
  <c r="O38" i="4"/>
  <c r="O51" i="4" s="1"/>
  <c r="M38" i="4"/>
  <c r="K38" i="4"/>
  <c r="I38" i="4"/>
  <c r="G38" i="4"/>
  <c r="E38" i="4"/>
  <c r="AF29" i="4"/>
  <c r="O29" i="4"/>
  <c r="M29" i="4"/>
  <c r="K29" i="4"/>
  <c r="J29" i="4"/>
  <c r="I29" i="4"/>
  <c r="AJ28" i="4"/>
  <c r="AI28" i="4"/>
  <c r="AH28" i="4"/>
  <c r="AG28" i="4"/>
  <c r="AF28" i="4"/>
  <c r="AE28" i="4"/>
  <c r="AD28" i="4"/>
  <c r="AD29" i="4" s="1"/>
  <c r="AC28" i="4"/>
  <c r="W28" i="4"/>
  <c r="V28" i="4"/>
  <c r="U28" i="4"/>
  <c r="T28" i="4"/>
  <c r="S28" i="4"/>
  <c r="R28" i="4"/>
  <c r="Q28" i="4"/>
  <c r="P28" i="4"/>
  <c r="O28" i="4"/>
  <c r="N28" i="4"/>
  <c r="M28" i="4"/>
  <c r="L28" i="4"/>
  <c r="K28" i="4"/>
  <c r="J28" i="4"/>
  <c r="I28" i="4"/>
  <c r="H28" i="4"/>
  <c r="G28" i="4"/>
  <c r="F28" i="4"/>
  <c r="E28" i="4"/>
  <c r="D28" i="4"/>
  <c r="AJ27" i="4"/>
  <c r="AI27" i="4"/>
  <c r="AH27" i="4"/>
  <c r="AG27" i="4"/>
  <c r="AF27" i="4"/>
  <c r="AE27" i="4"/>
  <c r="AD27" i="4"/>
  <c r="AC27" i="4"/>
  <c r="W27" i="4"/>
  <c r="V27" i="4"/>
  <c r="U27" i="4"/>
  <c r="T27" i="4"/>
  <c r="S27" i="4"/>
  <c r="R27" i="4"/>
  <c r="Q27" i="4"/>
  <c r="P27" i="4"/>
  <c r="O27" i="4"/>
  <c r="N27" i="4"/>
  <c r="N29" i="4" s="1"/>
  <c r="M27" i="4"/>
  <c r="L27" i="4"/>
  <c r="K27" i="4"/>
  <c r="J27" i="4"/>
  <c r="I27" i="4"/>
  <c r="H27" i="4"/>
  <c r="G27" i="4"/>
  <c r="F27" i="4"/>
  <c r="E27" i="4"/>
  <c r="D27" i="4"/>
  <c r="AJ26" i="4"/>
  <c r="AI26" i="4"/>
  <c r="AI29" i="4" s="1"/>
  <c r="AH26" i="4"/>
  <c r="AG26" i="4"/>
  <c r="AF26" i="4"/>
  <c r="AE26" i="4"/>
  <c r="AD26" i="4"/>
  <c r="AC26" i="4"/>
  <c r="AC29" i="4" s="1"/>
  <c r="W26" i="4"/>
  <c r="V26" i="4"/>
  <c r="U26" i="4"/>
  <c r="U29" i="4" s="1"/>
  <c r="T26" i="4"/>
  <c r="S26" i="4"/>
  <c r="R26" i="4"/>
  <c r="Q26" i="4"/>
  <c r="P26" i="4"/>
  <c r="O26" i="4"/>
  <c r="N26" i="4"/>
  <c r="M26" i="4"/>
  <c r="L26" i="4"/>
  <c r="L29" i="4" s="1"/>
  <c r="K26" i="4"/>
  <c r="J26" i="4"/>
  <c r="I26" i="4"/>
  <c r="H26" i="4"/>
  <c r="G26" i="4"/>
  <c r="F26" i="4"/>
  <c r="E26" i="4"/>
  <c r="D26" i="4"/>
  <c r="AJ25" i="4"/>
  <c r="AI25" i="4"/>
  <c r="AH25" i="4"/>
  <c r="AG25" i="4"/>
  <c r="AG29" i="4" s="1"/>
  <c r="AF25" i="4"/>
  <c r="AE25" i="4"/>
  <c r="AD25" i="4"/>
  <c r="AC25" i="4"/>
  <c r="W25" i="4"/>
  <c r="W29" i="4" s="1"/>
  <c r="V25" i="4"/>
  <c r="V29" i="4" s="1"/>
  <c r="U25" i="4"/>
  <c r="T25" i="4"/>
  <c r="T29" i="4" s="1"/>
  <c r="S25" i="4"/>
  <c r="R25" i="4"/>
  <c r="Q25" i="4"/>
  <c r="P25" i="4"/>
  <c r="P29" i="4" s="1"/>
  <c r="O25" i="4"/>
  <c r="N25" i="4"/>
  <c r="M25" i="4"/>
  <c r="L25" i="4"/>
  <c r="K25" i="4"/>
  <c r="J25" i="4"/>
  <c r="I25" i="4"/>
  <c r="H25" i="4"/>
  <c r="H29" i="4" s="1"/>
  <c r="G25" i="4"/>
  <c r="F25" i="4"/>
  <c r="E25" i="4"/>
  <c r="D25" i="4"/>
  <c r="D29" i="4" s="1"/>
  <c r="AJ21" i="4"/>
  <c r="AI21" i="4"/>
  <c r="AH21" i="4"/>
  <c r="AG21" i="4"/>
  <c r="AF21" i="4"/>
  <c r="AE21" i="4"/>
  <c r="AD21" i="4"/>
  <c r="AC21" i="4"/>
  <c r="W21" i="4"/>
  <c r="V21" i="4"/>
  <c r="U21" i="4"/>
  <c r="T21" i="4"/>
  <c r="S21" i="4"/>
  <c r="R21" i="4"/>
  <c r="Q21" i="4"/>
  <c r="P21" i="4"/>
  <c r="O21" i="4"/>
  <c r="N21" i="4"/>
  <c r="M21" i="4"/>
  <c r="L21" i="4"/>
  <c r="K21" i="4"/>
  <c r="J21" i="4"/>
  <c r="I21" i="4"/>
  <c r="H21" i="4"/>
  <c r="G21" i="4"/>
  <c r="F21" i="4"/>
  <c r="E21" i="4"/>
  <c r="D21" i="4"/>
  <c r="AJ13" i="4"/>
  <c r="AI13" i="4"/>
  <c r="AH13" i="4"/>
  <c r="AG13" i="4"/>
  <c r="AF13" i="4"/>
  <c r="AE13" i="4"/>
  <c r="AD13" i="4"/>
  <c r="AC13" i="4"/>
  <c r="W13" i="4"/>
  <c r="V13" i="4"/>
  <c r="U13" i="4"/>
  <c r="T13" i="4"/>
  <c r="S13" i="4"/>
  <c r="R13" i="4"/>
  <c r="Q13" i="4"/>
  <c r="P13" i="4"/>
  <c r="O13" i="4"/>
  <c r="N13" i="4"/>
  <c r="M13" i="4"/>
  <c r="L13" i="4"/>
  <c r="K13" i="4"/>
  <c r="J13" i="4"/>
  <c r="I13" i="4"/>
  <c r="H13" i="4"/>
  <c r="G13" i="4"/>
  <c r="F13" i="4"/>
  <c r="E13" i="4"/>
  <c r="D13" i="4"/>
  <c r="AJ12" i="4"/>
  <c r="AI12" i="4"/>
  <c r="AH12" i="4"/>
  <c r="AG12" i="4"/>
  <c r="AF12" i="4"/>
  <c r="AE12" i="4"/>
  <c r="AD12" i="4"/>
  <c r="AC12" i="4"/>
  <c r="W12" i="4"/>
  <c r="V12" i="4"/>
  <c r="U12" i="4"/>
  <c r="T12" i="4"/>
  <c r="S12" i="4"/>
  <c r="R12" i="4"/>
  <c r="Q12" i="4"/>
  <c r="P12" i="4"/>
  <c r="O12" i="4"/>
  <c r="N12" i="4"/>
  <c r="M12" i="4"/>
  <c r="L12" i="4"/>
  <c r="K12" i="4"/>
  <c r="J12" i="4"/>
  <c r="I12" i="4"/>
  <c r="H12" i="4"/>
  <c r="G12" i="4"/>
  <c r="F12" i="4"/>
  <c r="E12" i="4"/>
  <c r="D12" i="4"/>
  <c r="AJ11" i="4"/>
  <c r="AI11" i="4"/>
  <c r="AH11" i="4"/>
  <c r="AG11" i="4"/>
  <c r="AF11" i="4"/>
  <c r="AE11" i="4"/>
  <c r="AD11" i="4"/>
  <c r="AC11" i="4"/>
  <c r="W11" i="4"/>
  <c r="V11" i="4"/>
  <c r="U11" i="4"/>
  <c r="T11" i="4"/>
  <c r="S11" i="4"/>
  <c r="R11" i="4"/>
  <c r="Q11" i="4"/>
  <c r="P11" i="4"/>
  <c r="O11" i="4"/>
  <c r="N11" i="4"/>
  <c r="M11" i="4"/>
  <c r="L11" i="4"/>
  <c r="K11" i="4"/>
  <c r="J11" i="4"/>
  <c r="I11" i="4"/>
  <c r="H11" i="4"/>
  <c r="G11" i="4"/>
  <c r="F11" i="4"/>
  <c r="E11" i="4"/>
  <c r="D11" i="4"/>
  <c r="AJ6" i="4"/>
  <c r="AI6" i="4"/>
  <c r="AH6" i="4"/>
  <c r="AG6" i="4"/>
  <c r="AF6" i="4"/>
  <c r="AE6" i="4"/>
  <c r="AD6" i="4"/>
  <c r="AC6" i="4"/>
  <c r="W6" i="4"/>
  <c r="V6" i="4"/>
  <c r="U6" i="4"/>
  <c r="T6" i="4"/>
  <c r="S6" i="4"/>
  <c r="R6" i="4"/>
  <c r="Q6" i="4"/>
  <c r="P6" i="4"/>
  <c r="O6" i="4"/>
  <c r="N6" i="4"/>
  <c r="M6" i="4"/>
  <c r="L6" i="4"/>
  <c r="K6" i="4"/>
  <c r="J6" i="4"/>
  <c r="I6" i="4"/>
  <c r="H6" i="4"/>
  <c r="G6" i="4"/>
  <c r="F6" i="4"/>
  <c r="E6" i="4"/>
  <c r="D6" i="4"/>
  <c r="AN2" i="4"/>
  <c r="AM2" i="4"/>
  <c r="AL2" i="4"/>
  <c r="AK2" i="4"/>
  <c r="AJ2" i="4"/>
  <c r="AI2" i="4"/>
  <c r="AH2" i="4"/>
  <c r="AG2" i="4"/>
  <c r="AF2" i="4"/>
  <c r="AE2" i="4"/>
  <c r="AD2" i="4"/>
  <c r="AC2" i="4"/>
  <c r="F2" i="4"/>
  <c r="G2" i="4" s="1"/>
  <c r="H2" i="4" s="1"/>
  <c r="I2" i="4" s="1"/>
  <c r="J2" i="4" s="1"/>
  <c r="K2" i="4" s="1"/>
  <c r="L2" i="4" s="1"/>
  <c r="M2" i="4" s="1"/>
  <c r="N2" i="4" s="1"/>
  <c r="O2" i="4" s="1"/>
  <c r="P2" i="4" s="1"/>
  <c r="Q2" i="4" s="1"/>
  <c r="R2" i="4" s="1"/>
  <c r="S2" i="4" s="1"/>
  <c r="T2" i="4" s="1"/>
  <c r="U2" i="4" s="1"/>
  <c r="V2" i="4" s="1"/>
  <c r="W2" i="4" s="1"/>
  <c r="X2" i="4" s="1"/>
  <c r="Y2" i="4" s="1"/>
  <c r="Z2" i="4" s="1"/>
  <c r="AA2" i="4" s="1"/>
  <c r="D2" i="4"/>
  <c r="E2" i="4" s="1"/>
  <c r="AE155" i="3"/>
  <c r="AD155" i="3"/>
  <c r="J155" i="3"/>
  <c r="I155" i="3"/>
  <c r="H155" i="3"/>
  <c r="G155" i="3"/>
  <c r="F155" i="3"/>
  <c r="E155" i="3"/>
  <c r="AE154" i="3"/>
  <c r="AD154" i="3"/>
  <c r="AC154" i="3"/>
  <c r="AC155" i="3" s="1"/>
  <c r="AA154" i="3"/>
  <c r="AA155" i="3" s="1"/>
  <c r="Z154" i="3"/>
  <c r="Z155" i="3" s="1"/>
  <c r="Y154" i="3"/>
  <c r="Y155" i="3" s="1"/>
  <c r="X154" i="3"/>
  <c r="X155" i="3" s="1"/>
  <c r="O154" i="3"/>
  <c r="O155" i="3" s="1"/>
  <c r="K154" i="3"/>
  <c r="K155" i="3" s="1"/>
  <c r="J154" i="3"/>
  <c r="I154" i="3"/>
  <c r="H154" i="3"/>
  <c r="G154" i="3"/>
  <c r="F154" i="3"/>
  <c r="E154" i="3"/>
  <c r="D154" i="3"/>
  <c r="D155" i="3" s="1"/>
  <c r="Y150" i="3"/>
  <c r="X150" i="3"/>
  <c r="T150" i="3"/>
  <c r="K150" i="3"/>
  <c r="J150" i="3"/>
  <c r="I150" i="3"/>
  <c r="H150" i="3"/>
  <c r="G150" i="3"/>
  <c r="AF149" i="3"/>
  <c r="AF150" i="3" s="1"/>
  <c r="AE149" i="3"/>
  <c r="AE150" i="3" s="1"/>
  <c r="AD149" i="3"/>
  <c r="AD150" i="3" s="1"/>
  <c r="AC149" i="3"/>
  <c r="AC150" i="3" s="1"/>
  <c r="AA149" i="3"/>
  <c r="AA150" i="3" s="1"/>
  <c r="Z149" i="3"/>
  <c r="Z150" i="3" s="1"/>
  <c r="Y149" i="3"/>
  <c r="X149" i="3"/>
  <c r="Q149" i="3"/>
  <c r="Q150" i="3" s="1"/>
  <c r="P149" i="3"/>
  <c r="P150" i="3" s="1"/>
  <c r="O149" i="3"/>
  <c r="O150" i="3" s="1"/>
  <c r="K149" i="3"/>
  <c r="J149" i="3"/>
  <c r="I149" i="3"/>
  <c r="H149" i="3"/>
  <c r="G149" i="3"/>
  <c r="F149" i="3"/>
  <c r="F150" i="3" s="1"/>
  <c r="E149" i="3"/>
  <c r="E150" i="3" s="1"/>
  <c r="D149" i="3"/>
  <c r="D150" i="3" s="1"/>
  <c r="AJ142" i="3"/>
  <c r="AI142" i="3"/>
  <c r="AH142" i="3"/>
  <c r="AG142" i="3"/>
  <c r="AF142" i="3"/>
  <c r="AJ141" i="3"/>
  <c r="AI141" i="3"/>
  <c r="AH141" i="3"/>
  <c r="AG141" i="3"/>
  <c r="AF141" i="3"/>
  <c r="AJ140" i="3"/>
  <c r="AI140" i="3"/>
  <c r="AH140" i="3"/>
  <c r="AG140" i="3"/>
  <c r="AF140" i="3"/>
  <c r="AJ139" i="3"/>
  <c r="AI139" i="3"/>
  <c r="AH139" i="3"/>
  <c r="AG139" i="3"/>
  <c r="AF139" i="3"/>
  <c r="AJ138" i="3"/>
  <c r="AI138" i="3"/>
  <c r="AH138" i="3"/>
  <c r="AG138" i="3"/>
  <c r="AF138" i="3"/>
  <c r="J135" i="3"/>
  <c r="I135" i="3"/>
  <c r="AJ134" i="3"/>
  <c r="AJ92" i="1" s="1"/>
  <c r="AI134" i="3"/>
  <c r="AA134" i="3"/>
  <c r="Z134" i="3"/>
  <c r="Y134" i="3"/>
  <c r="X134" i="3"/>
  <c r="W134" i="3"/>
  <c r="V134" i="3"/>
  <c r="U134" i="3"/>
  <c r="T134" i="3"/>
  <c r="T92" i="1" s="1"/>
  <c r="S134" i="3"/>
  <c r="S92" i="1" s="1"/>
  <c r="R134" i="3"/>
  <c r="Q134" i="3"/>
  <c r="P134" i="3"/>
  <c r="O134" i="3"/>
  <c r="N134" i="3"/>
  <c r="M134" i="3"/>
  <c r="L134" i="3"/>
  <c r="K134" i="3"/>
  <c r="J134" i="3"/>
  <c r="I134" i="3"/>
  <c r="H134" i="3"/>
  <c r="H92" i="1" s="1"/>
  <c r="G134" i="3"/>
  <c r="G92" i="1" s="1"/>
  <c r="F134" i="3"/>
  <c r="E134" i="3"/>
  <c r="D134" i="3"/>
  <c r="V133" i="3"/>
  <c r="V135" i="3" s="1"/>
  <c r="T133" i="3"/>
  <c r="AA132" i="3"/>
  <c r="Z132" i="3"/>
  <c r="Y132" i="3"/>
  <c r="X132" i="3"/>
  <c r="W132" i="3"/>
  <c r="V132" i="3"/>
  <c r="U132" i="3"/>
  <c r="T132" i="3"/>
  <c r="S132" i="3"/>
  <c r="R132" i="3"/>
  <c r="Q132" i="3"/>
  <c r="P132" i="3"/>
  <c r="O132" i="3"/>
  <c r="N132" i="3"/>
  <c r="M132" i="3"/>
  <c r="L132" i="3"/>
  <c r="K132" i="3"/>
  <c r="J132" i="3"/>
  <c r="I132" i="3"/>
  <c r="H132" i="3"/>
  <c r="G132" i="3"/>
  <c r="F132" i="3"/>
  <c r="E132" i="3"/>
  <c r="D132" i="3"/>
  <c r="AA131" i="3"/>
  <c r="Z131" i="3"/>
  <c r="Y131" i="3"/>
  <c r="X131" i="3"/>
  <c r="W131" i="3"/>
  <c r="V131" i="3"/>
  <c r="U131" i="3"/>
  <c r="U133" i="3" s="1"/>
  <c r="U135" i="3" s="1"/>
  <c r="T131" i="3"/>
  <c r="S131" i="3"/>
  <c r="S133" i="3" s="1"/>
  <c r="R131" i="3"/>
  <c r="R133" i="3" s="1"/>
  <c r="R135" i="3" s="1"/>
  <c r="Q131" i="3"/>
  <c r="P131" i="3"/>
  <c r="O131" i="3"/>
  <c r="N131" i="3"/>
  <c r="M131" i="3"/>
  <c r="L131" i="3"/>
  <c r="K131" i="3"/>
  <c r="J131" i="3"/>
  <c r="I131" i="3"/>
  <c r="I133" i="3" s="1"/>
  <c r="H131" i="3"/>
  <c r="H133" i="3" s="1"/>
  <c r="G131" i="3"/>
  <c r="G133" i="3" s="1"/>
  <c r="F131" i="3"/>
  <c r="F133" i="3" s="1"/>
  <c r="F135" i="3" s="1"/>
  <c r="E131" i="3"/>
  <c r="D131" i="3"/>
  <c r="AA130" i="3"/>
  <c r="Z130" i="3"/>
  <c r="Y130" i="3"/>
  <c r="Y133" i="3" s="1"/>
  <c r="Y135" i="3" s="1"/>
  <c r="X130" i="3"/>
  <c r="X133" i="3" s="1"/>
  <c r="X135" i="3" s="1"/>
  <c r="W130" i="3"/>
  <c r="W133" i="3" s="1"/>
  <c r="W135" i="3" s="1"/>
  <c r="V130" i="3"/>
  <c r="U130" i="3"/>
  <c r="T130" i="3"/>
  <c r="S130" i="3"/>
  <c r="R130" i="3"/>
  <c r="Q130" i="3"/>
  <c r="P130" i="3"/>
  <c r="O130" i="3"/>
  <c r="N130" i="3"/>
  <c r="M130" i="3"/>
  <c r="M133" i="3" s="1"/>
  <c r="M135" i="3" s="1"/>
  <c r="L130" i="3"/>
  <c r="L133" i="3" s="1"/>
  <c r="L135" i="3" s="1"/>
  <c r="K130" i="3"/>
  <c r="K133" i="3" s="1"/>
  <c r="K135" i="3" s="1"/>
  <c r="J130" i="3"/>
  <c r="J133" i="3" s="1"/>
  <c r="I130" i="3"/>
  <c r="H130" i="3"/>
  <c r="G130" i="3"/>
  <c r="F130" i="3"/>
  <c r="E130" i="3"/>
  <c r="D130" i="3"/>
  <c r="AA129" i="3"/>
  <c r="Z129" i="3"/>
  <c r="Y129" i="3"/>
  <c r="X129" i="3"/>
  <c r="W129" i="3"/>
  <c r="V129" i="3"/>
  <c r="U129" i="3"/>
  <c r="T129" i="3"/>
  <c r="S129" i="3"/>
  <c r="R129" i="3"/>
  <c r="Q129" i="3"/>
  <c r="P129" i="3"/>
  <c r="O129" i="3"/>
  <c r="N129" i="3"/>
  <c r="M129" i="3"/>
  <c r="L129" i="3"/>
  <c r="K129" i="3"/>
  <c r="J129" i="3"/>
  <c r="I129" i="3"/>
  <c r="H129" i="3"/>
  <c r="G129" i="3"/>
  <c r="F129" i="3"/>
  <c r="E129" i="3"/>
  <c r="D129" i="3"/>
  <c r="AA128" i="3"/>
  <c r="Z128" i="3"/>
  <c r="Y128" i="3"/>
  <c r="X128" i="3"/>
  <c r="W128" i="3"/>
  <c r="V128" i="3"/>
  <c r="U128" i="3"/>
  <c r="T128" i="3"/>
  <c r="S128" i="3"/>
  <c r="R128" i="3"/>
  <c r="Q128" i="3"/>
  <c r="P128" i="3"/>
  <c r="O128" i="3"/>
  <c r="N128" i="3"/>
  <c r="M128" i="3"/>
  <c r="L128" i="3"/>
  <c r="K128" i="3"/>
  <c r="J128" i="3"/>
  <c r="I128" i="3"/>
  <c r="H128" i="3"/>
  <c r="G128" i="3"/>
  <c r="F128" i="3"/>
  <c r="E128" i="3"/>
  <c r="D128" i="3"/>
  <c r="Y127" i="3"/>
  <c r="P127" i="3"/>
  <c r="O127" i="3"/>
  <c r="N127" i="3"/>
  <c r="M127" i="3"/>
  <c r="AA126" i="3"/>
  <c r="AA127" i="3" s="1"/>
  <c r="Z126" i="3"/>
  <c r="Z127" i="3" s="1"/>
  <c r="Y126" i="3"/>
  <c r="X126" i="3"/>
  <c r="W126" i="3"/>
  <c r="W127" i="3" s="1"/>
  <c r="V126" i="3"/>
  <c r="V127" i="3" s="1"/>
  <c r="U126" i="3"/>
  <c r="U127" i="3" s="1"/>
  <c r="T126" i="3"/>
  <c r="S126" i="3"/>
  <c r="R126" i="3"/>
  <c r="Q126" i="3"/>
  <c r="P126" i="3"/>
  <c r="O126" i="3"/>
  <c r="S127" i="3" s="1"/>
  <c r="N126" i="3"/>
  <c r="R127" i="3" s="1"/>
  <c r="M126" i="3"/>
  <c r="Q127" i="3" s="1"/>
  <c r="L126" i="3"/>
  <c r="K126" i="3"/>
  <c r="K127" i="3" s="1"/>
  <c r="J126" i="3"/>
  <c r="J127" i="3" s="1"/>
  <c r="I126" i="3"/>
  <c r="I127" i="3" s="1"/>
  <c r="H126" i="3"/>
  <c r="G126" i="3"/>
  <c r="F126" i="3"/>
  <c r="E126" i="3"/>
  <c r="D126" i="3"/>
  <c r="AJ125" i="3"/>
  <c r="AI125" i="3"/>
  <c r="AH125" i="3"/>
  <c r="AG125" i="3"/>
  <c r="AF125" i="3"/>
  <c r="AJ124" i="3"/>
  <c r="AI124" i="3"/>
  <c r="AH124" i="3"/>
  <c r="AG124" i="3"/>
  <c r="AF124" i="3"/>
  <c r="AJ123" i="3"/>
  <c r="AI123" i="3"/>
  <c r="AH123" i="3"/>
  <c r="AG123" i="3"/>
  <c r="AF123" i="3"/>
  <c r="AJ119" i="3"/>
  <c r="AI119" i="3"/>
  <c r="AH119" i="3"/>
  <c r="AG119" i="3"/>
  <c r="AF119" i="3"/>
  <c r="AJ118" i="3"/>
  <c r="AI118" i="3"/>
  <c r="AH118" i="3"/>
  <c r="AG118" i="3"/>
  <c r="AF118" i="3"/>
  <c r="AJ117" i="3"/>
  <c r="AA117" i="3"/>
  <c r="Z117" i="3"/>
  <c r="Y117" i="3"/>
  <c r="X117" i="3"/>
  <c r="W117" i="3"/>
  <c r="V117" i="3"/>
  <c r="U117" i="3"/>
  <c r="T117" i="3"/>
  <c r="S117" i="3"/>
  <c r="R117" i="3"/>
  <c r="Q117" i="3"/>
  <c r="P117" i="3"/>
  <c r="O117" i="3"/>
  <c r="N117" i="3"/>
  <c r="M117" i="3"/>
  <c r="L117" i="3"/>
  <c r="K117" i="3"/>
  <c r="J117" i="3"/>
  <c r="I117" i="3"/>
  <c r="H117" i="3"/>
  <c r="G117" i="3"/>
  <c r="F117" i="3"/>
  <c r="E117" i="3"/>
  <c r="D117" i="3"/>
  <c r="AJ116" i="3"/>
  <c r="AI116" i="3"/>
  <c r="AI117" i="3" s="1"/>
  <c r="AH116" i="3"/>
  <c r="AH117" i="3" s="1"/>
  <c r="AG116" i="3"/>
  <c r="AG117" i="3" s="1"/>
  <c r="AF116" i="3"/>
  <c r="AF117" i="3" s="1"/>
  <c r="X114" i="3"/>
  <c r="V114" i="3"/>
  <c r="AA113" i="3"/>
  <c r="AA114" i="3" s="1"/>
  <c r="Z113" i="3"/>
  <c r="Z114" i="3" s="1"/>
  <c r="Y113" i="3"/>
  <c r="Y114" i="3" s="1"/>
  <c r="X113" i="3"/>
  <c r="V113" i="3"/>
  <c r="P113" i="3"/>
  <c r="P114" i="3" s="1"/>
  <c r="O113" i="3"/>
  <c r="O114" i="3" s="1"/>
  <c r="N113" i="3"/>
  <c r="N114" i="3" s="1"/>
  <c r="M113" i="3"/>
  <c r="M114" i="3" s="1"/>
  <c r="L113" i="3"/>
  <c r="L114" i="3" s="1"/>
  <c r="J113" i="3"/>
  <c r="J114" i="3" s="1"/>
  <c r="E113" i="3"/>
  <c r="E114" i="3" s="1"/>
  <c r="AJ112" i="3"/>
  <c r="AI112" i="3"/>
  <c r="AH112" i="3"/>
  <c r="AG112" i="3"/>
  <c r="AF112" i="3"/>
  <c r="AA111" i="3"/>
  <c r="Z111" i="3"/>
  <c r="Y111" i="3"/>
  <c r="X111" i="3"/>
  <c r="V111" i="3"/>
  <c r="L111" i="3"/>
  <c r="J111" i="3"/>
  <c r="AJ110" i="3"/>
  <c r="AA110" i="3"/>
  <c r="Z110" i="3"/>
  <c r="Y110" i="3"/>
  <c r="X110" i="3"/>
  <c r="W110" i="3"/>
  <c r="V110" i="3"/>
  <c r="U110" i="3"/>
  <c r="T110" i="3"/>
  <c r="S110" i="3"/>
  <c r="R110" i="3"/>
  <c r="Q110" i="3"/>
  <c r="Q111" i="3" s="1"/>
  <c r="P110" i="3"/>
  <c r="P111" i="3" s="1"/>
  <c r="O110" i="3"/>
  <c r="O111" i="3" s="1"/>
  <c r="N110" i="3"/>
  <c r="N111" i="3" s="1"/>
  <c r="M110" i="3"/>
  <c r="M111" i="3" s="1"/>
  <c r="L110" i="3"/>
  <c r="K110" i="3"/>
  <c r="J110" i="3"/>
  <c r="I110" i="3"/>
  <c r="H110" i="3"/>
  <c r="G110" i="3"/>
  <c r="F110" i="3"/>
  <c r="E110" i="3"/>
  <c r="E111" i="3" s="1"/>
  <c r="D110" i="3"/>
  <c r="D111" i="3" s="1"/>
  <c r="AJ109" i="3"/>
  <c r="AI109" i="3"/>
  <c r="AH109" i="3"/>
  <c r="AG109" i="3"/>
  <c r="AG74" i="1" s="1"/>
  <c r="AG71" i="1" s="1"/>
  <c r="AF109" i="3"/>
  <c r="AJ108" i="3"/>
  <c r="AI108" i="3"/>
  <c r="AH108" i="3"/>
  <c r="AG108" i="3"/>
  <c r="AF108" i="3"/>
  <c r="AJ107" i="3"/>
  <c r="AI107" i="3"/>
  <c r="AH107" i="3"/>
  <c r="AG107" i="3"/>
  <c r="AF107" i="3"/>
  <c r="AJ106" i="3"/>
  <c r="AI106" i="3"/>
  <c r="AH106" i="3"/>
  <c r="AG106" i="3"/>
  <c r="AF106" i="3"/>
  <c r="AA106" i="3"/>
  <c r="Z106" i="3"/>
  <c r="Y106" i="3"/>
  <c r="X106" i="3"/>
  <c r="W106" i="3"/>
  <c r="V106" i="3"/>
  <c r="U106" i="3"/>
  <c r="T106" i="3"/>
  <c r="S106" i="3"/>
  <c r="R106" i="3"/>
  <c r="Q106" i="3"/>
  <c r="P106" i="3"/>
  <c r="O106" i="3"/>
  <c r="N106" i="3"/>
  <c r="M106" i="3"/>
  <c r="L106" i="3"/>
  <c r="K106" i="3"/>
  <c r="J106" i="3"/>
  <c r="I106" i="3"/>
  <c r="H106" i="3"/>
  <c r="G106" i="3"/>
  <c r="F106" i="3"/>
  <c r="E106" i="3"/>
  <c r="D106" i="3"/>
  <c r="AJ105" i="3"/>
  <c r="AI105" i="3"/>
  <c r="AH105" i="3"/>
  <c r="AG105" i="3"/>
  <c r="AF105" i="3"/>
  <c r="AG104" i="3"/>
  <c r="AF104" i="3"/>
  <c r="AA104" i="3"/>
  <c r="Z104" i="3"/>
  <c r="Y104" i="3"/>
  <c r="X104" i="3"/>
  <c r="W104" i="3"/>
  <c r="V104" i="3"/>
  <c r="U104" i="3"/>
  <c r="T104" i="3"/>
  <c r="S104" i="3"/>
  <c r="R104" i="3"/>
  <c r="Q104" i="3"/>
  <c r="P104" i="3"/>
  <c r="O104" i="3"/>
  <c r="N104" i="3"/>
  <c r="M104" i="3"/>
  <c r="L104" i="3"/>
  <c r="K104" i="3"/>
  <c r="J104" i="3"/>
  <c r="I104" i="3"/>
  <c r="H104" i="3"/>
  <c r="G104" i="3"/>
  <c r="F104" i="3"/>
  <c r="E104" i="3"/>
  <c r="D104" i="3"/>
  <c r="AJ103" i="3"/>
  <c r="AI103" i="3"/>
  <c r="AI104" i="3" s="1"/>
  <c r="AH103" i="3"/>
  <c r="AG103" i="3"/>
  <c r="AF103" i="3"/>
  <c r="AF102" i="3"/>
  <c r="AA102" i="3"/>
  <c r="Z102" i="3"/>
  <c r="Y102" i="3"/>
  <c r="X102" i="3"/>
  <c r="W102" i="3"/>
  <c r="V102" i="3"/>
  <c r="U102" i="3"/>
  <c r="T102" i="3"/>
  <c r="S102" i="3"/>
  <c r="R102" i="3"/>
  <c r="Q102" i="3"/>
  <c r="P102" i="3"/>
  <c r="O102" i="3"/>
  <c r="N102" i="3"/>
  <c r="M102" i="3"/>
  <c r="L102" i="3"/>
  <c r="K102" i="3"/>
  <c r="J102" i="3"/>
  <c r="I102" i="3"/>
  <c r="H102" i="3"/>
  <c r="G102" i="3"/>
  <c r="F102" i="3"/>
  <c r="E102" i="3"/>
  <c r="D102" i="3"/>
  <c r="AJ101" i="3"/>
  <c r="AJ102" i="3" s="1"/>
  <c r="AI101" i="3"/>
  <c r="AI102" i="3" s="1"/>
  <c r="AH101" i="3"/>
  <c r="AH102" i="3" s="1"/>
  <c r="AG101" i="3"/>
  <c r="AG102" i="3" s="1"/>
  <c r="AF101" i="3"/>
  <c r="AA100" i="3"/>
  <c r="Z100" i="3"/>
  <c r="Y100" i="3"/>
  <c r="X100" i="3"/>
  <c r="W100" i="3"/>
  <c r="V100" i="3"/>
  <c r="U100" i="3"/>
  <c r="T100" i="3"/>
  <c r="S100" i="3"/>
  <c r="R100" i="3"/>
  <c r="Q100" i="3"/>
  <c r="P100" i="3"/>
  <c r="O100" i="3"/>
  <c r="N100" i="3"/>
  <c r="M100" i="3"/>
  <c r="L100" i="3"/>
  <c r="K100" i="3"/>
  <c r="J100" i="3"/>
  <c r="I100" i="3"/>
  <c r="H100" i="3"/>
  <c r="G100" i="3"/>
  <c r="F100" i="3"/>
  <c r="E100" i="3"/>
  <c r="AA99" i="3"/>
  <c r="Z99" i="3"/>
  <c r="Y99" i="3"/>
  <c r="X99" i="3"/>
  <c r="W99" i="3"/>
  <c r="V99" i="3"/>
  <c r="U99" i="3"/>
  <c r="T99" i="3"/>
  <c r="S99" i="3"/>
  <c r="R99" i="3"/>
  <c r="Q99" i="3"/>
  <c r="P99" i="3"/>
  <c r="O99" i="3"/>
  <c r="N99" i="3"/>
  <c r="M99" i="3"/>
  <c r="L99" i="3"/>
  <c r="K99" i="3"/>
  <c r="J99" i="3"/>
  <c r="I99" i="3"/>
  <c r="H99" i="3"/>
  <c r="AJ98" i="3"/>
  <c r="AI98" i="3"/>
  <c r="AH98" i="3"/>
  <c r="AG98" i="3"/>
  <c r="AG154" i="3" s="1"/>
  <c r="AG155" i="3" s="1"/>
  <c r="AF98" i="3"/>
  <c r="AF154" i="3" s="1"/>
  <c r="AF155" i="3" s="1"/>
  <c r="AJ97" i="3"/>
  <c r="AI97" i="3"/>
  <c r="AH97" i="3"/>
  <c r="AG97" i="3"/>
  <c r="AF97" i="3"/>
  <c r="V97" i="3"/>
  <c r="U97" i="3"/>
  <c r="T97" i="3"/>
  <c r="S97" i="3"/>
  <c r="R97" i="3"/>
  <c r="Q97" i="3"/>
  <c r="P97" i="3"/>
  <c r="O97" i="3"/>
  <c r="N97" i="3"/>
  <c r="M97" i="3"/>
  <c r="L97" i="3"/>
  <c r="K97" i="3"/>
  <c r="J97" i="3"/>
  <c r="I97" i="3"/>
  <c r="H97" i="3"/>
  <c r="G97" i="3"/>
  <c r="F97" i="3"/>
  <c r="E97" i="3"/>
  <c r="D97" i="3"/>
  <c r="AJ96" i="3"/>
  <c r="AI96" i="3"/>
  <c r="AH96" i="3"/>
  <c r="AG96" i="3"/>
  <c r="AF96" i="3"/>
  <c r="AA96" i="3"/>
  <c r="Z96" i="3"/>
  <c r="Y96" i="3"/>
  <c r="X96" i="3"/>
  <c r="V96" i="3"/>
  <c r="V154" i="3" s="1"/>
  <c r="V155" i="3" s="1"/>
  <c r="U96" i="3"/>
  <c r="U154" i="3" s="1"/>
  <c r="U155" i="3" s="1"/>
  <c r="T96" i="3"/>
  <c r="T154" i="3" s="1"/>
  <c r="T155" i="3" s="1"/>
  <c r="S96" i="3"/>
  <c r="S154" i="3" s="1"/>
  <c r="S155" i="3" s="1"/>
  <c r="R96" i="3"/>
  <c r="R154" i="3" s="1"/>
  <c r="R155" i="3" s="1"/>
  <c r="Q96" i="3"/>
  <c r="Q154" i="3" s="1"/>
  <c r="Q155" i="3" s="1"/>
  <c r="P96" i="3"/>
  <c r="P154" i="3" s="1"/>
  <c r="P155" i="3" s="1"/>
  <c r="O96" i="3"/>
  <c r="N96" i="3"/>
  <c r="N154" i="3" s="1"/>
  <c r="N155" i="3" s="1"/>
  <c r="M96" i="3"/>
  <c r="M154" i="3" s="1"/>
  <c r="M155" i="3" s="1"/>
  <c r="L96" i="3"/>
  <c r="L154" i="3" s="1"/>
  <c r="L155" i="3" s="1"/>
  <c r="K96" i="3"/>
  <c r="J96" i="3"/>
  <c r="I96" i="3"/>
  <c r="H96" i="3"/>
  <c r="G96" i="3"/>
  <c r="F96" i="3"/>
  <c r="E96" i="3"/>
  <c r="D96" i="3"/>
  <c r="AI95" i="3"/>
  <c r="AH95" i="3"/>
  <c r="AG95" i="3"/>
  <c r="AF95" i="3"/>
  <c r="W95" i="3"/>
  <c r="W94" i="3" s="1"/>
  <c r="AG94" i="3"/>
  <c r="AF94" i="3"/>
  <c r="AA94" i="3"/>
  <c r="Z94" i="3"/>
  <c r="Y94" i="3"/>
  <c r="X94" i="3"/>
  <c r="V94" i="3"/>
  <c r="U94" i="3"/>
  <c r="T94" i="3"/>
  <c r="S94" i="3"/>
  <c r="R94" i="3"/>
  <c r="Q94" i="3"/>
  <c r="P94" i="3"/>
  <c r="O94" i="3"/>
  <c r="N94" i="3"/>
  <c r="M94" i="3"/>
  <c r="L94" i="3"/>
  <c r="K94" i="3"/>
  <c r="J94" i="3"/>
  <c r="I94" i="3"/>
  <c r="H94" i="3"/>
  <c r="G94" i="3"/>
  <c r="F94" i="3"/>
  <c r="E94" i="3"/>
  <c r="D94" i="3"/>
  <c r="AJ93" i="3"/>
  <c r="AI93" i="3"/>
  <c r="AI92" i="3" s="1"/>
  <c r="AH93" i="3"/>
  <c r="AG93" i="3"/>
  <c r="AF93" i="3"/>
  <c r="AA92" i="3"/>
  <c r="Z92" i="3"/>
  <c r="Y92" i="3"/>
  <c r="X92" i="3"/>
  <c r="V92" i="3"/>
  <c r="U92" i="3"/>
  <c r="T92" i="3"/>
  <c r="S92" i="3"/>
  <c r="R92" i="3"/>
  <c r="Q92" i="3"/>
  <c r="P92" i="3"/>
  <c r="O92" i="3"/>
  <c r="N92" i="3"/>
  <c r="M92" i="3"/>
  <c r="L92" i="3"/>
  <c r="K92" i="3"/>
  <c r="J92" i="3"/>
  <c r="I92" i="3"/>
  <c r="H92" i="3"/>
  <c r="G92" i="3"/>
  <c r="F92" i="3"/>
  <c r="E92" i="3"/>
  <c r="D92" i="3"/>
  <c r="AJ91" i="3"/>
  <c r="AI91" i="3"/>
  <c r="AH91" i="3"/>
  <c r="AG91" i="3"/>
  <c r="AF91" i="3"/>
  <c r="AA91" i="3"/>
  <c r="Z91" i="3"/>
  <c r="Y91" i="3"/>
  <c r="X91" i="3"/>
  <c r="V91" i="3"/>
  <c r="U91" i="3"/>
  <c r="T91" i="3"/>
  <c r="S91" i="3"/>
  <c r="R91" i="3"/>
  <c r="Q91" i="3"/>
  <c r="P91" i="3"/>
  <c r="O91" i="3"/>
  <c r="N91" i="3"/>
  <c r="M91" i="3"/>
  <c r="L91" i="3"/>
  <c r="K91" i="3"/>
  <c r="J91" i="3"/>
  <c r="I91" i="3"/>
  <c r="H91" i="3"/>
  <c r="G91" i="3"/>
  <c r="F91" i="3"/>
  <c r="E91" i="3"/>
  <c r="D91" i="3"/>
  <c r="AI90" i="3"/>
  <c r="AG90" i="3"/>
  <c r="AF90" i="3"/>
  <c r="AI89" i="3"/>
  <c r="AH89" i="3"/>
  <c r="AG89" i="3"/>
  <c r="AG92" i="3" s="1"/>
  <c r="AF89" i="3"/>
  <c r="AF92" i="3" s="1"/>
  <c r="W89" i="3"/>
  <c r="AJ85" i="3"/>
  <c r="AI85" i="3"/>
  <c r="AH85" i="3"/>
  <c r="AG85" i="3"/>
  <c r="AF85" i="3"/>
  <c r="AJ84" i="3"/>
  <c r="AI84" i="3"/>
  <c r="AH84" i="3"/>
  <c r="AG84" i="3"/>
  <c r="AF84" i="3"/>
  <c r="AJ83" i="3"/>
  <c r="AI83" i="3"/>
  <c r="AH83" i="3"/>
  <c r="AG83" i="3"/>
  <c r="AF83" i="3"/>
  <c r="AJ82" i="3"/>
  <c r="AI82" i="3"/>
  <c r="AH82" i="3"/>
  <c r="AG82" i="3"/>
  <c r="AF82" i="3"/>
  <c r="AJ81" i="3"/>
  <c r="AI81" i="3"/>
  <c r="AH81" i="3"/>
  <c r="AG81" i="3"/>
  <c r="AF81" i="3"/>
  <c r="AI80" i="3"/>
  <c r="AH80" i="3"/>
  <c r="AA80" i="3"/>
  <c r="Z80" i="3"/>
  <c r="Y80" i="3"/>
  <c r="X80" i="3"/>
  <c r="W80" i="3"/>
  <c r="V80" i="3"/>
  <c r="U80" i="3"/>
  <c r="T80" i="3"/>
  <c r="S80" i="3"/>
  <c r="R80" i="3"/>
  <c r="Q80" i="3"/>
  <c r="P80" i="3"/>
  <c r="O80" i="3"/>
  <c r="N80" i="3"/>
  <c r="M80" i="3"/>
  <c r="L80" i="3"/>
  <c r="K80" i="3"/>
  <c r="J80" i="3"/>
  <c r="I80" i="3"/>
  <c r="H80" i="3"/>
  <c r="G80" i="3"/>
  <c r="F80" i="3"/>
  <c r="E80" i="3"/>
  <c r="D80" i="3"/>
  <c r="AA79" i="3"/>
  <c r="Z79" i="3"/>
  <c r="Y79" i="3"/>
  <c r="X79" i="3"/>
  <c r="W79" i="3"/>
  <c r="V79" i="3"/>
  <c r="U79" i="3"/>
  <c r="T79" i="3"/>
  <c r="S79" i="3"/>
  <c r="R79" i="3"/>
  <c r="Q79" i="3"/>
  <c r="P79" i="3"/>
  <c r="O79" i="3"/>
  <c r="N79" i="3"/>
  <c r="M79" i="3"/>
  <c r="L79" i="3"/>
  <c r="K79" i="3"/>
  <c r="J79" i="3"/>
  <c r="I79" i="3"/>
  <c r="H79" i="3"/>
  <c r="G79" i="3"/>
  <c r="F79" i="3"/>
  <c r="E79" i="3"/>
  <c r="D79" i="3"/>
  <c r="AJ77" i="3"/>
  <c r="AF77" i="3"/>
  <c r="AA77" i="3"/>
  <c r="Z77" i="3"/>
  <c r="Y77" i="3"/>
  <c r="X77" i="3"/>
  <c r="W77" i="3"/>
  <c r="V77" i="3"/>
  <c r="U77" i="3"/>
  <c r="T77" i="3"/>
  <c r="S77" i="3"/>
  <c r="R77" i="3"/>
  <c r="Q77" i="3"/>
  <c r="P77" i="3"/>
  <c r="O77" i="3"/>
  <c r="N77" i="3"/>
  <c r="M77" i="3"/>
  <c r="L77" i="3"/>
  <c r="K77" i="3"/>
  <c r="J77" i="3"/>
  <c r="I77" i="3"/>
  <c r="H77" i="3"/>
  <c r="G77" i="3"/>
  <c r="F77" i="3"/>
  <c r="E77" i="3"/>
  <c r="D77" i="3"/>
  <c r="AJ76" i="3"/>
  <c r="AI76" i="3"/>
  <c r="AH76" i="3"/>
  <c r="AG76" i="3"/>
  <c r="AF76" i="3"/>
  <c r="AG75" i="3"/>
  <c r="AA75" i="3"/>
  <c r="Z75" i="3"/>
  <c r="Y75" i="3"/>
  <c r="X75" i="3"/>
  <c r="W75" i="3"/>
  <c r="V75" i="3"/>
  <c r="U75" i="3"/>
  <c r="T75" i="3"/>
  <c r="S75" i="3"/>
  <c r="R75" i="3"/>
  <c r="Q75" i="3"/>
  <c r="P75" i="3"/>
  <c r="O75" i="3"/>
  <c r="N75" i="3"/>
  <c r="M75" i="3"/>
  <c r="L75" i="3"/>
  <c r="K75" i="3"/>
  <c r="J75" i="3"/>
  <c r="I75" i="3"/>
  <c r="H75" i="3"/>
  <c r="AJ74" i="3"/>
  <c r="AJ75" i="3" s="1"/>
  <c r="AI74" i="3"/>
  <c r="AI77" i="3" s="1"/>
  <c r="AH74" i="3"/>
  <c r="AH75" i="3" s="1"/>
  <c r="AG74" i="3"/>
  <c r="AF74" i="3"/>
  <c r="AF75" i="3" s="1"/>
  <c r="AJ70" i="3"/>
  <c r="AI70" i="3"/>
  <c r="AH70" i="3"/>
  <c r="AG70" i="3"/>
  <c r="AF70" i="3"/>
  <c r="AA69" i="3"/>
  <c r="Z69" i="3"/>
  <c r="Y69" i="3"/>
  <c r="Q69" i="3"/>
  <c r="P69" i="3"/>
  <c r="O69" i="3"/>
  <c r="N69" i="3"/>
  <c r="M69" i="3"/>
  <c r="E69" i="3"/>
  <c r="D69" i="3"/>
  <c r="AJ68" i="3"/>
  <c r="AJ69" i="3" s="1"/>
  <c r="AI68" i="3"/>
  <c r="AI69" i="3" s="1"/>
  <c r="AH68" i="3"/>
  <c r="AH69" i="3" s="1"/>
  <c r="AA68" i="3"/>
  <c r="Z68" i="3"/>
  <c r="Y68" i="3"/>
  <c r="X68" i="3"/>
  <c r="X69" i="3" s="1"/>
  <c r="W68" i="3"/>
  <c r="W69" i="3" s="1"/>
  <c r="V68" i="3"/>
  <c r="V69" i="3" s="1"/>
  <c r="U68" i="3"/>
  <c r="U69" i="3" s="1"/>
  <c r="T68" i="3"/>
  <c r="T69" i="3" s="1"/>
  <c r="S68" i="3"/>
  <c r="S69" i="3" s="1"/>
  <c r="R68" i="3"/>
  <c r="R69" i="3" s="1"/>
  <c r="Q68" i="3"/>
  <c r="P68" i="3"/>
  <c r="O68" i="3"/>
  <c r="N68" i="3"/>
  <c r="M68" i="3"/>
  <c r="L68" i="3"/>
  <c r="L69" i="3" s="1"/>
  <c r="K68" i="3"/>
  <c r="K69" i="3" s="1"/>
  <c r="J68" i="3"/>
  <c r="J69" i="3" s="1"/>
  <c r="I68" i="3"/>
  <c r="I69" i="3" s="1"/>
  <c r="H68" i="3"/>
  <c r="H69" i="3" s="1"/>
  <c r="G68" i="3"/>
  <c r="G69" i="3" s="1"/>
  <c r="F68" i="3"/>
  <c r="F69" i="3" s="1"/>
  <c r="E68" i="3"/>
  <c r="D68" i="3"/>
  <c r="AJ67" i="3"/>
  <c r="AI67" i="3"/>
  <c r="AH67" i="3"/>
  <c r="AG67" i="3"/>
  <c r="AF67" i="3"/>
  <c r="AJ66" i="3"/>
  <c r="AI66" i="3"/>
  <c r="AH66" i="3"/>
  <c r="AG66" i="3"/>
  <c r="AF66" i="3"/>
  <c r="AJ65" i="3"/>
  <c r="AI65" i="3"/>
  <c r="AH65" i="3"/>
  <c r="AG65" i="3"/>
  <c r="AF65" i="3"/>
  <c r="AJ64" i="3"/>
  <c r="AI64" i="3"/>
  <c r="AH64" i="3"/>
  <c r="AG64" i="3"/>
  <c r="AG68" i="3" s="1"/>
  <c r="AF64" i="3"/>
  <c r="AF68" i="3" s="1"/>
  <c r="AJ61" i="3"/>
  <c r="AI61" i="3"/>
  <c r="AH61" i="3"/>
  <c r="AG61" i="3"/>
  <c r="AF61" i="3"/>
  <c r="AJ60" i="3"/>
  <c r="AI60" i="3"/>
  <c r="AH60" i="3"/>
  <c r="AG60" i="3"/>
  <c r="AF60" i="3"/>
  <c r="AJ59" i="3"/>
  <c r="AI59" i="3"/>
  <c r="AH59" i="3"/>
  <c r="AG59" i="3"/>
  <c r="AF59" i="3"/>
  <c r="AJ58" i="3"/>
  <c r="AI58" i="3"/>
  <c r="AH58" i="3"/>
  <c r="AG58" i="3"/>
  <c r="AF58" i="3"/>
  <c r="T56" i="3"/>
  <c r="S56" i="3"/>
  <c r="R56" i="3"/>
  <c r="F56" i="3"/>
  <c r="Y55" i="3"/>
  <c r="Y56" i="3" s="1"/>
  <c r="X55" i="3"/>
  <c r="X56" i="3" s="1"/>
  <c r="V55" i="3"/>
  <c r="V56" i="3" s="1"/>
  <c r="U55" i="3"/>
  <c r="U56" i="3" s="1"/>
  <c r="T55" i="3"/>
  <c r="J55" i="3"/>
  <c r="J56" i="3" s="1"/>
  <c r="I55" i="3"/>
  <c r="I56" i="3" s="1"/>
  <c r="H55" i="3"/>
  <c r="H56" i="3" s="1"/>
  <c r="AJ54" i="3"/>
  <c r="AI54" i="3"/>
  <c r="AH54" i="3"/>
  <c r="AG54" i="3"/>
  <c r="AF54" i="3"/>
  <c r="V53" i="3"/>
  <c r="U53" i="3"/>
  <c r="T53" i="3"/>
  <c r="S53" i="3"/>
  <c r="R53" i="3"/>
  <c r="J53" i="3"/>
  <c r="I53" i="3"/>
  <c r="H53" i="3"/>
  <c r="G53" i="3"/>
  <c r="F53" i="3"/>
  <c r="AF52" i="3"/>
  <c r="AA52" i="3"/>
  <c r="Z52" i="3"/>
  <c r="Y52" i="3"/>
  <c r="Y53" i="3" s="1"/>
  <c r="X52" i="3"/>
  <c r="X53" i="3" s="1"/>
  <c r="W52" i="3"/>
  <c r="W55" i="3" s="1"/>
  <c r="W56" i="3" s="1"/>
  <c r="V52" i="3"/>
  <c r="U52" i="3"/>
  <c r="T52" i="3"/>
  <c r="S52" i="3"/>
  <c r="S55" i="3" s="1"/>
  <c r="R52" i="3"/>
  <c r="R55" i="3" s="1"/>
  <c r="Q52" i="3"/>
  <c r="Q53" i="3" s="1"/>
  <c r="P52" i="3"/>
  <c r="O52" i="3"/>
  <c r="N52" i="3"/>
  <c r="M52" i="3"/>
  <c r="L52" i="3"/>
  <c r="K52" i="3"/>
  <c r="K53" i="3" s="1"/>
  <c r="J52" i="3"/>
  <c r="I52" i="3"/>
  <c r="H52" i="3"/>
  <c r="G52" i="3"/>
  <c r="G55" i="3" s="1"/>
  <c r="G56" i="3" s="1"/>
  <c r="F52" i="3"/>
  <c r="F55" i="3" s="1"/>
  <c r="E52" i="3"/>
  <c r="E53" i="3" s="1"/>
  <c r="D52" i="3"/>
  <c r="AJ51" i="3"/>
  <c r="AI51" i="3"/>
  <c r="AH51" i="3"/>
  <c r="AG51" i="3"/>
  <c r="AF51" i="3"/>
  <c r="AJ50" i="3"/>
  <c r="AI50" i="3"/>
  <c r="AH50" i="3"/>
  <c r="AG50" i="3"/>
  <c r="AF50" i="3"/>
  <c r="AJ49" i="3"/>
  <c r="AI49" i="3"/>
  <c r="AH49" i="3"/>
  <c r="AG49" i="3"/>
  <c r="AF49" i="3"/>
  <c r="AI48" i="3"/>
  <c r="AA48" i="3"/>
  <c r="Z48" i="3"/>
  <c r="Y48" i="3"/>
  <c r="X48" i="3"/>
  <c r="W48" i="3"/>
  <c r="V48" i="3"/>
  <c r="U48" i="3"/>
  <c r="T48" i="3"/>
  <c r="S48" i="3"/>
  <c r="R48" i="3"/>
  <c r="Q48" i="3"/>
  <c r="P48" i="3"/>
  <c r="O48" i="3"/>
  <c r="N48" i="3"/>
  <c r="M48" i="3"/>
  <c r="L48" i="3"/>
  <c r="K48" i="3"/>
  <c r="J48" i="3"/>
  <c r="I48" i="3"/>
  <c r="H48" i="3"/>
  <c r="G48" i="3"/>
  <c r="F48" i="3"/>
  <c r="E48" i="3"/>
  <c r="D48" i="3"/>
  <c r="AJ47" i="3"/>
  <c r="AI47" i="3"/>
  <c r="AH47" i="3"/>
  <c r="AH48" i="3" s="1"/>
  <c r="AG47" i="3"/>
  <c r="AF47" i="3"/>
  <c r="AF48" i="3" s="1"/>
  <c r="AI46" i="3"/>
  <c r="AH46" i="3"/>
  <c r="AG46" i="3"/>
  <c r="AA46" i="3"/>
  <c r="Z46" i="3"/>
  <c r="Y46" i="3"/>
  <c r="X46" i="3"/>
  <c r="W46" i="3"/>
  <c r="V46" i="3"/>
  <c r="U46" i="3"/>
  <c r="T46" i="3"/>
  <c r="S46" i="3"/>
  <c r="R46" i="3"/>
  <c r="Q46" i="3"/>
  <c r="P46" i="3"/>
  <c r="O46" i="3"/>
  <c r="N46" i="3"/>
  <c r="M46" i="3"/>
  <c r="L46" i="3"/>
  <c r="K46" i="3"/>
  <c r="J46" i="3"/>
  <c r="I46" i="3"/>
  <c r="H46" i="3"/>
  <c r="G46" i="3"/>
  <c r="F46" i="3"/>
  <c r="E46" i="3"/>
  <c r="D46" i="3"/>
  <c r="AJ45" i="3"/>
  <c r="AI45" i="3"/>
  <c r="AH45" i="3"/>
  <c r="AG45" i="3"/>
  <c r="AF45" i="3"/>
  <c r="AF46" i="3" s="1"/>
  <c r="AI44" i="3"/>
  <c r="AF44" i="3"/>
  <c r="AA44" i="3"/>
  <c r="Z44" i="3"/>
  <c r="Y44" i="3"/>
  <c r="X44" i="3"/>
  <c r="W44" i="3"/>
  <c r="V44" i="3"/>
  <c r="U44" i="3"/>
  <c r="T44" i="3"/>
  <c r="S44" i="3"/>
  <c r="R44" i="3"/>
  <c r="Q44" i="3"/>
  <c r="P44" i="3"/>
  <c r="O44" i="3"/>
  <c r="N44" i="3"/>
  <c r="M44" i="3"/>
  <c r="L44" i="3"/>
  <c r="K44" i="3"/>
  <c r="J44" i="3"/>
  <c r="I44" i="3"/>
  <c r="H44" i="3"/>
  <c r="G44" i="3"/>
  <c r="F44" i="3"/>
  <c r="E44" i="3"/>
  <c r="D44" i="3"/>
  <c r="AJ43" i="3"/>
  <c r="AI43" i="3"/>
  <c r="AH43" i="3"/>
  <c r="AG43" i="3"/>
  <c r="AG80" i="3" s="1"/>
  <c r="AF43" i="3"/>
  <c r="AF80" i="3" s="1"/>
  <c r="AA42" i="3"/>
  <c r="Z42" i="3"/>
  <c r="Y42" i="3"/>
  <c r="X42" i="3"/>
  <c r="W42" i="3"/>
  <c r="V42" i="3"/>
  <c r="U42" i="3"/>
  <c r="T42" i="3"/>
  <c r="S42" i="3"/>
  <c r="R42" i="3"/>
  <c r="Q42" i="3"/>
  <c r="P42" i="3"/>
  <c r="O42" i="3"/>
  <c r="N42" i="3"/>
  <c r="M42" i="3"/>
  <c r="L42" i="3"/>
  <c r="K42" i="3"/>
  <c r="J42" i="3"/>
  <c r="I42" i="3"/>
  <c r="H42" i="3"/>
  <c r="G42" i="3"/>
  <c r="F42" i="3"/>
  <c r="E42" i="3"/>
  <c r="AG41" i="3"/>
  <c r="AA41" i="3"/>
  <c r="Z41" i="3"/>
  <c r="Y41" i="3"/>
  <c r="X41" i="3"/>
  <c r="W41" i="3"/>
  <c r="V41" i="3"/>
  <c r="U41" i="3"/>
  <c r="T41" i="3"/>
  <c r="S41" i="3"/>
  <c r="R41" i="3"/>
  <c r="Q41" i="3"/>
  <c r="P41" i="3"/>
  <c r="O41" i="3"/>
  <c r="N41" i="3"/>
  <c r="M41" i="3"/>
  <c r="L41" i="3"/>
  <c r="K41" i="3"/>
  <c r="J41" i="3"/>
  <c r="I41" i="3"/>
  <c r="H41" i="3"/>
  <c r="AJ40" i="3"/>
  <c r="AI40" i="3"/>
  <c r="AH40" i="3"/>
  <c r="AG40" i="3"/>
  <c r="AG77" i="3" s="1"/>
  <c r="AF40" i="3"/>
  <c r="AJ39" i="3"/>
  <c r="AI39" i="3"/>
  <c r="AH39" i="3"/>
  <c r="AG39" i="3"/>
  <c r="AF39" i="3"/>
  <c r="V39" i="3"/>
  <c r="U39" i="3"/>
  <c r="T39" i="3"/>
  <c r="S39" i="3"/>
  <c r="R39" i="3"/>
  <c r="Q39" i="3"/>
  <c r="P39" i="3"/>
  <c r="O39" i="3"/>
  <c r="N39" i="3"/>
  <c r="M39" i="3"/>
  <c r="L39" i="3"/>
  <c r="K39" i="3"/>
  <c r="J39" i="3"/>
  <c r="I39" i="3"/>
  <c r="H39" i="3"/>
  <c r="G39" i="3"/>
  <c r="F39" i="3"/>
  <c r="E39" i="3"/>
  <c r="D39" i="3"/>
  <c r="AJ38" i="3"/>
  <c r="AI38" i="3"/>
  <c r="AA38" i="3"/>
  <c r="Z38" i="3"/>
  <c r="Y38" i="3"/>
  <c r="X38" i="3"/>
  <c r="V38" i="3"/>
  <c r="V149" i="3" s="1"/>
  <c r="V150" i="3" s="1"/>
  <c r="U38" i="3"/>
  <c r="U149" i="3" s="1"/>
  <c r="U150" i="3" s="1"/>
  <c r="T38" i="3"/>
  <c r="T149" i="3" s="1"/>
  <c r="S38" i="3"/>
  <c r="S149" i="3" s="1"/>
  <c r="S150" i="3" s="1"/>
  <c r="R38" i="3"/>
  <c r="R149" i="3" s="1"/>
  <c r="R150" i="3" s="1"/>
  <c r="Q38" i="3"/>
  <c r="P38" i="3"/>
  <c r="O38" i="3"/>
  <c r="N38" i="3"/>
  <c r="N149" i="3" s="1"/>
  <c r="N150" i="3" s="1"/>
  <c r="M38" i="3"/>
  <c r="M149" i="3" s="1"/>
  <c r="M150" i="3" s="1"/>
  <c r="L38" i="3"/>
  <c r="L149" i="3" s="1"/>
  <c r="L150" i="3" s="1"/>
  <c r="K38" i="3"/>
  <c r="J38" i="3"/>
  <c r="I38" i="3"/>
  <c r="H38" i="3"/>
  <c r="G38" i="3"/>
  <c r="F38" i="3"/>
  <c r="E38" i="3"/>
  <c r="D38" i="3"/>
  <c r="AI37" i="3"/>
  <c r="AH37" i="3"/>
  <c r="AH33" i="3" s="1"/>
  <c r="AG37" i="3"/>
  <c r="AF37" i="3"/>
  <c r="W37" i="3"/>
  <c r="AJ36" i="3"/>
  <c r="AI36" i="3"/>
  <c r="AH36" i="3"/>
  <c r="AA36" i="3"/>
  <c r="Z36" i="3"/>
  <c r="Y36" i="3"/>
  <c r="X36" i="3"/>
  <c r="V36" i="3"/>
  <c r="U36" i="3"/>
  <c r="T36" i="3"/>
  <c r="S36" i="3"/>
  <c r="R36" i="3"/>
  <c r="Q36" i="3"/>
  <c r="P36" i="3"/>
  <c r="O36" i="3"/>
  <c r="N36" i="3"/>
  <c r="M36" i="3"/>
  <c r="L36" i="3"/>
  <c r="K36" i="3"/>
  <c r="J36" i="3"/>
  <c r="I36" i="3"/>
  <c r="H36" i="3"/>
  <c r="G36" i="3"/>
  <c r="F36" i="3"/>
  <c r="E36" i="3"/>
  <c r="D36" i="3"/>
  <c r="AJ35" i="3"/>
  <c r="AI35" i="3"/>
  <c r="AH35" i="3"/>
  <c r="AG35" i="3"/>
  <c r="AF35" i="3"/>
  <c r="AJ34" i="3"/>
  <c r="AI34" i="3"/>
  <c r="AH34" i="3"/>
  <c r="AG34" i="3"/>
  <c r="AA34" i="3"/>
  <c r="Z34" i="3"/>
  <c r="Y34" i="3"/>
  <c r="X34" i="3"/>
  <c r="V34" i="3"/>
  <c r="U34" i="3"/>
  <c r="T34" i="3"/>
  <c r="S34" i="3"/>
  <c r="R34" i="3"/>
  <c r="Q34" i="3"/>
  <c r="P34" i="3"/>
  <c r="O34" i="3"/>
  <c r="N34" i="3"/>
  <c r="M34" i="3"/>
  <c r="L34" i="3"/>
  <c r="K34" i="3"/>
  <c r="J34" i="3"/>
  <c r="I34" i="3"/>
  <c r="H34" i="3"/>
  <c r="G34" i="3"/>
  <c r="F34" i="3"/>
  <c r="E34" i="3"/>
  <c r="D34" i="3"/>
  <c r="AJ33" i="3"/>
  <c r="AI33" i="3"/>
  <c r="AA33" i="3"/>
  <c r="Z33" i="3"/>
  <c r="Y33" i="3"/>
  <c r="X33" i="3"/>
  <c r="V33" i="3"/>
  <c r="U33" i="3"/>
  <c r="T33" i="3"/>
  <c r="S33" i="3"/>
  <c r="R33" i="3"/>
  <c r="Q33" i="3"/>
  <c r="P33" i="3"/>
  <c r="O33" i="3"/>
  <c r="N33" i="3"/>
  <c r="M33" i="3"/>
  <c r="L33" i="3"/>
  <c r="K33" i="3"/>
  <c r="J33" i="3"/>
  <c r="I33" i="3"/>
  <c r="H33" i="3"/>
  <c r="G33" i="3"/>
  <c r="F33" i="3"/>
  <c r="E33" i="3"/>
  <c r="D33" i="3"/>
  <c r="AI32" i="3"/>
  <c r="AG32" i="3"/>
  <c r="AF32" i="3"/>
  <c r="AI31" i="3"/>
  <c r="AH31" i="3"/>
  <c r="AG31" i="3"/>
  <c r="AF31" i="3"/>
  <c r="W31" i="3"/>
  <c r="W34" i="3" s="1"/>
  <c r="AA27" i="3"/>
  <c r="O27" i="3"/>
  <c r="N27" i="3"/>
  <c r="AA26" i="3"/>
  <c r="Z26" i="3"/>
  <c r="Z27" i="3" s="1"/>
  <c r="Y26" i="3"/>
  <c r="Y27" i="3" s="1"/>
  <c r="T26" i="3"/>
  <c r="T27" i="3" s="1"/>
  <c r="R26" i="3"/>
  <c r="R27" i="3" s="1"/>
  <c r="O26" i="3"/>
  <c r="N26" i="3"/>
  <c r="M26" i="3"/>
  <c r="M27" i="3" s="1"/>
  <c r="H26" i="3"/>
  <c r="H27" i="3" s="1"/>
  <c r="G26" i="3"/>
  <c r="G27" i="3" s="1"/>
  <c r="F26" i="3"/>
  <c r="F27" i="3" s="1"/>
  <c r="E26" i="3"/>
  <c r="E27" i="3" s="1"/>
  <c r="D26" i="3"/>
  <c r="D27" i="3" s="1"/>
  <c r="AJ25" i="3"/>
  <c r="AI25" i="3"/>
  <c r="AH25" i="3"/>
  <c r="AH134" i="3" s="1"/>
  <c r="AG25" i="3"/>
  <c r="AG134" i="3" s="1"/>
  <c r="AF25" i="3"/>
  <c r="AF134" i="3" s="1"/>
  <c r="AA24" i="3"/>
  <c r="Z24" i="3"/>
  <c r="Y24" i="3"/>
  <c r="X24" i="3"/>
  <c r="R24" i="3"/>
  <c r="P24" i="3"/>
  <c r="O24" i="3"/>
  <c r="N24" i="3"/>
  <c r="M24" i="3"/>
  <c r="L24" i="3"/>
  <c r="F24" i="3"/>
  <c r="E24" i="3"/>
  <c r="D24" i="3"/>
  <c r="AA23" i="3"/>
  <c r="Z23" i="3"/>
  <c r="Y23" i="3"/>
  <c r="X23" i="3"/>
  <c r="X26" i="3" s="1"/>
  <c r="X27" i="3" s="1"/>
  <c r="W23" i="3"/>
  <c r="V23" i="3"/>
  <c r="U23" i="3"/>
  <c r="T23" i="3"/>
  <c r="T24" i="3" s="1"/>
  <c r="S23" i="3"/>
  <c r="S24" i="3" s="1"/>
  <c r="R23" i="3"/>
  <c r="Q23" i="3"/>
  <c r="Q26" i="3" s="1"/>
  <c r="Q27" i="3" s="1"/>
  <c r="P23" i="3"/>
  <c r="P26" i="3" s="1"/>
  <c r="P27" i="3" s="1"/>
  <c r="O23" i="3"/>
  <c r="N23" i="3"/>
  <c r="M23" i="3"/>
  <c r="L23" i="3"/>
  <c r="L26" i="3" s="1"/>
  <c r="L27" i="3" s="1"/>
  <c r="K23" i="3"/>
  <c r="J23" i="3"/>
  <c r="I23" i="3"/>
  <c r="H23" i="3"/>
  <c r="H24" i="3" s="1"/>
  <c r="G23" i="3"/>
  <c r="G24" i="3" s="1"/>
  <c r="F23" i="3"/>
  <c r="E23" i="3"/>
  <c r="D23" i="3"/>
  <c r="AJ22" i="3"/>
  <c r="AI22" i="3"/>
  <c r="AH22" i="3"/>
  <c r="AH132" i="3" s="1"/>
  <c r="AG22" i="3"/>
  <c r="AF22" i="3"/>
  <c r="AF132" i="3" s="1"/>
  <c r="AJ21" i="3"/>
  <c r="AI21" i="3"/>
  <c r="AI131" i="3" s="1"/>
  <c r="AH21" i="3"/>
  <c r="AG21" i="3"/>
  <c r="AF21" i="3"/>
  <c r="AJ20" i="3"/>
  <c r="AA20" i="3"/>
  <c r="Z20" i="3"/>
  <c r="Y20" i="3"/>
  <c r="X20" i="3"/>
  <c r="W20" i="3"/>
  <c r="V20" i="3"/>
  <c r="U20" i="3"/>
  <c r="T20" i="3"/>
  <c r="S20" i="3"/>
  <c r="R20" i="3"/>
  <c r="Q20" i="3"/>
  <c r="P20" i="3"/>
  <c r="O20" i="3"/>
  <c r="N20" i="3"/>
  <c r="M20" i="3"/>
  <c r="L20" i="3"/>
  <c r="K20" i="3"/>
  <c r="J20" i="3"/>
  <c r="I20" i="3"/>
  <c r="H20" i="3"/>
  <c r="G20" i="3"/>
  <c r="F20" i="3"/>
  <c r="E20" i="3"/>
  <c r="D20" i="3"/>
  <c r="AJ19" i="3"/>
  <c r="AJ130" i="3" s="1"/>
  <c r="AI19" i="3"/>
  <c r="AH19" i="3"/>
  <c r="AG19" i="3"/>
  <c r="AF19" i="3"/>
  <c r="AJ18" i="3"/>
  <c r="AI18" i="3"/>
  <c r="AH18" i="3"/>
  <c r="AA18" i="3"/>
  <c r="Z18" i="3"/>
  <c r="Y18" i="3"/>
  <c r="X18" i="3"/>
  <c r="W18" i="3"/>
  <c r="V18" i="3"/>
  <c r="U18" i="3"/>
  <c r="T18" i="3"/>
  <c r="S18" i="3"/>
  <c r="R18" i="3"/>
  <c r="Q18" i="3"/>
  <c r="P18" i="3"/>
  <c r="O18" i="3"/>
  <c r="N18" i="3"/>
  <c r="M18" i="3"/>
  <c r="L18" i="3"/>
  <c r="K18" i="3"/>
  <c r="J18" i="3"/>
  <c r="I18" i="3"/>
  <c r="H18" i="3"/>
  <c r="G18" i="3"/>
  <c r="F18" i="3"/>
  <c r="E18" i="3"/>
  <c r="D18" i="3"/>
  <c r="AF17" i="3"/>
  <c r="AA17" i="3"/>
  <c r="Z17" i="3"/>
  <c r="Y17" i="3"/>
  <c r="X17" i="3"/>
  <c r="W17" i="3"/>
  <c r="V17" i="3"/>
  <c r="U17" i="3"/>
  <c r="T17" i="3"/>
  <c r="S17" i="3"/>
  <c r="R17" i="3"/>
  <c r="Q17" i="3"/>
  <c r="P17" i="3"/>
  <c r="O17" i="3"/>
  <c r="N17" i="3"/>
  <c r="M17" i="3"/>
  <c r="L17" i="3"/>
  <c r="K17" i="3"/>
  <c r="J17" i="3"/>
  <c r="I17" i="3"/>
  <c r="H17" i="3"/>
  <c r="AJ16" i="3"/>
  <c r="AJ17" i="3" s="1"/>
  <c r="AI16" i="3"/>
  <c r="AH16" i="3"/>
  <c r="AG16" i="3"/>
  <c r="AG129" i="3" s="1"/>
  <c r="AF16" i="3"/>
  <c r="AI15" i="3"/>
  <c r="AH15" i="3"/>
  <c r="AA15" i="3"/>
  <c r="Z15" i="3"/>
  <c r="Y15" i="3"/>
  <c r="X15" i="3"/>
  <c r="W15" i="3"/>
  <c r="V15" i="3"/>
  <c r="U15" i="3"/>
  <c r="T15" i="3"/>
  <c r="S15" i="3"/>
  <c r="R15" i="3"/>
  <c r="Q15" i="3"/>
  <c r="P15" i="3"/>
  <c r="O15" i="3"/>
  <c r="N15" i="3"/>
  <c r="M15" i="3"/>
  <c r="L15" i="3"/>
  <c r="K15" i="3"/>
  <c r="J15" i="3"/>
  <c r="I15" i="3"/>
  <c r="H15" i="3"/>
  <c r="G15" i="3"/>
  <c r="F15" i="3"/>
  <c r="E15" i="3"/>
  <c r="D15" i="3"/>
  <c r="AJ14" i="3"/>
  <c r="AI14" i="3"/>
  <c r="AH14" i="3"/>
  <c r="AG14" i="3"/>
  <c r="AF14" i="3"/>
  <c r="AF128" i="3" s="1"/>
  <c r="AA13" i="3"/>
  <c r="Z13" i="3"/>
  <c r="Y13" i="3"/>
  <c r="X13" i="3"/>
  <c r="W13" i="3"/>
  <c r="V13" i="3"/>
  <c r="U13" i="3"/>
  <c r="T13" i="3"/>
  <c r="S13" i="3"/>
  <c r="R13" i="3"/>
  <c r="Q13" i="3"/>
  <c r="P13" i="3"/>
  <c r="O13" i="3"/>
  <c r="N13" i="3"/>
  <c r="M13" i="3"/>
  <c r="L13" i="3"/>
  <c r="K13" i="3"/>
  <c r="J13" i="3"/>
  <c r="I13" i="3"/>
  <c r="H13" i="3"/>
  <c r="G13" i="3"/>
  <c r="F13" i="3"/>
  <c r="E13" i="3"/>
  <c r="AI12" i="3"/>
  <c r="AA12" i="3"/>
  <c r="Z12" i="3"/>
  <c r="Y12" i="3"/>
  <c r="X12" i="3"/>
  <c r="W12" i="3"/>
  <c r="V12" i="3"/>
  <c r="U12" i="3"/>
  <c r="T12" i="3"/>
  <c r="S12" i="3"/>
  <c r="R12" i="3"/>
  <c r="Q12" i="3"/>
  <c r="P12" i="3"/>
  <c r="O12" i="3"/>
  <c r="N12" i="3"/>
  <c r="M12" i="3"/>
  <c r="L12" i="3"/>
  <c r="K12" i="3"/>
  <c r="J12" i="3"/>
  <c r="I12" i="3"/>
  <c r="H12" i="3"/>
  <c r="AJ11" i="3"/>
  <c r="AJ12" i="3" s="1"/>
  <c r="AI11" i="3"/>
  <c r="AI126" i="3" s="1"/>
  <c r="AH11" i="3"/>
  <c r="AG11" i="3"/>
  <c r="AF11" i="3"/>
  <c r="AJ10" i="3"/>
  <c r="AI10" i="3"/>
  <c r="AH10" i="3"/>
  <c r="AG10" i="3"/>
  <c r="AF10" i="3"/>
  <c r="AG9" i="3"/>
  <c r="AF9" i="3"/>
  <c r="AA9" i="3"/>
  <c r="Z9" i="3"/>
  <c r="Y9" i="3"/>
  <c r="X9" i="3"/>
  <c r="W9" i="3"/>
  <c r="V9" i="3"/>
  <c r="U9" i="3"/>
  <c r="T9" i="3"/>
  <c r="S9" i="3"/>
  <c r="R9" i="3"/>
  <c r="Q9" i="3"/>
  <c r="P9" i="3"/>
  <c r="O9" i="3"/>
  <c r="N9" i="3"/>
  <c r="M9" i="3"/>
  <c r="L9" i="3"/>
  <c r="K9" i="3"/>
  <c r="J9" i="3"/>
  <c r="I9" i="3"/>
  <c r="H9" i="3"/>
  <c r="AJ8" i="3"/>
  <c r="AJ9" i="3" s="1"/>
  <c r="AI8" i="3"/>
  <c r="AH8" i="3"/>
  <c r="AI9" i="3" s="1"/>
  <c r="AG8" i="3"/>
  <c r="AF8" i="3"/>
  <c r="AJ7" i="3"/>
  <c r="AI7" i="3"/>
  <c r="AH7" i="3"/>
  <c r="AG7" i="3"/>
  <c r="AF7" i="3"/>
  <c r="AJ240" i="1"/>
  <c r="AK240" i="1" s="1"/>
  <c r="AL240" i="1" s="1"/>
  <c r="AM240" i="1" s="1"/>
  <c r="AN240" i="1" s="1"/>
  <c r="AI240" i="1"/>
  <c r="AH240" i="1"/>
  <c r="AD240" i="1"/>
  <c r="AC240" i="1"/>
  <c r="AJ238" i="1"/>
  <c r="AI238" i="1"/>
  <c r="AH238" i="1"/>
  <c r="AD238" i="1"/>
  <c r="AC238" i="1"/>
  <c r="AJ234" i="1"/>
  <c r="AK234" i="1" s="1"/>
  <c r="AL234" i="1" s="1"/>
  <c r="AM234" i="1" s="1"/>
  <c r="AN234" i="1" s="1"/>
  <c r="AI234" i="1"/>
  <c r="AH234" i="1"/>
  <c r="AG234" i="1"/>
  <c r="AF234" i="1"/>
  <c r="AF235" i="1" s="1"/>
  <c r="AE234" i="1"/>
  <c r="AE235" i="1" s="1"/>
  <c r="AD234" i="1"/>
  <c r="AC234" i="1"/>
  <c r="AJ232" i="1"/>
  <c r="AJ236" i="1" s="1"/>
  <c r="AJ143" i="1" s="1"/>
  <c r="AI232" i="1"/>
  <c r="AH232" i="1"/>
  <c r="AG232" i="1"/>
  <c r="AH233" i="1" s="1"/>
  <c r="AF232" i="1"/>
  <c r="AE232" i="1"/>
  <c r="AD232" i="1"/>
  <c r="AC232" i="1"/>
  <c r="AG229" i="1"/>
  <c r="AJ228" i="1"/>
  <c r="AJ230" i="1" s="1"/>
  <c r="AJ139" i="1" s="1"/>
  <c r="AI228" i="1"/>
  <c r="AH228" i="1"/>
  <c r="AH229" i="1" s="1"/>
  <c r="AG228" i="1"/>
  <c r="AF228" i="1"/>
  <c r="AD228" i="1"/>
  <c r="AC228" i="1"/>
  <c r="AJ226" i="1"/>
  <c r="AK226" i="1" s="1"/>
  <c r="AL226" i="1" s="1"/>
  <c r="AM226" i="1" s="1"/>
  <c r="AN226" i="1" s="1"/>
  <c r="AI226" i="1"/>
  <c r="AH226" i="1"/>
  <c r="AI227" i="1" s="1"/>
  <c r="AG226" i="1"/>
  <c r="AG230" i="1" s="1"/>
  <c r="AG139" i="1" s="1"/>
  <c r="AF226" i="1"/>
  <c r="AF230" i="1" s="1"/>
  <c r="AF139" i="1" s="1"/>
  <c r="AD226" i="1"/>
  <c r="AC226" i="1"/>
  <c r="AC230" i="1" s="1"/>
  <c r="AC139" i="1" s="1"/>
  <c r="AJ223" i="1"/>
  <c r="AI223" i="1"/>
  <c r="AH223" i="1"/>
  <c r="AG223" i="1"/>
  <c r="AF223" i="1"/>
  <c r="AE223" i="1"/>
  <c r="AD223" i="1"/>
  <c r="AC223" i="1"/>
  <c r="AJ221" i="1"/>
  <c r="AI221" i="1"/>
  <c r="AI222" i="1" s="1"/>
  <c r="AH221" i="1"/>
  <c r="AH220" i="1" s="1"/>
  <c r="AG221" i="1"/>
  <c r="AG222" i="1" s="1"/>
  <c r="AF221" i="1"/>
  <c r="AF220" i="1" s="1"/>
  <c r="AE221" i="1"/>
  <c r="AE220" i="1" s="1"/>
  <c r="AD221" i="1"/>
  <c r="AC221" i="1"/>
  <c r="AJ217" i="1"/>
  <c r="AK217" i="1" s="1"/>
  <c r="AL217" i="1" s="1"/>
  <c r="AM217" i="1" s="1"/>
  <c r="AN217" i="1" s="1"/>
  <c r="AI217" i="1"/>
  <c r="AH217" i="1"/>
  <c r="AG217" i="1"/>
  <c r="AF217" i="1"/>
  <c r="AE217" i="1"/>
  <c r="AD217" i="1"/>
  <c r="AD212" i="1" s="1"/>
  <c r="AC217" i="1"/>
  <c r="AD218" i="1" s="1"/>
  <c r="AJ215" i="1"/>
  <c r="AK215" i="1" s="1"/>
  <c r="AL215" i="1" s="1"/>
  <c r="AM215" i="1" s="1"/>
  <c r="AN215" i="1" s="1"/>
  <c r="AI215" i="1"/>
  <c r="AH215" i="1"/>
  <c r="AG215" i="1"/>
  <c r="AF215" i="1"/>
  <c r="AE215" i="1"/>
  <c r="AE216" i="1" s="1"/>
  <c r="AD215" i="1"/>
  <c r="AC215" i="1"/>
  <c r="AJ213" i="1"/>
  <c r="AJ212" i="1" s="1"/>
  <c r="AI213" i="1"/>
  <c r="AH213" i="1"/>
  <c r="AH214" i="1" s="1"/>
  <c r="AG213" i="1"/>
  <c r="AF213" i="1"/>
  <c r="AE213" i="1"/>
  <c r="AD213" i="1"/>
  <c r="AC213" i="1"/>
  <c r="AJ202" i="1"/>
  <c r="AI202" i="1"/>
  <c r="AH202" i="1"/>
  <c r="AG202" i="1"/>
  <c r="AF202" i="1"/>
  <c r="AE202" i="1"/>
  <c r="AD202" i="1"/>
  <c r="AC202" i="1"/>
  <c r="AJ201" i="1"/>
  <c r="AK201" i="1" s="1"/>
  <c r="AI201" i="1"/>
  <c r="AH201" i="1"/>
  <c r="AG201" i="1"/>
  <c r="AF201" i="1"/>
  <c r="AE201" i="1"/>
  <c r="AD201" i="1"/>
  <c r="AC201" i="1"/>
  <c r="W200" i="1"/>
  <c r="U200" i="1"/>
  <c r="S200" i="1"/>
  <c r="Q200" i="1"/>
  <c r="O200" i="1"/>
  <c r="M200" i="1"/>
  <c r="K200" i="1"/>
  <c r="I200" i="1"/>
  <c r="G200" i="1"/>
  <c r="E200" i="1"/>
  <c r="AJ199" i="1"/>
  <c r="AI199" i="1"/>
  <c r="AH199" i="1"/>
  <c r="AG199" i="1"/>
  <c r="AF199" i="1"/>
  <c r="AE199" i="1"/>
  <c r="AD199" i="1"/>
  <c r="AC199" i="1"/>
  <c r="AJ198" i="1"/>
  <c r="AK198" i="1" s="1"/>
  <c r="AK87" i="4" s="1"/>
  <c r="AI198" i="1"/>
  <c r="AH198" i="1"/>
  <c r="AG198" i="1"/>
  <c r="AF198" i="1"/>
  <c r="AE198" i="1"/>
  <c r="AD198" i="1"/>
  <c r="AC198" i="1"/>
  <c r="W197" i="1"/>
  <c r="U197" i="1"/>
  <c r="S197" i="1"/>
  <c r="Q197" i="1"/>
  <c r="O197" i="1"/>
  <c r="M197" i="1"/>
  <c r="K197" i="1"/>
  <c r="I197" i="1"/>
  <c r="G197" i="1"/>
  <c r="E197" i="1"/>
  <c r="AJ196" i="1"/>
  <c r="AI196" i="1"/>
  <c r="AH196" i="1"/>
  <c r="AG196" i="1"/>
  <c r="AF196" i="1"/>
  <c r="AE196" i="1"/>
  <c r="AD196" i="1"/>
  <c r="AC196" i="1"/>
  <c r="AJ194" i="1"/>
  <c r="AI194" i="1"/>
  <c r="AI195" i="1" s="1"/>
  <c r="AH194" i="1"/>
  <c r="AH195" i="1" s="1"/>
  <c r="AG194" i="1"/>
  <c r="AF194" i="1"/>
  <c r="AE194" i="1"/>
  <c r="AD194" i="1"/>
  <c r="AC194" i="1"/>
  <c r="AJ193" i="1"/>
  <c r="AI193" i="1"/>
  <c r="AH193" i="1"/>
  <c r="AG193" i="1"/>
  <c r="AF193" i="1"/>
  <c r="AE193" i="1"/>
  <c r="AD193" i="1"/>
  <c r="AC193" i="1"/>
  <c r="AJ192" i="1"/>
  <c r="AK192" i="1" s="1"/>
  <c r="AK83" i="4" s="1"/>
  <c r="AI192" i="1"/>
  <c r="AH192" i="1"/>
  <c r="AG192" i="1"/>
  <c r="AF192" i="1"/>
  <c r="AE192" i="1"/>
  <c r="AD192" i="1"/>
  <c r="AC192" i="1"/>
  <c r="AJ191" i="1"/>
  <c r="AK191" i="1" s="1"/>
  <c r="AI191" i="1"/>
  <c r="AH191" i="1"/>
  <c r="AG191" i="1"/>
  <c r="AF191" i="1"/>
  <c r="AE191" i="1"/>
  <c r="AD191" i="1"/>
  <c r="AC191" i="1"/>
  <c r="AJ187" i="1"/>
  <c r="AK187" i="1" s="1"/>
  <c r="AL187" i="1" s="1"/>
  <c r="AI187" i="1"/>
  <c r="AH187" i="1"/>
  <c r="AG187" i="1"/>
  <c r="AF187" i="1"/>
  <c r="AE187" i="1"/>
  <c r="AD187" i="1"/>
  <c r="AC187" i="1"/>
  <c r="W186" i="1"/>
  <c r="U186" i="1"/>
  <c r="S186" i="1"/>
  <c r="Q186" i="1"/>
  <c r="O186" i="1"/>
  <c r="M186" i="1"/>
  <c r="K186" i="1"/>
  <c r="I186" i="1"/>
  <c r="G186" i="1"/>
  <c r="E186" i="1"/>
  <c r="AJ185" i="1"/>
  <c r="AI185" i="1"/>
  <c r="AH185" i="1"/>
  <c r="AG185" i="1"/>
  <c r="AF185" i="1"/>
  <c r="AE185" i="1"/>
  <c r="AD185" i="1"/>
  <c r="AC185" i="1"/>
  <c r="AJ184" i="1"/>
  <c r="AK184" i="1" s="1"/>
  <c r="AI184" i="1"/>
  <c r="AH184" i="1"/>
  <c r="AG184" i="1"/>
  <c r="AF184" i="1"/>
  <c r="AE184" i="1"/>
  <c r="AD184" i="1"/>
  <c r="AC184" i="1"/>
  <c r="AJ183" i="1"/>
  <c r="AI183" i="1"/>
  <c r="AH183" i="1"/>
  <c r="AG183" i="1"/>
  <c r="AF183" i="1"/>
  <c r="AE183" i="1"/>
  <c r="AD183" i="1"/>
  <c r="AC183" i="1"/>
  <c r="AJ179" i="1"/>
  <c r="AK179" i="1" s="1"/>
  <c r="AI179" i="1"/>
  <c r="AH179" i="1"/>
  <c r="AG179" i="1"/>
  <c r="AF179" i="1"/>
  <c r="AE179" i="1"/>
  <c r="AD179" i="1"/>
  <c r="AC179" i="1"/>
  <c r="AJ176" i="1"/>
  <c r="AI176" i="1"/>
  <c r="AH176" i="1"/>
  <c r="AG176" i="1"/>
  <c r="AF176" i="1"/>
  <c r="AE176" i="1"/>
  <c r="AD176" i="1"/>
  <c r="AC176" i="1"/>
  <c r="AJ175" i="1"/>
  <c r="AK175" i="1" s="1"/>
  <c r="AI175" i="1"/>
  <c r="AH175" i="1"/>
  <c r="AG175" i="1"/>
  <c r="AF175" i="1"/>
  <c r="AE175" i="1"/>
  <c r="AD175" i="1"/>
  <c r="AC175" i="1"/>
  <c r="AJ169" i="1"/>
  <c r="AI169" i="1"/>
  <c r="AH169" i="1"/>
  <c r="AG169" i="1"/>
  <c r="AF169" i="1"/>
  <c r="AE169" i="1"/>
  <c r="AD169" i="1"/>
  <c r="AC169" i="1"/>
  <c r="AJ167" i="1"/>
  <c r="AI167" i="1"/>
  <c r="AH167" i="1"/>
  <c r="AG167" i="1"/>
  <c r="AF167" i="1"/>
  <c r="AE167" i="1"/>
  <c r="AD167" i="1"/>
  <c r="AC167" i="1"/>
  <c r="AJ165" i="1"/>
  <c r="AI165" i="1"/>
  <c r="AH165" i="1"/>
  <c r="AG165" i="1"/>
  <c r="AF165" i="1"/>
  <c r="AE165" i="1"/>
  <c r="AD165" i="1"/>
  <c r="AC165" i="1"/>
  <c r="AJ164" i="1"/>
  <c r="AK164" i="1" s="1"/>
  <c r="AI164" i="1"/>
  <c r="AH164" i="1"/>
  <c r="AG164" i="1"/>
  <c r="AF164" i="1"/>
  <c r="AE164" i="1"/>
  <c r="AD164" i="1"/>
  <c r="AC164" i="1"/>
  <c r="AJ163" i="1"/>
  <c r="AI163" i="1"/>
  <c r="AH163" i="1"/>
  <c r="AG163" i="1"/>
  <c r="AF163" i="1"/>
  <c r="AE163" i="1"/>
  <c r="AD163" i="1"/>
  <c r="AC163" i="1"/>
  <c r="AJ161" i="1"/>
  <c r="AI161" i="1"/>
  <c r="AH161" i="1"/>
  <c r="AG161" i="1"/>
  <c r="AF161" i="1"/>
  <c r="AE161" i="1"/>
  <c r="AD161" i="1"/>
  <c r="AC161" i="1"/>
  <c r="AJ160" i="1"/>
  <c r="AK160" i="1" s="1"/>
  <c r="AI160" i="1"/>
  <c r="AH160" i="1"/>
  <c r="AG160" i="1"/>
  <c r="AF160" i="1"/>
  <c r="AE160" i="1"/>
  <c r="AD160" i="1"/>
  <c r="AC160" i="1"/>
  <c r="AJ158" i="1"/>
  <c r="AI158" i="1"/>
  <c r="AH158" i="1"/>
  <c r="AG158" i="1"/>
  <c r="AF158" i="1"/>
  <c r="AE158" i="1"/>
  <c r="AD158" i="1"/>
  <c r="AC158" i="1"/>
  <c r="AJ153" i="1"/>
  <c r="AI153" i="1"/>
  <c r="AH153" i="1"/>
  <c r="AG153" i="1"/>
  <c r="AF153" i="1"/>
  <c r="AE153" i="1"/>
  <c r="AD153" i="1"/>
  <c r="AC153" i="1"/>
  <c r="AJ152" i="1"/>
  <c r="AK152" i="1" s="1"/>
  <c r="AI152" i="1"/>
  <c r="AH152" i="1"/>
  <c r="AG152" i="1"/>
  <c r="AF152" i="1"/>
  <c r="AE152" i="1"/>
  <c r="AD152" i="1"/>
  <c r="AC152" i="1"/>
  <c r="AJ151" i="1"/>
  <c r="AK151" i="1" s="1"/>
  <c r="AI151" i="1"/>
  <c r="AH151" i="1"/>
  <c r="AG151" i="1"/>
  <c r="AF151" i="1"/>
  <c r="AE151" i="1"/>
  <c r="AD151" i="1"/>
  <c r="AC151" i="1"/>
  <c r="AJ149" i="1"/>
  <c r="AI149" i="1"/>
  <c r="AH149" i="1"/>
  <c r="AG149" i="1"/>
  <c r="AF149" i="1"/>
  <c r="AE149" i="1"/>
  <c r="AD149" i="1"/>
  <c r="AC149" i="1"/>
  <c r="AJ147" i="1"/>
  <c r="AI147" i="1"/>
  <c r="AH147" i="1"/>
  <c r="AG147" i="1"/>
  <c r="AF147" i="1"/>
  <c r="AE147" i="1"/>
  <c r="AD147" i="1"/>
  <c r="AC147" i="1"/>
  <c r="AJ146" i="1"/>
  <c r="AK146" i="1" s="1"/>
  <c r="AK45" i="4" s="1"/>
  <c r="AI146" i="1"/>
  <c r="AH146" i="1"/>
  <c r="AG146" i="1"/>
  <c r="AF146" i="1"/>
  <c r="AE146" i="1"/>
  <c r="AD146" i="1"/>
  <c r="AC146" i="1"/>
  <c r="AJ145" i="1"/>
  <c r="AK145" i="1" s="1"/>
  <c r="AL145" i="1" s="1"/>
  <c r="AI145" i="1"/>
  <c r="AH145" i="1"/>
  <c r="AG145" i="1"/>
  <c r="AF145" i="1"/>
  <c r="AE145" i="1"/>
  <c r="AD145" i="1"/>
  <c r="AC145" i="1"/>
  <c r="AJ144" i="1"/>
  <c r="AK144" i="1" s="1"/>
  <c r="AI144" i="1"/>
  <c r="AH144" i="1"/>
  <c r="AG144" i="1"/>
  <c r="AF144" i="1"/>
  <c r="AE144" i="1"/>
  <c r="AD144" i="1"/>
  <c r="AC144" i="1"/>
  <c r="AJ141" i="1"/>
  <c r="AK141" i="1" s="1"/>
  <c r="AK40" i="4" s="1"/>
  <c r="AI141" i="1"/>
  <c r="AH141" i="1"/>
  <c r="AG141" i="1"/>
  <c r="AF141" i="1"/>
  <c r="AE141" i="1"/>
  <c r="AD141" i="1"/>
  <c r="AC141" i="1"/>
  <c r="AJ140" i="1"/>
  <c r="AK140" i="1" s="1"/>
  <c r="AK39" i="4" s="1"/>
  <c r="AI140" i="1"/>
  <c r="AH140" i="1"/>
  <c r="AG140" i="1"/>
  <c r="AF140" i="1"/>
  <c r="AE140" i="1"/>
  <c r="AD140" i="1"/>
  <c r="AC140" i="1"/>
  <c r="AJ128" i="1"/>
  <c r="AJ17" i="4" s="1"/>
  <c r="AI128" i="1"/>
  <c r="AI17" i="4" s="1"/>
  <c r="AH128" i="1"/>
  <c r="AH17" i="4" s="1"/>
  <c r="AG128" i="1"/>
  <c r="AG17" i="4" s="1"/>
  <c r="AF128" i="1"/>
  <c r="AF17" i="4" s="1"/>
  <c r="AE128" i="1"/>
  <c r="AE17" i="4" s="1"/>
  <c r="AD128" i="1"/>
  <c r="AD17" i="4" s="1"/>
  <c r="AC128" i="1"/>
  <c r="AC17" i="4" s="1"/>
  <c r="W128" i="1"/>
  <c r="W17" i="4" s="1"/>
  <c r="V128" i="1"/>
  <c r="V17" i="4" s="1"/>
  <c r="U128" i="1"/>
  <c r="U17" i="4" s="1"/>
  <c r="T128" i="1"/>
  <c r="T17" i="4" s="1"/>
  <c r="S128" i="1"/>
  <c r="S17" i="4" s="1"/>
  <c r="R128" i="1"/>
  <c r="R17" i="4" s="1"/>
  <c r="Q128" i="1"/>
  <c r="Q17" i="4" s="1"/>
  <c r="P128" i="1"/>
  <c r="P17" i="4" s="1"/>
  <c r="O128" i="1"/>
  <c r="O17" i="4" s="1"/>
  <c r="N128" i="1"/>
  <c r="N17" i="4" s="1"/>
  <c r="M128" i="1"/>
  <c r="M17" i="4" s="1"/>
  <c r="L128" i="1"/>
  <c r="L17" i="4" s="1"/>
  <c r="K128" i="1"/>
  <c r="K17" i="4" s="1"/>
  <c r="J128" i="1"/>
  <c r="J17" i="4" s="1"/>
  <c r="I128" i="1"/>
  <c r="I17" i="4" s="1"/>
  <c r="H128" i="1"/>
  <c r="H17" i="4" s="1"/>
  <c r="G128" i="1"/>
  <c r="G17" i="4" s="1"/>
  <c r="F128" i="1"/>
  <c r="F17" i="4" s="1"/>
  <c r="E128" i="1"/>
  <c r="E17" i="4" s="1"/>
  <c r="D128" i="1"/>
  <c r="D17" i="4" s="1"/>
  <c r="W126" i="1"/>
  <c r="V126" i="1"/>
  <c r="V15" i="4" s="1"/>
  <c r="U126" i="1"/>
  <c r="U15" i="4" s="1"/>
  <c r="H126" i="1"/>
  <c r="H15" i="4" s="1"/>
  <c r="AJ124" i="1"/>
  <c r="AJ14" i="4" s="1"/>
  <c r="AI124" i="1"/>
  <c r="AI14" i="4" s="1"/>
  <c r="AH124" i="1"/>
  <c r="AH14" i="4" s="1"/>
  <c r="AG124" i="1"/>
  <c r="AG14" i="4" s="1"/>
  <c r="AF124" i="1"/>
  <c r="AF14" i="4" s="1"/>
  <c r="AE124" i="1"/>
  <c r="AE14" i="4" s="1"/>
  <c r="AD124" i="1"/>
  <c r="AC124" i="1"/>
  <c r="W124" i="1"/>
  <c r="V124" i="1"/>
  <c r="U124" i="1"/>
  <c r="T124" i="1"/>
  <c r="S124" i="1"/>
  <c r="S14" i="4" s="1"/>
  <c r="R124" i="1"/>
  <c r="R14" i="4" s="1"/>
  <c r="Q124" i="1"/>
  <c r="Q14" i="4" s="1"/>
  <c r="P124" i="1"/>
  <c r="P14" i="4" s="1"/>
  <c r="O124" i="1"/>
  <c r="O14" i="4" s="1"/>
  <c r="N124" i="1"/>
  <c r="N14" i="4" s="1"/>
  <c r="M124" i="1"/>
  <c r="L124" i="1"/>
  <c r="L14" i="4" s="1"/>
  <c r="K124" i="1"/>
  <c r="J124" i="1"/>
  <c r="I124" i="1"/>
  <c r="H124" i="1"/>
  <c r="G124" i="1"/>
  <c r="G14" i="4" s="1"/>
  <c r="F124" i="1"/>
  <c r="F14" i="4" s="1"/>
  <c r="E124" i="1"/>
  <c r="E14" i="4" s="1"/>
  <c r="D124" i="1"/>
  <c r="D14" i="4" s="1"/>
  <c r="AJ122" i="1"/>
  <c r="AJ159" i="1" s="1"/>
  <c r="AI122" i="1"/>
  <c r="AH122" i="1"/>
  <c r="AG122" i="1"/>
  <c r="AF122" i="1"/>
  <c r="AE122" i="1"/>
  <c r="AD122" i="1"/>
  <c r="AC122" i="1"/>
  <c r="AC195" i="1" s="1"/>
  <c r="W122" i="1"/>
  <c r="V122" i="1"/>
  <c r="U122" i="1"/>
  <c r="T122" i="1"/>
  <c r="S122" i="1"/>
  <c r="R122" i="1"/>
  <c r="Q122" i="1"/>
  <c r="P122" i="1"/>
  <c r="O122" i="1"/>
  <c r="N122" i="1"/>
  <c r="M122" i="1"/>
  <c r="L122" i="1"/>
  <c r="K122" i="1"/>
  <c r="J122" i="1"/>
  <c r="I122" i="1"/>
  <c r="H122" i="1"/>
  <c r="G122" i="1"/>
  <c r="F122" i="1"/>
  <c r="E122" i="1"/>
  <c r="D122" i="1"/>
  <c r="AG119" i="1"/>
  <c r="AG7" i="4" s="1"/>
  <c r="AG102" i="4" s="1"/>
  <c r="Q119" i="1"/>
  <c r="Q7" i="4" s="1"/>
  <c r="Q8" i="4" s="1"/>
  <c r="F119" i="1"/>
  <c r="F7" i="4" s="1"/>
  <c r="AJ113" i="1"/>
  <c r="AJ133" i="1" s="1"/>
  <c r="AJ32" i="4" s="1"/>
  <c r="AI113" i="1"/>
  <c r="AI133" i="1" s="1"/>
  <c r="AI32" i="4" s="1"/>
  <c r="AH113" i="1"/>
  <c r="AH133" i="1" s="1"/>
  <c r="AH32" i="4" s="1"/>
  <c r="AG113" i="1"/>
  <c r="AG133" i="1" s="1"/>
  <c r="AG32" i="4" s="1"/>
  <c r="AF113" i="1"/>
  <c r="AF133" i="1" s="1"/>
  <c r="AF32" i="4" s="1"/>
  <c r="AE113" i="1"/>
  <c r="AE133" i="1" s="1"/>
  <c r="AE32" i="4" s="1"/>
  <c r="AD113" i="1"/>
  <c r="AD133" i="1" s="1"/>
  <c r="AD32" i="4" s="1"/>
  <c r="AC113" i="1"/>
  <c r="AC133" i="1" s="1"/>
  <c r="AC32" i="4" s="1"/>
  <c r="W113" i="1"/>
  <c r="W133" i="1" s="1"/>
  <c r="W32" i="4" s="1"/>
  <c r="V113" i="1"/>
  <c r="U113" i="1"/>
  <c r="T113" i="1"/>
  <c r="S113" i="1"/>
  <c r="S133" i="1" s="1"/>
  <c r="S32" i="4" s="1"/>
  <c r="R113" i="1"/>
  <c r="R133" i="1" s="1"/>
  <c r="R32" i="4" s="1"/>
  <c r="Q113" i="1"/>
  <c r="Q133" i="1" s="1"/>
  <c r="Q32" i="4" s="1"/>
  <c r="P113" i="1"/>
  <c r="P133" i="1" s="1"/>
  <c r="P32" i="4" s="1"/>
  <c r="O113" i="1"/>
  <c r="O17" i="1" s="1"/>
  <c r="N113" i="1"/>
  <c r="N133" i="1" s="1"/>
  <c r="N32" i="4" s="1"/>
  <c r="M113" i="1"/>
  <c r="M133" i="1" s="1"/>
  <c r="M32" i="4" s="1"/>
  <c r="L113" i="1"/>
  <c r="L133" i="1" s="1"/>
  <c r="L32" i="4" s="1"/>
  <c r="K113" i="1"/>
  <c r="K133" i="1" s="1"/>
  <c r="K32" i="4" s="1"/>
  <c r="J113" i="1"/>
  <c r="I113" i="1"/>
  <c r="H113" i="1"/>
  <c r="G113" i="1"/>
  <c r="G133" i="1" s="1"/>
  <c r="G32" i="4" s="1"/>
  <c r="F113" i="1"/>
  <c r="F133" i="1" s="1"/>
  <c r="F32" i="4" s="1"/>
  <c r="E113" i="1"/>
  <c r="E17" i="1" s="1"/>
  <c r="D113" i="1"/>
  <c r="D133" i="1" s="1"/>
  <c r="D32" i="4" s="1"/>
  <c r="AJ106" i="1"/>
  <c r="AI106" i="1"/>
  <c r="AI119" i="1" s="1"/>
  <c r="AI7" i="4" s="1"/>
  <c r="AI102" i="4" s="1"/>
  <c r="AH106" i="1"/>
  <c r="AH119" i="1" s="1"/>
  <c r="AH7" i="4" s="1"/>
  <c r="AG106" i="1"/>
  <c r="AF106" i="1"/>
  <c r="AF119" i="1" s="1"/>
  <c r="AF7" i="4" s="1"/>
  <c r="AF102" i="4" s="1"/>
  <c r="AE106" i="1"/>
  <c r="AE119" i="1" s="1"/>
  <c r="AE7" i="4" s="1"/>
  <c r="AD106" i="1"/>
  <c r="AD119" i="1" s="1"/>
  <c r="AD7" i="4" s="1"/>
  <c r="AD102" i="4" s="1"/>
  <c r="AC106" i="1"/>
  <c r="W106" i="1"/>
  <c r="V106" i="1"/>
  <c r="V119" i="1" s="1"/>
  <c r="V7" i="4" s="1"/>
  <c r="V8" i="4" s="1"/>
  <c r="U106" i="1"/>
  <c r="T106" i="1"/>
  <c r="T119" i="1" s="1"/>
  <c r="T7" i="4" s="1"/>
  <c r="T8" i="4" s="1"/>
  <c r="S106" i="1"/>
  <c r="S119" i="1" s="1"/>
  <c r="S7" i="4" s="1"/>
  <c r="S8" i="4" s="1"/>
  <c r="R106" i="1"/>
  <c r="R119" i="1" s="1"/>
  <c r="R7" i="4" s="1"/>
  <c r="Q106" i="1"/>
  <c r="P106" i="1"/>
  <c r="P119" i="1" s="1"/>
  <c r="P7" i="4" s="1"/>
  <c r="O106" i="1"/>
  <c r="N106" i="1"/>
  <c r="M106" i="1"/>
  <c r="M119" i="1" s="1"/>
  <c r="M7" i="4" s="1"/>
  <c r="L106" i="1"/>
  <c r="K106" i="1"/>
  <c r="J106" i="1"/>
  <c r="J119" i="1" s="1"/>
  <c r="J7" i="4" s="1"/>
  <c r="J8" i="4" s="1"/>
  <c r="I106" i="1"/>
  <c r="H106" i="1"/>
  <c r="H119" i="1" s="1"/>
  <c r="H7" i="4" s="1"/>
  <c r="H8" i="4" s="1"/>
  <c r="G106" i="1"/>
  <c r="G119" i="1" s="1"/>
  <c r="G7" i="4" s="1"/>
  <c r="G8" i="4" s="1"/>
  <c r="F106" i="1"/>
  <c r="E106" i="1"/>
  <c r="E119" i="1" s="1"/>
  <c r="E7" i="4" s="1"/>
  <c r="E8" i="4" s="1"/>
  <c r="D106" i="1"/>
  <c r="D119" i="1" s="1"/>
  <c r="D7" i="4" s="1"/>
  <c r="AJ104" i="1"/>
  <c r="AJ126" i="1" s="1"/>
  <c r="AJ15" i="4" s="1"/>
  <c r="AJ101" i="4" s="1"/>
  <c r="AI104" i="1"/>
  <c r="AI126" i="1" s="1"/>
  <c r="AI15" i="4" s="1"/>
  <c r="AI101" i="4" s="1"/>
  <c r="AH104" i="1"/>
  <c r="AH126" i="1" s="1"/>
  <c r="AH15" i="4" s="1"/>
  <c r="AH101" i="4" s="1"/>
  <c r="AG104" i="1"/>
  <c r="AG126" i="1" s="1"/>
  <c r="AG15" i="4" s="1"/>
  <c r="AG101" i="4" s="1"/>
  <c r="AF104" i="1"/>
  <c r="AF126" i="1" s="1"/>
  <c r="AF15" i="4" s="1"/>
  <c r="AF101" i="4" s="1"/>
  <c r="AE104" i="1"/>
  <c r="AD104" i="1"/>
  <c r="AD126" i="1" s="1"/>
  <c r="AC104" i="1"/>
  <c r="AC126" i="1" s="1"/>
  <c r="W104" i="1"/>
  <c r="V104" i="1"/>
  <c r="U104" i="1"/>
  <c r="T104" i="1"/>
  <c r="T126" i="1" s="1"/>
  <c r="T15" i="4" s="1"/>
  <c r="S104" i="1"/>
  <c r="S126" i="1" s="1"/>
  <c r="S15" i="4" s="1"/>
  <c r="R104" i="1"/>
  <c r="R126" i="1" s="1"/>
  <c r="R15" i="4" s="1"/>
  <c r="Q104" i="1"/>
  <c r="Q126" i="1" s="1"/>
  <c r="Q15" i="4" s="1"/>
  <c r="P104" i="1"/>
  <c r="P126" i="1" s="1"/>
  <c r="P15" i="4" s="1"/>
  <c r="O104" i="1"/>
  <c r="O126" i="1" s="1"/>
  <c r="O15" i="4" s="1"/>
  <c r="N104" i="1"/>
  <c r="M104" i="1"/>
  <c r="M126" i="1" s="1"/>
  <c r="M15" i="4" s="1"/>
  <c r="L104" i="1"/>
  <c r="K104" i="1"/>
  <c r="J104" i="1"/>
  <c r="J126" i="1" s="1"/>
  <c r="J15" i="4" s="1"/>
  <c r="I104" i="1"/>
  <c r="H104" i="1"/>
  <c r="G104" i="1"/>
  <c r="G126" i="1" s="1"/>
  <c r="G15" i="4" s="1"/>
  <c r="F104" i="1"/>
  <c r="F126" i="1" s="1"/>
  <c r="F15" i="4" s="1"/>
  <c r="E104" i="1"/>
  <c r="E126" i="1" s="1"/>
  <c r="E15" i="4" s="1"/>
  <c r="D104" i="1"/>
  <c r="D126" i="1" s="1"/>
  <c r="D15" i="4" s="1"/>
  <c r="AJ101" i="1"/>
  <c r="AI101" i="1"/>
  <c r="AI127" i="1" s="1"/>
  <c r="AI16" i="4" s="1"/>
  <c r="AI100" i="4" s="1"/>
  <c r="AH101" i="1"/>
  <c r="AG101" i="1"/>
  <c r="AG127" i="1" s="1"/>
  <c r="AG16" i="4" s="1"/>
  <c r="AG100" i="4" s="1"/>
  <c r="AF101" i="1"/>
  <c r="AF127" i="1" s="1"/>
  <c r="AF16" i="4" s="1"/>
  <c r="AF100" i="4" s="1"/>
  <c r="AE101" i="1"/>
  <c r="AE127" i="1" s="1"/>
  <c r="AE16" i="4" s="1"/>
  <c r="AE100" i="4" s="1"/>
  <c r="AD101" i="1"/>
  <c r="AD127" i="1" s="1"/>
  <c r="AD16" i="4" s="1"/>
  <c r="AD100" i="4" s="1"/>
  <c r="AC101" i="1"/>
  <c r="W101" i="1"/>
  <c r="W127" i="1" s="1"/>
  <c r="W16" i="4" s="1"/>
  <c r="V101" i="1"/>
  <c r="U101" i="1"/>
  <c r="U127" i="1" s="1"/>
  <c r="U16" i="4" s="1"/>
  <c r="T101" i="1"/>
  <c r="S101" i="1"/>
  <c r="R101" i="1"/>
  <c r="R127" i="1" s="1"/>
  <c r="R16" i="4" s="1"/>
  <c r="Q101" i="1"/>
  <c r="P101" i="1"/>
  <c r="P127" i="1" s="1"/>
  <c r="P16" i="4" s="1"/>
  <c r="O101" i="1"/>
  <c r="O127" i="1" s="1"/>
  <c r="O16" i="4" s="1"/>
  <c r="N101" i="1"/>
  <c r="N127" i="1" s="1"/>
  <c r="N16" i="4" s="1"/>
  <c r="M101" i="1"/>
  <c r="M127" i="1" s="1"/>
  <c r="M16" i="4" s="1"/>
  <c r="L101" i="1"/>
  <c r="L127" i="1" s="1"/>
  <c r="L16" i="4" s="1"/>
  <c r="K101" i="1"/>
  <c r="K127" i="1" s="1"/>
  <c r="K16" i="4" s="1"/>
  <c r="J101" i="1"/>
  <c r="I101" i="1"/>
  <c r="I127" i="1" s="1"/>
  <c r="I16" i="4" s="1"/>
  <c r="H101" i="1"/>
  <c r="G101" i="1"/>
  <c r="F101" i="1"/>
  <c r="F127" i="1" s="1"/>
  <c r="F16" i="4" s="1"/>
  <c r="E101" i="1"/>
  <c r="D101" i="1"/>
  <c r="D127" i="1" s="1"/>
  <c r="D16" i="4" s="1"/>
  <c r="AE94" i="1"/>
  <c r="AE95" i="1" s="1"/>
  <c r="AD94" i="1"/>
  <c r="AD95" i="1" s="1"/>
  <c r="AC94" i="1"/>
  <c r="AC95" i="1" s="1"/>
  <c r="AE93" i="1"/>
  <c r="AD93" i="1"/>
  <c r="AC93" i="1"/>
  <c r="AI92" i="1"/>
  <c r="AH92" i="1"/>
  <c r="AG92" i="1"/>
  <c r="AF92" i="1"/>
  <c r="W92" i="1"/>
  <c r="V92" i="1"/>
  <c r="U92" i="1"/>
  <c r="R92" i="1"/>
  <c r="Q92" i="1"/>
  <c r="P92" i="1"/>
  <c r="P93" i="1" s="1"/>
  <c r="O92" i="1"/>
  <c r="O93" i="1" s="1"/>
  <c r="N92" i="1"/>
  <c r="N93" i="1" s="1"/>
  <c r="M92" i="1"/>
  <c r="M93" i="1" s="1"/>
  <c r="L92" i="1"/>
  <c r="K92" i="1"/>
  <c r="J92" i="1"/>
  <c r="I92" i="1"/>
  <c r="F92" i="1"/>
  <c r="E92" i="1"/>
  <c r="D92" i="1"/>
  <c r="AE91" i="1"/>
  <c r="AD91" i="1"/>
  <c r="AC91" i="1"/>
  <c r="M91" i="1"/>
  <c r="W90" i="1"/>
  <c r="W11" i="1" s="1"/>
  <c r="V90" i="1"/>
  <c r="U90" i="1"/>
  <c r="T90" i="1"/>
  <c r="S90" i="1"/>
  <c r="R90" i="1"/>
  <c r="R94" i="1" s="1"/>
  <c r="M90" i="1"/>
  <c r="L90" i="1"/>
  <c r="K90" i="1"/>
  <c r="J90" i="1"/>
  <c r="I90" i="1"/>
  <c r="H90" i="1"/>
  <c r="H94" i="1" s="1"/>
  <c r="G90" i="1"/>
  <c r="F90" i="1"/>
  <c r="F94" i="1" s="1"/>
  <c r="AE89" i="1"/>
  <c r="AD89" i="1"/>
  <c r="AC89" i="1"/>
  <c r="AG88" i="1"/>
  <c r="W88" i="1"/>
  <c r="V88" i="1"/>
  <c r="U88" i="1"/>
  <c r="T88" i="1"/>
  <c r="S88" i="1"/>
  <c r="R88" i="1"/>
  <c r="Q88" i="1"/>
  <c r="P88" i="1"/>
  <c r="O88" i="1"/>
  <c r="O89" i="1" s="1"/>
  <c r="N88" i="1"/>
  <c r="N89" i="1" s="1"/>
  <c r="M88" i="1"/>
  <c r="M89" i="1" s="1"/>
  <c r="L88" i="1"/>
  <c r="K88" i="1"/>
  <c r="J88" i="1"/>
  <c r="I88" i="1"/>
  <c r="H88" i="1"/>
  <c r="G88" i="1"/>
  <c r="F88" i="1"/>
  <c r="E88" i="1"/>
  <c r="D88" i="1"/>
  <c r="AE87" i="1"/>
  <c r="AD87" i="1"/>
  <c r="AC87" i="1"/>
  <c r="AF86" i="1"/>
  <c r="W86" i="1"/>
  <c r="V86" i="1"/>
  <c r="V89" i="1" s="1"/>
  <c r="U86" i="1"/>
  <c r="T86" i="1"/>
  <c r="S86" i="1"/>
  <c r="R86" i="1"/>
  <c r="Q86" i="1"/>
  <c r="P86" i="1"/>
  <c r="O86" i="1"/>
  <c r="N86" i="1"/>
  <c r="M86" i="1"/>
  <c r="L86" i="1"/>
  <c r="K86" i="1"/>
  <c r="J86" i="1"/>
  <c r="J89" i="1" s="1"/>
  <c r="I86" i="1"/>
  <c r="H86" i="1"/>
  <c r="G86" i="1"/>
  <c r="F86" i="1"/>
  <c r="E86" i="1"/>
  <c r="D86" i="1"/>
  <c r="AE85" i="1"/>
  <c r="AD85" i="1"/>
  <c r="AI84" i="1"/>
  <c r="W84" i="1"/>
  <c r="V84" i="1"/>
  <c r="U84" i="1"/>
  <c r="T84" i="1"/>
  <c r="S84" i="1"/>
  <c r="R84" i="1"/>
  <c r="V85" i="1" s="1"/>
  <c r="Q84" i="1"/>
  <c r="P84" i="1"/>
  <c r="O84" i="1"/>
  <c r="N84" i="1"/>
  <c r="M84" i="1"/>
  <c r="L84" i="1"/>
  <c r="K84" i="1"/>
  <c r="J84" i="1"/>
  <c r="J85" i="1" s="1"/>
  <c r="I84" i="1"/>
  <c r="H84" i="1"/>
  <c r="H85" i="1" s="1"/>
  <c r="G84" i="1"/>
  <c r="F84" i="1"/>
  <c r="E84" i="1"/>
  <c r="D84" i="1"/>
  <c r="AE78" i="1"/>
  <c r="AD78" i="1"/>
  <c r="AC78" i="1"/>
  <c r="AJ77" i="1"/>
  <c r="AI77" i="1"/>
  <c r="AH77" i="1"/>
  <c r="AG77" i="1"/>
  <c r="AF77" i="1"/>
  <c r="AF78" i="1" s="1"/>
  <c r="W77" i="1"/>
  <c r="V77" i="1"/>
  <c r="U77" i="1"/>
  <c r="T77" i="1"/>
  <c r="S77" i="1"/>
  <c r="R77" i="1"/>
  <c r="Q77" i="1"/>
  <c r="P77" i="1"/>
  <c r="O77" i="1"/>
  <c r="N77" i="1"/>
  <c r="M77" i="1"/>
  <c r="L77" i="1"/>
  <c r="L78" i="1" s="1"/>
  <c r="K77" i="1"/>
  <c r="J77" i="1"/>
  <c r="I77" i="1"/>
  <c r="H77" i="1"/>
  <c r="G77" i="1"/>
  <c r="F77" i="1"/>
  <c r="E77" i="1"/>
  <c r="D77" i="1"/>
  <c r="AF71" i="1"/>
  <c r="AF72" i="1" s="1"/>
  <c r="AE71" i="1"/>
  <c r="AE72" i="1" s="1"/>
  <c r="AD71" i="1"/>
  <c r="AD72" i="1" s="1"/>
  <c r="AC71" i="1"/>
  <c r="AC72" i="1" s="1"/>
  <c r="L71" i="1"/>
  <c r="L72" i="1" s="1"/>
  <c r="J71" i="1"/>
  <c r="AJ74" i="1"/>
  <c r="AI74" i="1"/>
  <c r="AH74" i="1"/>
  <c r="AF74" i="1"/>
  <c r="W74" i="1"/>
  <c r="V74" i="1"/>
  <c r="U74" i="1"/>
  <c r="T74" i="1"/>
  <c r="S74" i="1"/>
  <c r="R74" i="1"/>
  <c r="Q74" i="1"/>
  <c r="P74" i="1"/>
  <c r="O74" i="1"/>
  <c r="N74" i="1"/>
  <c r="M74" i="1"/>
  <c r="L74" i="1"/>
  <c r="K74" i="1"/>
  <c r="J74" i="1"/>
  <c r="I74" i="1"/>
  <c r="H74" i="1"/>
  <c r="G74" i="1"/>
  <c r="F74" i="1"/>
  <c r="E74" i="1"/>
  <c r="D74" i="1"/>
  <c r="AJ73" i="1"/>
  <c r="AJ71" i="1" s="1"/>
  <c r="AI73" i="1"/>
  <c r="AH73" i="1"/>
  <c r="AH71" i="1" s="1"/>
  <c r="AG73" i="1"/>
  <c r="AF73" i="1"/>
  <c r="W73" i="1"/>
  <c r="V73" i="1"/>
  <c r="U73" i="1"/>
  <c r="U71" i="1" s="1"/>
  <c r="T73" i="1"/>
  <c r="T71" i="1" s="1"/>
  <c r="S73" i="1"/>
  <c r="S71" i="1" s="1"/>
  <c r="R73" i="1"/>
  <c r="Q73" i="1"/>
  <c r="Q71" i="1" s="1"/>
  <c r="Q72" i="1" s="1"/>
  <c r="P73" i="1"/>
  <c r="O73" i="1"/>
  <c r="N73" i="1"/>
  <c r="M73" i="1"/>
  <c r="L73" i="1"/>
  <c r="K73" i="1"/>
  <c r="J73" i="1"/>
  <c r="I73" i="1"/>
  <c r="I71" i="1" s="1"/>
  <c r="H73" i="1"/>
  <c r="H71" i="1" s="1"/>
  <c r="G73" i="1"/>
  <c r="G71" i="1" s="1"/>
  <c r="F73" i="1"/>
  <c r="E73" i="1"/>
  <c r="E71" i="1" s="1"/>
  <c r="E75" i="1" s="1"/>
  <c r="D73" i="1"/>
  <c r="AE70" i="1"/>
  <c r="AD70" i="1"/>
  <c r="AC70" i="1"/>
  <c r="AJ69" i="1"/>
  <c r="AI69" i="1"/>
  <c r="AH69" i="1"/>
  <c r="AG69" i="1"/>
  <c r="AF69" i="1"/>
  <c r="W69" i="1"/>
  <c r="V69" i="1"/>
  <c r="V70" i="1" s="1"/>
  <c r="U69" i="1"/>
  <c r="U70" i="1" s="1"/>
  <c r="T69" i="1"/>
  <c r="T70" i="1" s="1"/>
  <c r="S69" i="1"/>
  <c r="R69" i="1"/>
  <c r="Q69" i="1"/>
  <c r="P69" i="1"/>
  <c r="O69" i="1"/>
  <c r="N69" i="1"/>
  <c r="M69" i="1"/>
  <c r="L69" i="1"/>
  <c r="K69" i="1"/>
  <c r="J69" i="1"/>
  <c r="I69" i="1"/>
  <c r="H69" i="1"/>
  <c r="G69" i="1"/>
  <c r="F69" i="1"/>
  <c r="E69" i="1"/>
  <c r="D69" i="1"/>
  <c r="AE68" i="1"/>
  <c r="AD68" i="1"/>
  <c r="AC68" i="1"/>
  <c r="AJ67" i="1"/>
  <c r="AJ68" i="1" s="1"/>
  <c r="AI67" i="1"/>
  <c r="AH67" i="1"/>
  <c r="AH68" i="1" s="1"/>
  <c r="AG67" i="1"/>
  <c r="AF67" i="1"/>
  <c r="W67" i="1"/>
  <c r="V67" i="1"/>
  <c r="U67" i="1"/>
  <c r="T67" i="1"/>
  <c r="T68" i="1" s="1"/>
  <c r="S67" i="1"/>
  <c r="R67" i="1"/>
  <c r="Q67" i="1"/>
  <c r="P67" i="1"/>
  <c r="P68" i="1" s="1"/>
  <c r="O67" i="1"/>
  <c r="N67" i="1"/>
  <c r="N68" i="1" s="1"/>
  <c r="M67" i="1"/>
  <c r="L67" i="1"/>
  <c r="K67" i="1"/>
  <c r="J67" i="1"/>
  <c r="I67" i="1"/>
  <c r="H67" i="1"/>
  <c r="G67" i="1"/>
  <c r="F67" i="1"/>
  <c r="E67" i="1"/>
  <c r="D67" i="1"/>
  <c r="AE66" i="1"/>
  <c r="AD66" i="1"/>
  <c r="AC66" i="1"/>
  <c r="AI65" i="1"/>
  <c r="AH65" i="1"/>
  <c r="AG65" i="1"/>
  <c r="AF65" i="1"/>
  <c r="AF66" i="1" s="1"/>
  <c r="W65" i="1"/>
  <c r="W66" i="1" s="1"/>
  <c r="V65" i="1"/>
  <c r="U65" i="1"/>
  <c r="T65" i="1"/>
  <c r="S65" i="1"/>
  <c r="R65" i="1"/>
  <c r="Q65" i="1"/>
  <c r="P65" i="1"/>
  <c r="O65" i="1"/>
  <c r="N65" i="1"/>
  <c r="M65" i="1"/>
  <c r="L65" i="1"/>
  <c r="K65" i="1"/>
  <c r="K66" i="1" s="1"/>
  <c r="J65" i="1"/>
  <c r="I65" i="1"/>
  <c r="H65" i="1"/>
  <c r="H9" i="1" s="1"/>
  <c r="G65" i="1"/>
  <c r="F65" i="1"/>
  <c r="E65" i="1"/>
  <c r="D65" i="1"/>
  <c r="AE64" i="1"/>
  <c r="AD64" i="1"/>
  <c r="AC64" i="1"/>
  <c r="L64" i="1"/>
  <c r="AJ63" i="1"/>
  <c r="AI63" i="1"/>
  <c r="AH63" i="1"/>
  <c r="AH66" i="1" s="1"/>
  <c r="AG63" i="1"/>
  <c r="AG66" i="1" s="1"/>
  <c r="AF63" i="1"/>
  <c r="AF64" i="1" s="1"/>
  <c r="W63" i="1"/>
  <c r="V63" i="1"/>
  <c r="U63" i="1"/>
  <c r="T63" i="1"/>
  <c r="S63" i="1"/>
  <c r="R63" i="1"/>
  <c r="Q63" i="1"/>
  <c r="P63" i="1"/>
  <c r="O63" i="1"/>
  <c r="N63" i="1"/>
  <c r="M63" i="1"/>
  <c r="L63" i="1"/>
  <c r="K63" i="1"/>
  <c r="J63" i="1"/>
  <c r="I63" i="1"/>
  <c r="H63" i="1"/>
  <c r="G63" i="1"/>
  <c r="F63" i="1"/>
  <c r="E63" i="1"/>
  <c r="D63" i="1"/>
  <c r="AE62" i="1"/>
  <c r="AD62" i="1"/>
  <c r="L62" i="1"/>
  <c r="AJ61" i="1"/>
  <c r="AJ59" i="1" s="1"/>
  <c r="AK59" i="1" s="1"/>
  <c r="AL59" i="1" s="1"/>
  <c r="AM59" i="1" s="1"/>
  <c r="AN59" i="1" s="1"/>
  <c r="AI61" i="1"/>
  <c r="AI59" i="1" s="1"/>
  <c r="AH61" i="1"/>
  <c r="AG61" i="1"/>
  <c r="AF61" i="1"/>
  <c r="AF62" i="1" s="1"/>
  <c r="W61" i="1"/>
  <c r="V61" i="1"/>
  <c r="U61" i="1"/>
  <c r="U59" i="1" s="1"/>
  <c r="T61" i="1"/>
  <c r="T59" i="1" s="1"/>
  <c r="S61" i="1"/>
  <c r="W62" i="1" s="1"/>
  <c r="R61" i="1"/>
  <c r="R59" i="1" s="1"/>
  <c r="Q61" i="1"/>
  <c r="U62" i="1" s="1"/>
  <c r="P61" i="1"/>
  <c r="O61" i="1"/>
  <c r="N61" i="1"/>
  <c r="M61" i="1"/>
  <c r="L61" i="1"/>
  <c r="K61" i="1"/>
  <c r="J61" i="1"/>
  <c r="I61" i="1"/>
  <c r="I59" i="1" s="1"/>
  <c r="H61" i="1"/>
  <c r="G61" i="1"/>
  <c r="G59" i="1" s="1"/>
  <c r="F61" i="1"/>
  <c r="E61" i="1"/>
  <c r="E5" i="1" s="1"/>
  <c r="E21" i="1" s="1"/>
  <c r="D61" i="1"/>
  <c r="AE59" i="1"/>
  <c r="AD59" i="1"/>
  <c r="AC59" i="1"/>
  <c r="AE58" i="1"/>
  <c r="AD58" i="1"/>
  <c r="AC58" i="1"/>
  <c r="AJ57" i="1"/>
  <c r="AJ58" i="1" s="1"/>
  <c r="AI57" i="1"/>
  <c r="AH57" i="1"/>
  <c r="AG57" i="1"/>
  <c r="AF57" i="1"/>
  <c r="W57" i="1"/>
  <c r="V57" i="1"/>
  <c r="V58" i="1" s="1"/>
  <c r="U57" i="1"/>
  <c r="T57" i="1"/>
  <c r="S57" i="1"/>
  <c r="R57" i="1"/>
  <c r="Q57" i="1"/>
  <c r="Q58" i="1" s="1"/>
  <c r="P57" i="1"/>
  <c r="O57" i="1"/>
  <c r="N57" i="1"/>
  <c r="M57" i="1"/>
  <c r="L57" i="1"/>
  <c r="K57" i="1"/>
  <c r="J57" i="1"/>
  <c r="I57" i="1"/>
  <c r="H57" i="1"/>
  <c r="G57" i="1"/>
  <c r="F57" i="1"/>
  <c r="E57" i="1"/>
  <c r="E58" i="1" s="1"/>
  <c r="D57" i="1"/>
  <c r="AE56" i="1"/>
  <c r="AD56" i="1"/>
  <c r="AJ55" i="1"/>
  <c r="AJ56" i="1" s="1"/>
  <c r="AI55" i="1"/>
  <c r="AH55" i="1"/>
  <c r="AH56" i="1" s="1"/>
  <c r="AG55" i="1"/>
  <c r="AF55" i="1"/>
  <c r="AF56" i="1" s="1"/>
  <c r="W55" i="1"/>
  <c r="V55" i="1"/>
  <c r="U55" i="1"/>
  <c r="T55" i="1"/>
  <c r="S55" i="1"/>
  <c r="R55" i="1"/>
  <c r="V56" i="1" s="1"/>
  <c r="Q55" i="1"/>
  <c r="P55" i="1"/>
  <c r="T56" i="1" s="1"/>
  <c r="O55" i="1"/>
  <c r="N55" i="1"/>
  <c r="M55" i="1"/>
  <c r="L55" i="1"/>
  <c r="K55" i="1"/>
  <c r="K56" i="1" s="1"/>
  <c r="J55" i="1"/>
  <c r="I55" i="1"/>
  <c r="H55" i="1"/>
  <c r="G55" i="1"/>
  <c r="F55" i="1"/>
  <c r="E55" i="1"/>
  <c r="D55" i="1"/>
  <c r="AE49" i="1"/>
  <c r="AD49" i="1"/>
  <c r="AC49" i="1"/>
  <c r="AJ48" i="1"/>
  <c r="AI48" i="1"/>
  <c r="AH48" i="1"/>
  <c r="AG48" i="1"/>
  <c r="AF48" i="1"/>
  <c r="W48" i="1"/>
  <c r="V48" i="1"/>
  <c r="U48" i="1"/>
  <c r="T48" i="1"/>
  <c r="S48" i="1"/>
  <c r="S49" i="1" s="1"/>
  <c r="R48" i="1"/>
  <c r="R49" i="1" s="1"/>
  <c r="Q48" i="1"/>
  <c r="P48" i="1"/>
  <c r="O48" i="1"/>
  <c r="N48" i="1"/>
  <c r="M48" i="1"/>
  <c r="L48" i="1"/>
  <c r="K48" i="1"/>
  <c r="J48" i="1"/>
  <c r="I48" i="1"/>
  <c r="H48" i="1"/>
  <c r="G48" i="1"/>
  <c r="G49" i="1" s="1"/>
  <c r="F48" i="1"/>
  <c r="E48" i="1"/>
  <c r="D48" i="1"/>
  <c r="AE42" i="1"/>
  <c r="AE43" i="1" s="1"/>
  <c r="AD42" i="1"/>
  <c r="AC42" i="1"/>
  <c r="AC43" i="1" s="1"/>
  <c r="V42" i="1"/>
  <c r="J42" i="1"/>
  <c r="AJ45" i="1"/>
  <c r="AI45" i="1"/>
  <c r="AH45" i="1"/>
  <c r="AG45" i="1"/>
  <c r="AG42" i="1" s="1"/>
  <c r="AF45" i="1"/>
  <c r="W45" i="1"/>
  <c r="V45" i="1"/>
  <c r="U45" i="1"/>
  <c r="T45" i="1"/>
  <c r="S45" i="1"/>
  <c r="R45" i="1"/>
  <c r="Q45" i="1"/>
  <c r="P45" i="1"/>
  <c r="O45" i="1"/>
  <c r="N45" i="1"/>
  <c r="M45" i="1"/>
  <c r="M42" i="1" s="1"/>
  <c r="L45" i="1"/>
  <c r="K45" i="1"/>
  <c r="J45" i="1"/>
  <c r="I45" i="1"/>
  <c r="H45" i="1"/>
  <c r="G45" i="1"/>
  <c r="F45" i="1"/>
  <c r="E45" i="1"/>
  <c r="D45" i="1"/>
  <c r="AJ44" i="1"/>
  <c r="AI44" i="1"/>
  <c r="AI42" i="1" s="1"/>
  <c r="AH44" i="1"/>
  <c r="AG44" i="1"/>
  <c r="AF44" i="1"/>
  <c r="W44" i="1"/>
  <c r="V44" i="1"/>
  <c r="U44" i="1"/>
  <c r="T44" i="1"/>
  <c r="T42" i="1" s="1"/>
  <c r="S44" i="1"/>
  <c r="S42" i="1" s="1"/>
  <c r="R44" i="1"/>
  <c r="R42" i="1" s="1"/>
  <c r="Q44" i="1"/>
  <c r="Q42" i="1" s="1"/>
  <c r="P44" i="1"/>
  <c r="O44" i="1"/>
  <c r="O42" i="1" s="1"/>
  <c r="N44" i="1"/>
  <c r="M44" i="1"/>
  <c r="L44" i="1"/>
  <c r="K44" i="1"/>
  <c r="J44" i="1"/>
  <c r="I44" i="1"/>
  <c r="I42" i="1" s="1"/>
  <c r="H44" i="1"/>
  <c r="H42" i="1" s="1"/>
  <c r="G44" i="1"/>
  <c r="G42" i="1" s="1"/>
  <c r="G43" i="1" s="1"/>
  <c r="F44" i="1"/>
  <c r="F42" i="1" s="1"/>
  <c r="E44" i="1"/>
  <c r="E42" i="1" s="1"/>
  <c r="D44" i="1"/>
  <c r="AE41" i="1"/>
  <c r="AD41" i="1"/>
  <c r="AC41" i="1"/>
  <c r="AJ40" i="1"/>
  <c r="AJ41" i="1" s="1"/>
  <c r="AI40" i="1"/>
  <c r="AI41" i="1" s="1"/>
  <c r="AH40" i="1"/>
  <c r="AG40" i="1"/>
  <c r="AF40" i="1"/>
  <c r="W40" i="1"/>
  <c r="V40" i="1"/>
  <c r="V41" i="1" s="1"/>
  <c r="U40" i="1"/>
  <c r="T40" i="1"/>
  <c r="S40" i="1"/>
  <c r="R40" i="1"/>
  <c r="Q40" i="1"/>
  <c r="P40" i="1"/>
  <c r="O40" i="1"/>
  <c r="N40" i="1"/>
  <c r="M40" i="1"/>
  <c r="L40" i="1"/>
  <c r="K40" i="1"/>
  <c r="K41" i="1" s="1"/>
  <c r="J40" i="1"/>
  <c r="I40" i="1"/>
  <c r="I41" i="1" s="1"/>
  <c r="H40" i="1"/>
  <c r="G40" i="1"/>
  <c r="F40" i="1"/>
  <c r="E40" i="1"/>
  <c r="D40" i="1"/>
  <c r="AJ39" i="1"/>
  <c r="AI39" i="1"/>
  <c r="AE39" i="1"/>
  <c r="AD39" i="1"/>
  <c r="AC39" i="1"/>
  <c r="AJ38" i="1"/>
  <c r="AI38" i="1"/>
  <c r="AH38" i="1"/>
  <c r="AG38" i="1"/>
  <c r="AF38" i="1"/>
  <c r="W38" i="1"/>
  <c r="V38" i="1"/>
  <c r="U38" i="1"/>
  <c r="T38" i="1"/>
  <c r="S38" i="1"/>
  <c r="S11" i="1" s="1"/>
  <c r="R38" i="1"/>
  <c r="R39" i="1" s="1"/>
  <c r="Q38" i="1"/>
  <c r="Q39" i="1" s="1"/>
  <c r="P38" i="1"/>
  <c r="O38" i="1"/>
  <c r="N38" i="1"/>
  <c r="M38" i="1"/>
  <c r="L38" i="1"/>
  <c r="K38" i="1"/>
  <c r="J38" i="1"/>
  <c r="I38" i="1"/>
  <c r="H38" i="1"/>
  <c r="G38" i="1"/>
  <c r="G39" i="1" s="1"/>
  <c r="F38" i="1"/>
  <c r="E38" i="1"/>
  <c r="E39" i="1" s="1"/>
  <c r="D38" i="1"/>
  <c r="AE37" i="1"/>
  <c r="AD37" i="1"/>
  <c r="AC37" i="1"/>
  <c r="AJ36" i="1"/>
  <c r="AI36" i="1"/>
  <c r="AI37" i="1" s="1"/>
  <c r="AH36" i="1"/>
  <c r="AH37" i="1" s="1"/>
  <c r="AG36" i="1"/>
  <c r="AG9" i="1" s="1"/>
  <c r="AF36" i="1"/>
  <c r="W36" i="1"/>
  <c r="V36" i="1"/>
  <c r="U36" i="1"/>
  <c r="T36" i="1"/>
  <c r="S36" i="1"/>
  <c r="R36" i="1"/>
  <c r="Q36" i="1"/>
  <c r="Q37" i="1" s="1"/>
  <c r="P36" i="1"/>
  <c r="O36" i="1"/>
  <c r="N36" i="1"/>
  <c r="M36" i="1"/>
  <c r="L36" i="1"/>
  <c r="K36" i="1"/>
  <c r="J36" i="1"/>
  <c r="I36" i="1"/>
  <c r="H36" i="1"/>
  <c r="G36" i="1"/>
  <c r="F36" i="1"/>
  <c r="E36" i="1"/>
  <c r="E37" i="1" s="1"/>
  <c r="D36" i="1"/>
  <c r="AE35" i="1"/>
  <c r="AD35" i="1"/>
  <c r="AC35" i="1"/>
  <c r="AJ34" i="1"/>
  <c r="AJ49" i="1" s="1"/>
  <c r="AI34" i="1"/>
  <c r="AH34" i="1"/>
  <c r="AG34" i="1"/>
  <c r="AF34" i="1"/>
  <c r="W34" i="1"/>
  <c r="W37" i="1" s="1"/>
  <c r="V34" i="1"/>
  <c r="V35" i="1" s="1"/>
  <c r="U34" i="1"/>
  <c r="U35" i="1" s="1"/>
  <c r="T34" i="1"/>
  <c r="T49" i="1" s="1"/>
  <c r="S34" i="1"/>
  <c r="S35" i="1" s="1"/>
  <c r="R34" i="1"/>
  <c r="Q34" i="1"/>
  <c r="P34" i="1"/>
  <c r="O34" i="1"/>
  <c r="N34" i="1"/>
  <c r="N39" i="1" s="1"/>
  <c r="M34" i="1"/>
  <c r="L34" i="1"/>
  <c r="K34" i="1"/>
  <c r="K7" i="1" s="1"/>
  <c r="J34" i="1"/>
  <c r="I34" i="1"/>
  <c r="H34" i="1"/>
  <c r="H39" i="1" s="1"/>
  <c r="G34" i="1"/>
  <c r="F34" i="1"/>
  <c r="E34" i="1"/>
  <c r="D34" i="1"/>
  <c r="AE33" i="1"/>
  <c r="AD33" i="1"/>
  <c r="AJ32" i="1"/>
  <c r="AI32" i="1"/>
  <c r="AH32" i="1"/>
  <c r="AG32" i="1"/>
  <c r="AF32" i="1"/>
  <c r="AF30" i="1" s="1"/>
  <c r="W32" i="1"/>
  <c r="V32" i="1"/>
  <c r="U32" i="1"/>
  <c r="T32" i="1"/>
  <c r="S32" i="1"/>
  <c r="R32" i="1"/>
  <c r="Q32" i="1"/>
  <c r="P32" i="1"/>
  <c r="O32" i="1"/>
  <c r="N32" i="1"/>
  <c r="M32" i="1"/>
  <c r="M30" i="1" s="1"/>
  <c r="L32" i="1"/>
  <c r="K32" i="1"/>
  <c r="J32" i="1"/>
  <c r="I32" i="1"/>
  <c r="H32" i="1"/>
  <c r="G32" i="1"/>
  <c r="F32" i="1"/>
  <c r="J33" i="1" s="1"/>
  <c r="E32" i="1"/>
  <c r="I33" i="1" s="1"/>
  <c r="D32" i="1"/>
  <c r="AE30" i="1"/>
  <c r="AD30" i="1"/>
  <c r="AC30" i="1"/>
  <c r="AE29" i="1"/>
  <c r="AD29" i="1"/>
  <c r="AC29" i="1"/>
  <c r="AJ28" i="1"/>
  <c r="AI28" i="1"/>
  <c r="AH28" i="1"/>
  <c r="AG28" i="1"/>
  <c r="AF28" i="1"/>
  <c r="W28" i="1"/>
  <c r="V28" i="1"/>
  <c r="U28" i="1"/>
  <c r="U30" i="1" s="1"/>
  <c r="T28" i="1"/>
  <c r="S28" i="1"/>
  <c r="R28" i="1"/>
  <c r="Q28" i="1"/>
  <c r="P28" i="1"/>
  <c r="O28" i="1"/>
  <c r="N28" i="1"/>
  <c r="M28" i="1"/>
  <c r="L28" i="1"/>
  <c r="L29" i="1" s="1"/>
  <c r="K28" i="1"/>
  <c r="J28" i="1"/>
  <c r="I28" i="1"/>
  <c r="H28" i="1"/>
  <c r="G28" i="1"/>
  <c r="F28" i="1"/>
  <c r="F29" i="1" s="1"/>
  <c r="E28" i="1"/>
  <c r="D28" i="1"/>
  <c r="AE27" i="1"/>
  <c r="AD27" i="1"/>
  <c r="AJ26" i="1"/>
  <c r="AK26" i="1" s="1"/>
  <c r="AK28" i="1" s="1"/>
  <c r="AI26" i="1"/>
  <c r="AH26" i="1"/>
  <c r="AH27" i="1" s="1"/>
  <c r="AG26" i="1"/>
  <c r="AF26" i="1"/>
  <c r="W26" i="1"/>
  <c r="V26" i="1"/>
  <c r="U26" i="1"/>
  <c r="T26" i="1"/>
  <c r="S26" i="1"/>
  <c r="R26" i="1"/>
  <c r="Q26" i="1"/>
  <c r="Q27" i="1" s="1"/>
  <c r="P26" i="1"/>
  <c r="O26" i="1"/>
  <c r="N26" i="1"/>
  <c r="N27" i="1" s="1"/>
  <c r="M26" i="1"/>
  <c r="L26" i="1"/>
  <c r="K26" i="1"/>
  <c r="J26" i="1"/>
  <c r="I26" i="1"/>
  <c r="H26" i="1"/>
  <c r="H29" i="1" s="1"/>
  <c r="G26" i="1"/>
  <c r="F26" i="1"/>
  <c r="E26" i="1"/>
  <c r="D26" i="1"/>
  <c r="H27" i="1" s="1"/>
  <c r="AJ17" i="1"/>
  <c r="AI17" i="1"/>
  <c r="AG17" i="1"/>
  <c r="P17" i="1"/>
  <c r="D17" i="1"/>
  <c r="AE11" i="1"/>
  <c r="AD11" i="1"/>
  <c r="AC11" i="1"/>
  <c r="AE9" i="1"/>
  <c r="AE118" i="1" s="1"/>
  <c r="AD9" i="1"/>
  <c r="AC9" i="1"/>
  <c r="AC118" i="1" s="1"/>
  <c r="AE7" i="1"/>
  <c r="AD7" i="1"/>
  <c r="AC7" i="1"/>
  <c r="O7" i="1"/>
  <c r="N7" i="1"/>
  <c r="AE5" i="1"/>
  <c r="AD5" i="1"/>
  <c r="AC5" i="1"/>
  <c r="AC22" i="1" s="1"/>
  <c r="AN2" i="1"/>
  <c r="AM2" i="1"/>
  <c r="AL2" i="1"/>
  <c r="AK2" i="1"/>
  <c r="AJ2" i="1"/>
  <c r="AI2" i="1"/>
  <c r="AH2" i="1"/>
  <c r="AG2" i="1"/>
  <c r="AF2" i="1"/>
  <c r="AE2" i="1"/>
  <c r="AD2" i="1"/>
  <c r="AC2" i="1"/>
  <c r="D2" i="1"/>
  <c r="E2" i="1" s="1"/>
  <c r="F2" i="1" s="1"/>
  <c r="G2" i="1" s="1"/>
  <c r="H2" i="1" s="1"/>
  <c r="I2" i="1" s="1"/>
  <c r="J2" i="1" s="1"/>
  <c r="K2" i="1" s="1"/>
  <c r="L2" i="1" s="1"/>
  <c r="M2" i="1" s="1"/>
  <c r="N2" i="1" s="1"/>
  <c r="O2" i="1" s="1"/>
  <c r="P2" i="1" s="1"/>
  <c r="Q2" i="1" s="1"/>
  <c r="R2" i="1" s="1"/>
  <c r="S2" i="1" s="1"/>
  <c r="T2" i="1" s="1"/>
  <c r="U2" i="1" s="1"/>
  <c r="V2" i="1" s="1"/>
  <c r="W2" i="1" s="1"/>
  <c r="X2" i="1" s="1"/>
  <c r="Y2" i="1" s="1"/>
  <c r="Z2" i="1" s="1"/>
  <c r="AA2" i="1" s="1"/>
  <c r="AJ204" i="2"/>
  <c r="AI204" i="2"/>
  <c r="AH204" i="2"/>
  <c r="AG203" i="2"/>
  <c r="AG240" i="1" s="1"/>
  <c r="AF203" i="2"/>
  <c r="AF240" i="1" s="1"/>
  <c r="AE203" i="2"/>
  <c r="AE240" i="1" s="1"/>
  <c r="AG202" i="2"/>
  <c r="AG238" i="1" s="1"/>
  <c r="AF202" i="2"/>
  <c r="AF238" i="1" s="1"/>
  <c r="AE202" i="2"/>
  <c r="AJ200" i="2"/>
  <c r="AI200" i="2"/>
  <c r="AH200" i="2"/>
  <c r="AG200" i="2"/>
  <c r="AF200" i="2"/>
  <c r="AE200" i="2"/>
  <c r="AJ196" i="2"/>
  <c r="AI196" i="2"/>
  <c r="AH196" i="2"/>
  <c r="AG196" i="2"/>
  <c r="AF196" i="2"/>
  <c r="AE195" i="2"/>
  <c r="AE228" i="1" s="1"/>
  <c r="AE194" i="2"/>
  <c r="AE226" i="1" s="1"/>
  <c r="AJ193" i="2"/>
  <c r="AI193" i="2"/>
  <c r="AH193" i="2"/>
  <c r="AG193" i="2"/>
  <c r="AF193" i="2"/>
  <c r="AJ189" i="2"/>
  <c r="AI189" i="2"/>
  <c r="AH189" i="2"/>
  <c r="AG189" i="2"/>
  <c r="AF189" i="2"/>
  <c r="AE177" i="2"/>
  <c r="AE180" i="2" s="1"/>
  <c r="AJ175" i="2"/>
  <c r="AI175" i="2"/>
  <c r="AH175" i="2"/>
  <c r="AG175" i="2"/>
  <c r="AF175" i="2"/>
  <c r="AE175" i="2"/>
  <c r="AD175" i="2"/>
  <c r="AC175" i="2"/>
  <c r="AJ158" i="2"/>
  <c r="AI158" i="2"/>
  <c r="AH158" i="2"/>
  <c r="AG158" i="2"/>
  <c r="AF158" i="2"/>
  <c r="AE158" i="2"/>
  <c r="AD158" i="2"/>
  <c r="AC158" i="2"/>
  <c r="AE145" i="2"/>
  <c r="AD145" i="2"/>
  <c r="AD177" i="2" s="1"/>
  <c r="AD180" i="2" s="1"/>
  <c r="AE143" i="2"/>
  <c r="AC143" i="2"/>
  <c r="AC145" i="2" s="1"/>
  <c r="AC177" i="2" s="1"/>
  <c r="AC180" i="2" s="1"/>
  <c r="AJ127" i="2"/>
  <c r="AJ143" i="2" s="1"/>
  <c r="AJ145" i="2" s="1"/>
  <c r="AJ177" i="2" s="1"/>
  <c r="AJ180" i="2" s="1"/>
  <c r="AI127" i="2"/>
  <c r="AI143" i="2" s="1"/>
  <c r="AI145" i="2" s="1"/>
  <c r="AH127" i="2"/>
  <c r="AH143" i="2" s="1"/>
  <c r="AH145" i="2" s="1"/>
  <c r="AH177" i="2" s="1"/>
  <c r="AH180" i="2" s="1"/>
  <c r="AG127" i="2"/>
  <c r="AG143" i="2" s="1"/>
  <c r="AG145" i="2" s="1"/>
  <c r="AG177" i="2" s="1"/>
  <c r="AG180" i="2" s="1"/>
  <c r="AF127" i="2"/>
  <c r="AF143" i="2" s="1"/>
  <c r="AF145" i="2" s="1"/>
  <c r="AF177" i="2" s="1"/>
  <c r="AF180" i="2" s="1"/>
  <c r="AE127" i="2"/>
  <c r="AD127" i="2"/>
  <c r="AD143" i="2" s="1"/>
  <c r="AC127" i="2"/>
  <c r="AG104" i="2"/>
  <c r="W104" i="2"/>
  <c r="U104" i="2"/>
  <c r="S104" i="2"/>
  <c r="AJ102" i="2"/>
  <c r="AI102" i="2"/>
  <c r="AH102" i="2"/>
  <c r="AG102" i="2"/>
  <c r="AF102" i="2"/>
  <c r="AF104" i="2" s="1"/>
  <c r="AE102" i="2"/>
  <c r="AE104" i="2" s="1"/>
  <c r="AE105" i="2" s="1"/>
  <c r="AD102" i="2"/>
  <c r="AD104" i="2" s="1"/>
  <c r="AC102" i="2"/>
  <c r="W102" i="2"/>
  <c r="U102" i="2"/>
  <c r="S102" i="2"/>
  <c r="Q102" i="2"/>
  <c r="O102" i="2"/>
  <c r="M102" i="2"/>
  <c r="K102" i="2"/>
  <c r="K104" i="2" s="1"/>
  <c r="I102" i="2"/>
  <c r="G102" i="2"/>
  <c r="AJ90" i="2"/>
  <c r="AJ104" i="2" s="1"/>
  <c r="AJ105" i="2" s="1"/>
  <c r="AI90" i="2"/>
  <c r="AI104" i="2" s="1"/>
  <c r="AH90" i="2"/>
  <c r="AG90" i="2"/>
  <c r="AF90" i="2"/>
  <c r="AE90" i="2"/>
  <c r="AD90" i="2"/>
  <c r="AC90" i="2"/>
  <c r="AC104" i="2" s="1"/>
  <c r="W90" i="2"/>
  <c r="U90" i="2"/>
  <c r="S90" i="2"/>
  <c r="Q90" i="2"/>
  <c r="Q104" i="2" s="1"/>
  <c r="O90" i="2"/>
  <c r="O104" i="2" s="1"/>
  <c r="O105" i="2" s="1"/>
  <c r="O106" i="2" s="1"/>
  <c r="M90" i="2"/>
  <c r="M104" i="2" s="1"/>
  <c r="K90" i="2"/>
  <c r="I90" i="2"/>
  <c r="I104" i="2" s="1"/>
  <c r="G90" i="2"/>
  <c r="G104" i="2" s="1"/>
  <c r="AJ83" i="2"/>
  <c r="AD83" i="2"/>
  <c r="AC83" i="2"/>
  <c r="AC105" i="2" s="1"/>
  <c r="W83" i="2"/>
  <c r="W105" i="2" s="1"/>
  <c r="U83" i="2"/>
  <c r="U105" i="2" s="1"/>
  <c r="O83" i="2"/>
  <c r="AJ81" i="2"/>
  <c r="AI81" i="2"/>
  <c r="AI83" i="2" s="1"/>
  <c r="AI105" i="2" s="1"/>
  <c r="AH81" i="2"/>
  <c r="AH83" i="2" s="1"/>
  <c r="AG81" i="2"/>
  <c r="AG83" i="2" s="1"/>
  <c r="AG105" i="2" s="1"/>
  <c r="AF81" i="2"/>
  <c r="AF83" i="2" s="1"/>
  <c r="AF105" i="2" s="1"/>
  <c r="AE81" i="2"/>
  <c r="AE83" i="2" s="1"/>
  <c r="AD81" i="2"/>
  <c r="AC81" i="2"/>
  <c r="W81" i="2"/>
  <c r="U81" i="2"/>
  <c r="S81" i="2"/>
  <c r="S83" i="2" s="1"/>
  <c r="S105" i="2" s="1"/>
  <c r="Q81" i="2"/>
  <c r="Q83" i="2" s="1"/>
  <c r="Q105" i="2" s="1"/>
  <c r="Q106" i="2" s="1"/>
  <c r="O81" i="2"/>
  <c r="M81" i="2"/>
  <c r="M83" i="2" s="1"/>
  <c r="M105" i="2" s="1"/>
  <c r="K81" i="2"/>
  <c r="K83" i="2" s="1"/>
  <c r="I81" i="2"/>
  <c r="I83" i="2" s="1"/>
  <c r="I105" i="2" s="1"/>
  <c r="G81" i="2"/>
  <c r="G83" i="2" s="1"/>
  <c r="U75" i="2"/>
  <c r="S75" i="2"/>
  <c r="Q75" i="2"/>
  <c r="O75" i="2"/>
  <c r="M75" i="2"/>
  <c r="M106" i="2" s="1"/>
  <c r="AJ73" i="2"/>
  <c r="AI73" i="2"/>
  <c r="AH73" i="2"/>
  <c r="AG73" i="2"/>
  <c r="AF73" i="2"/>
  <c r="AF75" i="2" s="1"/>
  <c r="AE73" i="2"/>
  <c r="AE75" i="2" s="1"/>
  <c r="AE106" i="2" s="1"/>
  <c r="AD73" i="2"/>
  <c r="AD75" i="2" s="1"/>
  <c r="AC73" i="2"/>
  <c r="W73" i="2"/>
  <c r="W75" i="2" s="1"/>
  <c r="U73" i="2"/>
  <c r="S73" i="2"/>
  <c r="Q73" i="2"/>
  <c r="O73" i="2"/>
  <c r="M73" i="2"/>
  <c r="K73" i="2"/>
  <c r="I73" i="2"/>
  <c r="G73" i="2"/>
  <c r="G75" i="2" s="1"/>
  <c r="AJ62" i="2"/>
  <c r="AJ75" i="2" s="1"/>
  <c r="AJ106" i="2" s="1"/>
  <c r="AI62" i="2"/>
  <c r="AI75" i="2" s="1"/>
  <c r="AI106" i="2" s="1"/>
  <c r="AH62" i="2"/>
  <c r="AH75" i="2" s="1"/>
  <c r="AG62" i="2"/>
  <c r="AG75" i="2" s="1"/>
  <c r="AG106" i="2" s="1"/>
  <c r="AF62" i="2"/>
  <c r="AE62" i="2"/>
  <c r="AD62" i="2"/>
  <c r="AC62" i="2"/>
  <c r="W62" i="2"/>
  <c r="U62" i="2"/>
  <c r="S62" i="2"/>
  <c r="Q62" i="2"/>
  <c r="O62" i="2"/>
  <c r="M62" i="2"/>
  <c r="K62" i="2"/>
  <c r="K75" i="2" s="1"/>
  <c r="I62" i="2"/>
  <c r="I75" i="2" s="1"/>
  <c r="I106" i="2" s="1"/>
  <c r="G62" i="2"/>
  <c r="AN38" i="2"/>
  <c r="AM38" i="2"/>
  <c r="AL38" i="2"/>
  <c r="AJ28" i="2"/>
  <c r="AJ109" i="1" s="1"/>
  <c r="AI28" i="2"/>
  <c r="AI109" i="1" s="1"/>
  <c r="AH28" i="2"/>
  <c r="AH109" i="1" s="1"/>
  <c r="AG28" i="2"/>
  <c r="AG109" i="1" s="1"/>
  <c r="AF28" i="2"/>
  <c r="AF109" i="1" s="1"/>
  <c r="AE28" i="2"/>
  <c r="AE109" i="1" s="1"/>
  <c r="AD28" i="2"/>
  <c r="AD109" i="1" s="1"/>
  <c r="AC28" i="2"/>
  <c r="AC109" i="1" s="1"/>
  <c r="AC131" i="1" s="1"/>
  <c r="W28" i="2"/>
  <c r="W109" i="1" s="1"/>
  <c r="V28" i="2"/>
  <c r="V109" i="1" s="1"/>
  <c r="V131" i="1" s="1"/>
  <c r="U28" i="2"/>
  <c r="U109" i="1" s="1"/>
  <c r="U131" i="1" s="1"/>
  <c r="T28" i="2"/>
  <c r="T109" i="1" s="1"/>
  <c r="S28" i="2"/>
  <c r="S109" i="1" s="1"/>
  <c r="R28" i="2"/>
  <c r="R109" i="1" s="1"/>
  <c r="Q28" i="2"/>
  <c r="Q109" i="1" s="1"/>
  <c r="P28" i="2"/>
  <c r="P109" i="1" s="1"/>
  <c r="O28" i="2"/>
  <c r="O109" i="1" s="1"/>
  <c r="N28" i="2"/>
  <c r="N109" i="1" s="1"/>
  <c r="M28" i="2"/>
  <c r="M109" i="1" s="1"/>
  <c r="L28" i="2"/>
  <c r="L109" i="1" s="1"/>
  <c r="K28" i="2"/>
  <c r="K109" i="1" s="1"/>
  <c r="J28" i="2"/>
  <c r="J109" i="1" s="1"/>
  <c r="I28" i="2"/>
  <c r="I109" i="1" s="1"/>
  <c r="I131" i="1" s="1"/>
  <c r="H28" i="2"/>
  <c r="H109" i="1" s="1"/>
  <c r="H131" i="1" s="1"/>
  <c r="G28" i="2"/>
  <c r="G109" i="1" s="1"/>
  <c r="F28" i="2"/>
  <c r="F109" i="1" s="1"/>
  <c r="F131" i="1" s="1"/>
  <c r="E28" i="2"/>
  <c r="E109" i="1" s="1"/>
  <c r="D28" i="2"/>
  <c r="D109" i="1" s="1"/>
  <c r="AE21" i="2"/>
  <c r="AE30" i="2" s="1"/>
  <c r="AE32" i="2" s="1"/>
  <c r="AE39" i="2" s="1"/>
  <c r="AE19" i="2"/>
  <c r="L19" i="2"/>
  <c r="L21" i="2" s="1"/>
  <c r="L30" i="2" s="1"/>
  <c r="L32" i="2" s="1"/>
  <c r="L39" i="2" s="1"/>
  <c r="K19" i="2"/>
  <c r="K21" i="2" s="1"/>
  <c r="K30" i="2" s="1"/>
  <c r="K32" i="2" s="1"/>
  <c r="K39" i="2" s="1"/>
  <c r="AJ17" i="2"/>
  <c r="AI17" i="2"/>
  <c r="AH17" i="2"/>
  <c r="AG17" i="2"/>
  <c r="AG19" i="2" s="1"/>
  <c r="AG21" i="2" s="1"/>
  <c r="AG30" i="2" s="1"/>
  <c r="AG32" i="2" s="1"/>
  <c r="AG39" i="2" s="1"/>
  <c r="AM39" i="2" s="1"/>
  <c r="AF17" i="2"/>
  <c r="AF19" i="2" s="1"/>
  <c r="AF21" i="2" s="1"/>
  <c r="AF30" i="2" s="1"/>
  <c r="AF32" i="2" s="1"/>
  <c r="AF39" i="2" s="1"/>
  <c r="AE17" i="2"/>
  <c r="AD17" i="2"/>
  <c r="AD19" i="2" s="1"/>
  <c r="AD21" i="2" s="1"/>
  <c r="AD30" i="2" s="1"/>
  <c r="AD32" i="2" s="1"/>
  <c r="AD39" i="2" s="1"/>
  <c r="AC17" i="2"/>
  <c r="W17" i="2"/>
  <c r="V17" i="2"/>
  <c r="U17" i="2"/>
  <c r="T17" i="2"/>
  <c r="S17" i="2"/>
  <c r="R17" i="2"/>
  <c r="Q17" i="2"/>
  <c r="P17" i="2"/>
  <c r="P19" i="2" s="1"/>
  <c r="P21" i="2" s="1"/>
  <c r="P30" i="2" s="1"/>
  <c r="P32" i="2" s="1"/>
  <c r="P39" i="2" s="1"/>
  <c r="O17" i="2"/>
  <c r="O19" i="2" s="1"/>
  <c r="O21" i="2" s="1"/>
  <c r="O30" i="2" s="1"/>
  <c r="O32" i="2" s="1"/>
  <c r="O39" i="2" s="1"/>
  <c r="N17" i="2"/>
  <c r="N19" i="2" s="1"/>
  <c r="N21" i="2" s="1"/>
  <c r="N30" i="2" s="1"/>
  <c r="N32" i="2" s="1"/>
  <c r="N39" i="2" s="1"/>
  <c r="M17" i="2"/>
  <c r="M19" i="2" s="1"/>
  <c r="M21" i="2" s="1"/>
  <c r="M30" i="2" s="1"/>
  <c r="M32" i="2" s="1"/>
  <c r="M39" i="2" s="1"/>
  <c r="L17" i="2"/>
  <c r="K17" i="2"/>
  <c r="J17" i="2"/>
  <c r="I17" i="2"/>
  <c r="H17" i="2"/>
  <c r="G17" i="2"/>
  <c r="F17" i="2"/>
  <c r="E17" i="2"/>
  <c r="D17" i="2"/>
  <c r="AJ7" i="2"/>
  <c r="AJ19" i="2" s="1"/>
  <c r="AJ21" i="2" s="1"/>
  <c r="AJ30" i="2" s="1"/>
  <c r="AJ32" i="2" s="1"/>
  <c r="AJ39" i="2" s="1"/>
  <c r="AI7" i="2"/>
  <c r="AI19" i="2" s="1"/>
  <c r="AI21" i="2" s="1"/>
  <c r="AI30" i="2" s="1"/>
  <c r="AI32" i="2" s="1"/>
  <c r="AI39" i="2" s="1"/>
  <c r="AH7" i="2"/>
  <c r="AH19" i="2" s="1"/>
  <c r="AH21" i="2" s="1"/>
  <c r="AH30" i="2" s="1"/>
  <c r="AH32" i="2" s="1"/>
  <c r="AH39" i="2" s="1"/>
  <c r="AG7" i="2"/>
  <c r="AF7" i="2"/>
  <c r="AE7" i="2"/>
  <c r="AD7" i="2"/>
  <c r="AC7" i="2"/>
  <c r="AC19" i="2" s="1"/>
  <c r="AC21" i="2" s="1"/>
  <c r="AC30" i="2" s="1"/>
  <c r="AC32" i="2" s="1"/>
  <c r="AC39" i="2" s="1"/>
  <c r="W7" i="2"/>
  <c r="W19" i="2" s="1"/>
  <c r="W21" i="2" s="1"/>
  <c r="W30" i="2" s="1"/>
  <c r="W32" i="2" s="1"/>
  <c r="W39" i="2" s="1"/>
  <c r="V7" i="2"/>
  <c r="V19" i="2" s="1"/>
  <c r="V21" i="2" s="1"/>
  <c r="V30" i="2" s="1"/>
  <c r="V32" i="2" s="1"/>
  <c r="V39" i="2" s="1"/>
  <c r="U7" i="2"/>
  <c r="U19" i="2" s="1"/>
  <c r="U21" i="2" s="1"/>
  <c r="U30" i="2" s="1"/>
  <c r="U32" i="2" s="1"/>
  <c r="U39" i="2" s="1"/>
  <c r="T7" i="2"/>
  <c r="T19" i="2" s="1"/>
  <c r="T21" i="2" s="1"/>
  <c r="T30" i="2" s="1"/>
  <c r="T32" i="2" s="1"/>
  <c r="T39" i="2" s="1"/>
  <c r="S7" i="2"/>
  <c r="S19" i="2" s="1"/>
  <c r="S21" i="2" s="1"/>
  <c r="S30" i="2" s="1"/>
  <c r="S32" i="2" s="1"/>
  <c r="S39" i="2" s="1"/>
  <c r="R7" i="2"/>
  <c r="R19" i="2" s="1"/>
  <c r="R21" i="2" s="1"/>
  <c r="R30" i="2" s="1"/>
  <c r="R32" i="2" s="1"/>
  <c r="R39" i="2" s="1"/>
  <c r="Q7" i="2"/>
  <c r="Q19" i="2" s="1"/>
  <c r="Q21" i="2" s="1"/>
  <c r="Q30" i="2" s="1"/>
  <c r="Q32" i="2" s="1"/>
  <c r="Q39" i="2" s="1"/>
  <c r="P7" i="2"/>
  <c r="O7" i="2"/>
  <c r="N7" i="2"/>
  <c r="M7" i="2"/>
  <c r="L7" i="2"/>
  <c r="K7" i="2"/>
  <c r="J7" i="2"/>
  <c r="J19" i="2" s="1"/>
  <c r="J21" i="2" s="1"/>
  <c r="J30" i="2" s="1"/>
  <c r="J32" i="2" s="1"/>
  <c r="J39" i="2" s="1"/>
  <c r="I7" i="2"/>
  <c r="I19" i="2" s="1"/>
  <c r="I21" i="2" s="1"/>
  <c r="I30" i="2" s="1"/>
  <c r="I32" i="2" s="1"/>
  <c r="I39" i="2" s="1"/>
  <c r="H7" i="2"/>
  <c r="H19" i="2" s="1"/>
  <c r="H21" i="2" s="1"/>
  <c r="H30" i="2" s="1"/>
  <c r="H32" i="2" s="1"/>
  <c r="H39" i="2" s="1"/>
  <c r="G7" i="2"/>
  <c r="G19" i="2" s="1"/>
  <c r="G21" i="2" s="1"/>
  <c r="G30" i="2" s="1"/>
  <c r="G32" i="2" s="1"/>
  <c r="G39" i="2" s="1"/>
  <c r="F7" i="2"/>
  <c r="F19" i="2" s="1"/>
  <c r="F21" i="2" s="1"/>
  <c r="F30" i="2" s="1"/>
  <c r="F32" i="2" s="1"/>
  <c r="F39" i="2" s="1"/>
  <c r="E7" i="2"/>
  <c r="E19" i="2" s="1"/>
  <c r="E21" i="2" s="1"/>
  <c r="E30" i="2" s="1"/>
  <c r="E32" i="2" s="1"/>
  <c r="E39" i="2" s="1"/>
  <c r="D7" i="2"/>
  <c r="D19" i="2" s="1"/>
  <c r="D21" i="2" s="1"/>
  <c r="D30" i="2" s="1"/>
  <c r="D32" i="2" s="1"/>
  <c r="D39" i="2" s="1"/>
  <c r="Z2" i="2"/>
  <c r="AA2" i="2" s="1"/>
  <c r="X2" i="2"/>
  <c r="Y2" i="2" s="1"/>
  <c r="V2" i="2"/>
  <c r="U2" i="2"/>
  <c r="T2" i="2"/>
  <c r="S2" i="2"/>
  <c r="R2" i="2"/>
  <c r="Q2" i="2"/>
  <c r="P2" i="2"/>
  <c r="O2" i="2"/>
  <c r="N2" i="2" s="1"/>
  <c r="M2" i="2" s="1"/>
  <c r="L2" i="2" s="1"/>
  <c r="K2" i="2" s="1"/>
  <c r="J2" i="2" s="1"/>
  <c r="I2" i="2" s="1"/>
  <c r="H2" i="2" s="1"/>
  <c r="G2" i="2" s="1"/>
  <c r="F2" i="2" s="1"/>
  <c r="E2" i="2" s="1"/>
  <c r="D2" i="2" s="1"/>
  <c r="AI33" i="1" l="1"/>
  <c r="H5" i="1"/>
  <c r="H20" i="1" s="1"/>
  <c r="J46" i="1"/>
  <c r="D9" i="1"/>
  <c r="D102" i="1" s="1"/>
  <c r="G11" i="1"/>
  <c r="K37" i="1"/>
  <c r="W49" i="1"/>
  <c r="E9" i="1"/>
  <c r="E107" i="1" s="1"/>
  <c r="O29" i="1"/>
  <c r="R9" i="1"/>
  <c r="R107" i="1" s="1"/>
  <c r="T27" i="1"/>
  <c r="R5" i="1"/>
  <c r="R20" i="1" s="1"/>
  <c r="H43" i="1"/>
  <c r="AI70" i="1"/>
  <c r="U5" i="1"/>
  <c r="U21" i="1" s="1"/>
  <c r="Q17" i="1"/>
  <c r="I29" i="1"/>
  <c r="E29" i="1"/>
  <c r="W33" i="1"/>
  <c r="AF33" i="1"/>
  <c r="H37" i="1"/>
  <c r="T37" i="1"/>
  <c r="H41" i="1"/>
  <c r="I43" i="1"/>
  <c r="U42" i="1"/>
  <c r="U43" i="1" s="1"/>
  <c r="AH49" i="1"/>
  <c r="K58" i="1"/>
  <c r="W58" i="1"/>
  <c r="H64" i="1"/>
  <c r="T64" i="1"/>
  <c r="N9" i="1"/>
  <c r="N118" i="1" s="1"/>
  <c r="AJ70" i="1"/>
  <c r="K71" i="1"/>
  <c r="K72" i="1" s="1"/>
  <c r="W71" i="1"/>
  <c r="W75" i="1" s="1"/>
  <c r="Q78" i="1"/>
  <c r="AI171" i="1"/>
  <c r="AE178" i="1"/>
  <c r="AE180" i="1" s="1"/>
  <c r="M78" i="1"/>
  <c r="T91" i="1"/>
  <c r="K49" i="1"/>
  <c r="I87" i="1"/>
  <c r="G17" i="1"/>
  <c r="G93" i="1"/>
  <c r="AI218" i="1"/>
  <c r="T94" i="1"/>
  <c r="T95" i="1" s="1"/>
  <c r="R17" i="1"/>
  <c r="V27" i="1"/>
  <c r="F30" i="1"/>
  <c r="R30" i="1"/>
  <c r="T35" i="1"/>
  <c r="U37" i="1"/>
  <c r="O49" i="1"/>
  <c r="AI49" i="1"/>
  <c r="H56" i="1"/>
  <c r="I64" i="1"/>
  <c r="U7" i="1"/>
  <c r="U8" i="1" s="1"/>
  <c r="O66" i="1"/>
  <c r="AI66" i="1"/>
  <c r="N87" i="1"/>
  <c r="T87" i="1"/>
  <c r="K89" i="1"/>
  <c r="W89" i="1"/>
  <c r="D93" i="1"/>
  <c r="AF178" i="1"/>
  <c r="AF180" i="1" s="1"/>
  <c r="AH33" i="1"/>
  <c r="T11" i="1"/>
  <c r="G5" i="1"/>
  <c r="G20" i="1" s="1"/>
  <c r="G87" i="1"/>
  <c r="J49" i="1"/>
  <c r="AG78" i="1"/>
  <c r="J39" i="1"/>
  <c r="AH78" i="1"/>
  <c r="U87" i="1"/>
  <c r="U64" i="1"/>
  <c r="AG72" i="1"/>
  <c r="AJ29" i="1"/>
  <c r="D78" i="1"/>
  <c r="S17" i="1"/>
  <c r="W27" i="1"/>
  <c r="G30" i="1"/>
  <c r="H35" i="1"/>
  <c r="J37" i="1"/>
  <c r="V9" i="1"/>
  <c r="V10" i="1" s="1"/>
  <c r="O39" i="1"/>
  <c r="M56" i="1"/>
  <c r="U56" i="1"/>
  <c r="M58" i="1"/>
  <c r="AG58" i="1"/>
  <c r="J7" i="1"/>
  <c r="V7" i="1"/>
  <c r="D66" i="1"/>
  <c r="N71" i="1"/>
  <c r="N72" i="1" s="1"/>
  <c r="AH72" i="1"/>
  <c r="M71" i="1"/>
  <c r="M72" i="1" s="1"/>
  <c r="S85" i="1"/>
  <c r="V87" i="1"/>
  <c r="AG171" i="1"/>
  <c r="AG178" i="1"/>
  <c r="AG180" i="1" s="1"/>
  <c r="H49" i="1"/>
  <c r="E133" i="1"/>
  <c r="E32" i="4" s="1"/>
  <c r="J41" i="1"/>
  <c r="P9" i="1"/>
  <c r="P107" i="1" s="1"/>
  <c r="F17" i="1"/>
  <c r="AF35" i="1"/>
  <c r="H95" i="1"/>
  <c r="S5" i="1"/>
  <c r="S20" i="1" s="1"/>
  <c r="AI30" i="1"/>
  <c r="I11" i="1"/>
  <c r="AD241" i="1"/>
  <c r="S9" i="1"/>
  <c r="S105" i="1" s="1"/>
  <c r="H30" i="1"/>
  <c r="T30" i="1"/>
  <c r="K35" i="1"/>
  <c r="P39" i="1"/>
  <c r="T41" i="1"/>
  <c r="L42" i="1"/>
  <c r="L43" i="1" s="1"/>
  <c r="AF42" i="1"/>
  <c r="AF46" i="1" s="1"/>
  <c r="E49" i="1"/>
  <c r="Q49" i="1"/>
  <c r="N58" i="1"/>
  <c r="K70" i="1"/>
  <c r="W7" i="1"/>
  <c r="W12" i="1" s="1"/>
  <c r="T85" i="1"/>
  <c r="AH224" i="1"/>
  <c r="F5" i="1"/>
  <c r="F20" i="1" s="1"/>
  <c r="F87" i="1"/>
  <c r="U11" i="1"/>
  <c r="D42" i="1"/>
  <c r="D43" i="1" s="1"/>
  <c r="V49" i="1"/>
  <c r="AH30" i="1"/>
  <c r="V39" i="1"/>
  <c r="AJ27" i="1"/>
  <c r="M37" i="1"/>
  <c r="V43" i="1"/>
  <c r="AK55" i="1"/>
  <c r="AL55" i="1" s="1"/>
  <c r="AL57" i="1" s="1"/>
  <c r="R64" i="1"/>
  <c r="W85" i="1"/>
  <c r="T5" i="1"/>
  <c r="T22" i="1" s="1"/>
  <c r="T43" i="1"/>
  <c r="R56" i="1"/>
  <c r="M9" i="1"/>
  <c r="M107" i="1" s="1"/>
  <c r="O70" i="1"/>
  <c r="V71" i="1"/>
  <c r="V72" i="1" s="1"/>
  <c r="K87" i="1"/>
  <c r="AH171" i="1"/>
  <c r="H93" i="1"/>
  <c r="AH17" i="1"/>
  <c r="W35" i="1"/>
  <c r="U41" i="1"/>
  <c r="O58" i="1"/>
  <c r="AI58" i="1"/>
  <c r="D5" i="1"/>
  <c r="D21" i="1" s="1"/>
  <c r="D71" i="1"/>
  <c r="D72" i="1" s="1"/>
  <c r="P71" i="1"/>
  <c r="P72" i="1" s="1"/>
  <c r="AJ72" i="1"/>
  <c r="U85" i="1"/>
  <c r="W93" i="1"/>
  <c r="L9" i="1"/>
  <c r="L118" i="1" s="1"/>
  <c r="L123" i="1" s="1"/>
  <c r="L66" i="1"/>
  <c r="M49" i="1"/>
  <c r="I133" i="1"/>
  <c r="I32" i="4" s="1"/>
  <c r="I17" i="1"/>
  <c r="U133" i="1"/>
  <c r="U32" i="4" s="1"/>
  <c r="U17" i="1"/>
  <c r="V133" i="1"/>
  <c r="V32" i="4" s="1"/>
  <c r="V17" i="1"/>
  <c r="M7" i="1"/>
  <c r="AK82" i="4"/>
  <c r="AL191" i="1"/>
  <c r="AM191" i="1" s="1"/>
  <c r="M87" i="1"/>
  <c r="AD224" i="1"/>
  <c r="AI27" i="1"/>
  <c r="S78" i="1"/>
  <c r="AF188" i="1"/>
  <c r="G7" i="1"/>
  <c r="G12" i="1" s="1"/>
  <c r="AG37" i="1"/>
  <c r="L35" i="1"/>
  <c r="L37" i="1"/>
  <c r="AI229" i="1"/>
  <c r="F64" i="1"/>
  <c r="F70" i="1"/>
  <c r="R68" i="1"/>
  <c r="J133" i="1"/>
  <c r="J32" i="4" s="1"/>
  <c r="J17" i="1"/>
  <c r="F78" i="1"/>
  <c r="G94" i="1"/>
  <c r="G95" i="1" s="1"/>
  <c r="AI230" i="1"/>
  <c r="AI139" i="1" s="1"/>
  <c r="AG75" i="1"/>
  <c r="AG76" i="1" s="1"/>
  <c r="E89" i="1"/>
  <c r="E93" i="1"/>
  <c r="Q89" i="1"/>
  <c r="Q87" i="1"/>
  <c r="AH29" i="1"/>
  <c r="AG188" i="1"/>
  <c r="AC220" i="1"/>
  <c r="AI29" i="1"/>
  <c r="L30" i="1"/>
  <c r="L5" i="1"/>
  <c r="L20" i="1" s="1"/>
  <c r="L33" i="1"/>
  <c r="N29" i="1"/>
  <c r="O37" i="1"/>
  <c r="O9" i="1"/>
  <c r="O105" i="1" s="1"/>
  <c r="R87" i="1"/>
  <c r="R91" i="1"/>
  <c r="R89" i="1"/>
  <c r="D29" i="1"/>
  <c r="D30" i="1"/>
  <c r="AF49" i="1"/>
  <c r="AI241" i="1"/>
  <c r="O5" i="1"/>
  <c r="O22" i="1" s="1"/>
  <c r="AE224" i="1"/>
  <c r="R11" i="1"/>
  <c r="H68" i="1"/>
  <c r="I70" i="1"/>
  <c r="AF195" i="1"/>
  <c r="Q33" i="1"/>
  <c r="S72" i="1"/>
  <c r="AG220" i="1"/>
  <c r="AJ233" i="1"/>
  <c r="N37" i="1"/>
  <c r="Q93" i="1"/>
  <c r="AD216" i="1"/>
  <c r="Q9" i="1"/>
  <c r="Q118" i="1" s="1"/>
  <c r="Q120" i="1" s="1"/>
  <c r="P30" i="1"/>
  <c r="S39" i="1"/>
  <c r="K42" i="1"/>
  <c r="K43" i="1" s="1"/>
  <c r="W42" i="1"/>
  <c r="W43" i="1" s="1"/>
  <c r="AI56" i="1"/>
  <c r="F66" i="1"/>
  <c r="R66" i="1"/>
  <c r="M66" i="1"/>
  <c r="I72" i="1"/>
  <c r="U72" i="1"/>
  <c r="H78" i="1"/>
  <c r="L87" i="1"/>
  <c r="F89" i="1"/>
  <c r="R95" i="1"/>
  <c r="R93" i="1"/>
  <c r="T93" i="1"/>
  <c r="AH218" i="1"/>
  <c r="AG227" i="1"/>
  <c r="AD235" i="1"/>
  <c r="P29" i="1"/>
  <c r="AI214" i="1"/>
  <c r="Q29" i="1"/>
  <c r="E30" i="1"/>
  <c r="AJ30" i="1"/>
  <c r="AK30" i="1" s="1"/>
  <c r="AL30" i="1" s="1"/>
  <c r="AM30" i="1" s="1"/>
  <c r="AN30" i="1" s="1"/>
  <c r="I62" i="1"/>
  <c r="H72" i="1"/>
  <c r="G72" i="1"/>
  <c r="AE159" i="1"/>
  <c r="AJ227" i="1"/>
  <c r="AI5" i="1"/>
  <c r="AI22" i="1" s="1"/>
  <c r="K17" i="1"/>
  <c r="AH58" i="1"/>
  <c r="S59" i="1"/>
  <c r="T62" i="1"/>
  <c r="M94" i="1"/>
  <c r="M95" i="1" s="1"/>
  <c r="U27" i="1"/>
  <c r="M17" i="1"/>
  <c r="AE17" i="1"/>
  <c r="J27" i="1"/>
  <c r="J29" i="1"/>
  <c r="V29" i="1"/>
  <c r="T29" i="1"/>
  <c r="Q30" i="1"/>
  <c r="H33" i="1"/>
  <c r="P33" i="1"/>
  <c r="K9" i="1"/>
  <c r="K118" i="1" s="1"/>
  <c r="K125" i="1" s="1"/>
  <c r="W9" i="1"/>
  <c r="W118" i="1" s="1"/>
  <c r="W125" i="1" s="1"/>
  <c r="K11" i="1"/>
  <c r="K12" i="1" s="1"/>
  <c r="F58" i="1"/>
  <c r="R58" i="1"/>
  <c r="J59" i="1"/>
  <c r="N66" i="1"/>
  <c r="S94" i="1"/>
  <c r="S95" i="1" s="1"/>
  <c r="U93" i="1"/>
  <c r="AC204" i="1"/>
  <c r="AC212" i="1"/>
  <c r="AF216" i="1"/>
  <c r="AE222" i="1"/>
  <c r="AC236" i="1"/>
  <c r="AC143" i="1" s="1"/>
  <c r="AJ72" i="4"/>
  <c r="J58" i="1"/>
  <c r="O71" i="1"/>
  <c r="O72" i="1" s="1"/>
  <c r="R85" i="1"/>
  <c r="AF241" i="1"/>
  <c r="L17" i="1"/>
  <c r="P5" i="1"/>
  <c r="P21" i="1" s="1"/>
  <c r="H7" i="1"/>
  <c r="N17" i="1"/>
  <c r="AF17" i="1"/>
  <c r="K27" i="1"/>
  <c r="K29" i="1"/>
  <c r="S30" i="1"/>
  <c r="I30" i="1"/>
  <c r="T33" i="1"/>
  <c r="W41" i="1"/>
  <c r="N42" i="1"/>
  <c r="N43" i="1" s="1"/>
  <c r="AH42" i="1"/>
  <c r="AH43" i="1" s="1"/>
  <c r="M43" i="1"/>
  <c r="AG43" i="1"/>
  <c r="Q56" i="1"/>
  <c r="H66" i="1"/>
  <c r="V11" i="1"/>
  <c r="V12" i="1" s="1"/>
  <c r="L70" i="1"/>
  <c r="AF70" i="1"/>
  <c r="I78" i="1"/>
  <c r="U78" i="1"/>
  <c r="O87" i="1"/>
  <c r="H89" i="1"/>
  <c r="T89" i="1"/>
  <c r="F93" i="1"/>
  <c r="V93" i="1"/>
  <c r="O133" i="1"/>
  <c r="O32" i="4" s="1"/>
  <c r="AC188" i="1"/>
  <c r="AC205" i="1" s="1"/>
  <c r="AF222" i="1"/>
  <c r="AD236" i="1"/>
  <c r="AD143" i="1" s="1"/>
  <c r="N30" i="1"/>
  <c r="S93" i="1"/>
  <c r="AG49" i="1"/>
  <c r="H70" i="1"/>
  <c r="AC159" i="1"/>
  <c r="T7" i="1"/>
  <c r="R27" i="1"/>
  <c r="J72" i="1"/>
  <c r="AH188" i="1"/>
  <c r="AK232" i="1"/>
  <c r="AL232" i="1" s="1"/>
  <c r="AL236" i="1" s="1"/>
  <c r="AL143" i="1" s="1"/>
  <c r="AL42" i="4" s="1"/>
  <c r="S27" i="1"/>
  <c r="Q85" i="1"/>
  <c r="T72" i="1"/>
  <c r="AD17" i="1"/>
  <c r="Q5" i="1"/>
  <c r="Q21" i="1" s="1"/>
  <c r="I7" i="1"/>
  <c r="N33" i="1"/>
  <c r="O43" i="1"/>
  <c r="AI43" i="1"/>
  <c r="J56" i="1"/>
  <c r="H58" i="1"/>
  <c r="T58" i="1"/>
  <c r="AF59" i="1"/>
  <c r="D64" i="1"/>
  <c r="P64" i="1"/>
  <c r="AJ64" i="1"/>
  <c r="I66" i="1"/>
  <c r="U66" i="1"/>
  <c r="M70" i="1"/>
  <c r="AG70" i="1"/>
  <c r="W70" i="1"/>
  <c r="J78" i="1"/>
  <c r="V78" i="1"/>
  <c r="T78" i="1"/>
  <c r="J87" i="1"/>
  <c r="I89" i="1"/>
  <c r="U89" i="1"/>
  <c r="U91" i="1"/>
  <c r="AC178" i="1"/>
  <c r="AC180" i="1" s="1"/>
  <c r="AD188" i="1"/>
  <c r="AG235" i="1"/>
  <c r="AI233" i="1"/>
  <c r="S91" i="1"/>
  <c r="AE195" i="1"/>
  <c r="AF224" i="1"/>
  <c r="AJ241" i="1"/>
  <c r="W17" i="1"/>
  <c r="J70" i="1"/>
  <c r="AG195" i="1"/>
  <c r="AE241" i="1"/>
  <c r="AC17" i="1"/>
  <c r="H62" i="1"/>
  <c r="I93" i="1"/>
  <c r="AG218" i="1"/>
  <c r="M29" i="1"/>
  <c r="AG29" i="1"/>
  <c r="K33" i="1"/>
  <c r="AG41" i="1"/>
  <c r="P42" i="1"/>
  <c r="P43" i="1" s="1"/>
  <c r="I49" i="1"/>
  <c r="U49" i="1"/>
  <c r="S56" i="1"/>
  <c r="Q64" i="1"/>
  <c r="J66" i="1"/>
  <c r="V66" i="1"/>
  <c r="L68" i="1"/>
  <c r="K78" i="1"/>
  <c r="W78" i="1"/>
  <c r="W87" i="1"/>
  <c r="D87" i="1"/>
  <c r="P87" i="1"/>
  <c r="S87" i="1"/>
  <c r="J93" i="1"/>
  <c r="AF93" i="1"/>
  <c r="AD178" i="1"/>
  <c r="AD180" i="1" s="1"/>
  <c r="AE188" i="1"/>
  <c r="AJ218" i="1"/>
  <c r="AH222" i="1"/>
  <c r="AD227" i="1"/>
  <c r="AG233" i="1"/>
  <c r="AK57" i="1"/>
  <c r="AC46" i="1"/>
  <c r="AC47" i="1" s="1"/>
  <c r="AE8" i="1"/>
  <c r="AD8" i="1"/>
  <c r="AE6" i="1"/>
  <c r="AL26" i="1"/>
  <c r="AL28" i="1" s="1"/>
  <c r="AL32" i="1" s="1"/>
  <c r="AE20" i="1"/>
  <c r="AC8" i="1"/>
  <c r="AE10" i="1"/>
  <c r="AE21" i="1"/>
  <c r="H46" i="1"/>
  <c r="Q75" i="1"/>
  <c r="AL192" i="1"/>
  <c r="AL83" i="4" s="1"/>
  <c r="AC21" i="1"/>
  <c r="H8" i="1"/>
  <c r="AD75" i="1"/>
  <c r="AE12" i="1"/>
  <c r="E20" i="1"/>
  <c r="AE22" i="1"/>
  <c r="AE75" i="1"/>
  <c r="AE76" i="1" s="1"/>
  <c r="F8" i="4"/>
  <c r="AC20" i="1"/>
  <c r="AD20" i="1"/>
  <c r="AL146" i="1"/>
  <c r="AL45" i="4" s="1"/>
  <c r="AL198" i="1"/>
  <c r="AL87" i="4" s="1"/>
  <c r="AH75" i="1"/>
  <c r="AH76" i="1" s="1"/>
  <c r="AL39" i="2"/>
  <c r="W106" i="2"/>
  <c r="Q46" i="1"/>
  <c r="Q43" i="1"/>
  <c r="D131" i="1"/>
  <c r="AF106" i="2"/>
  <c r="K105" i="2"/>
  <c r="E43" i="1"/>
  <c r="E46" i="1"/>
  <c r="O20" i="1"/>
  <c r="AL44" i="4"/>
  <c r="AM145" i="1"/>
  <c r="G105" i="2"/>
  <c r="G106" i="2" s="1"/>
  <c r="AN39" i="2"/>
  <c r="K106" i="2"/>
  <c r="V30" i="1"/>
  <c r="AF126" i="3"/>
  <c r="AF15" i="3"/>
  <c r="AF69" i="3"/>
  <c r="AD131" i="1"/>
  <c r="W30" i="1"/>
  <c r="W29" i="1"/>
  <c r="V62" i="1"/>
  <c r="V64" i="1"/>
  <c r="V59" i="1"/>
  <c r="K94" i="1"/>
  <c r="K95" i="1" s="1"/>
  <c r="K91" i="1"/>
  <c r="AC15" i="4"/>
  <c r="AC101" i="4" s="1"/>
  <c r="W26" i="3"/>
  <c r="W27" i="3" s="1"/>
  <c r="W24" i="3"/>
  <c r="K59" i="1"/>
  <c r="K62" i="1"/>
  <c r="K5" i="1"/>
  <c r="K22" i="1" s="1"/>
  <c r="AF131" i="1"/>
  <c r="U22" i="1"/>
  <c r="P131" i="1"/>
  <c r="L7" i="1"/>
  <c r="P35" i="1"/>
  <c r="P49" i="1"/>
  <c r="P7" i="1"/>
  <c r="P37" i="1"/>
  <c r="M59" i="1"/>
  <c r="M62" i="1"/>
  <c r="AJ204" i="1"/>
  <c r="AJ195" i="1"/>
  <c r="E131" i="1"/>
  <c r="AG204" i="2"/>
  <c r="E22" i="1"/>
  <c r="I27" i="1"/>
  <c r="E64" i="1"/>
  <c r="E78" i="1"/>
  <c r="E66" i="1"/>
  <c r="L75" i="1"/>
  <c r="R131" i="1"/>
  <c r="AI131" i="1"/>
  <c r="I5" i="1"/>
  <c r="I22" i="1" s="1"/>
  <c r="AD22" i="1"/>
  <c r="AD6" i="1"/>
  <c r="D118" i="1"/>
  <c r="D107" i="1"/>
  <c r="S118" i="1"/>
  <c r="S123" i="1" s="1"/>
  <c r="S107" i="1"/>
  <c r="F22" i="1"/>
  <c r="U29" i="1"/>
  <c r="F35" i="1"/>
  <c r="F7" i="1"/>
  <c r="F41" i="1"/>
  <c r="R35" i="1"/>
  <c r="R41" i="1"/>
  <c r="R7" i="1"/>
  <c r="P41" i="1"/>
  <c r="F43" i="1"/>
  <c r="R43" i="1"/>
  <c r="AK61" i="1"/>
  <c r="S62" i="1"/>
  <c r="O59" i="1"/>
  <c r="O62" i="1"/>
  <c r="AI62" i="1"/>
  <c r="G66" i="1"/>
  <c r="S66" i="1"/>
  <c r="E68" i="1"/>
  <c r="P85" i="1"/>
  <c r="L85" i="1"/>
  <c r="D105" i="1"/>
  <c r="AK43" i="4"/>
  <c r="AL144" i="1"/>
  <c r="K131" i="1"/>
  <c r="AF242" i="1"/>
  <c r="AF142" i="1" s="1"/>
  <c r="V68" i="1"/>
  <c r="L131" i="1"/>
  <c r="AG118" i="1"/>
  <c r="AG203" i="1" s="1"/>
  <c r="AG107" i="1"/>
  <c r="AG105" i="1"/>
  <c r="AG102" i="1"/>
  <c r="O41" i="1"/>
  <c r="O46" i="1"/>
  <c r="V24" i="3"/>
  <c r="V26" i="3"/>
  <c r="V27" i="3" s="1"/>
  <c r="K26" i="3"/>
  <c r="K27" i="3" s="1"/>
  <c r="K24" i="3"/>
  <c r="AE131" i="1"/>
  <c r="AD105" i="2"/>
  <c r="AD106" i="2" s="1"/>
  <c r="D41" i="1"/>
  <c r="M68" i="1"/>
  <c r="AK48" i="4"/>
  <c r="AL151" i="1"/>
  <c r="O131" i="1"/>
  <c r="U106" i="2"/>
  <c r="M85" i="1"/>
  <c r="I85" i="1"/>
  <c r="U20" i="1"/>
  <c r="Q131" i="1"/>
  <c r="V5" i="1"/>
  <c r="V33" i="1"/>
  <c r="P59" i="1"/>
  <c r="P58" i="1"/>
  <c r="N59" i="1"/>
  <c r="N64" i="1"/>
  <c r="G131" i="1"/>
  <c r="S131" i="1"/>
  <c r="AJ131" i="1"/>
  <c r="U9" i="1"/>
  <c r="U105" i="1" s="1"/>
  <c r="M11" i="1"/>
  <c r="G35" i="1"/>
  <c r="G41" i="1"/>
  <c r="AF37" i="1"/>
  <c r="M39" i="1"/>
  <c r="M46" i="1"/>
  <c r="S41" i="1"/>
  <c r="S43" i="1"/>
  <c r="AE46" i="1"/>
  <c r="I56" i="1"/>
  <c r="G64" i="1"/>
  <c r="G78" i="1"/>
  <c r="G70" i="1"/>
  <c r="S64" i="1"/>
  <c r="S70" i="1"/>
  <c r="S68" i="1"/>
  <c r="T66" i="1"/>
  <c r="T9" i="1"/>
  <c r="T102" i="1" s="1"/>
  <c r="G68" i="1"/>
  <c r="D70" i="1"/>
  <c r="P70" i="1"/>
  <c r="AK76" i="4"/>
  <c r="AK121" i="4"/>
  <c r="AL184" i="1"/>
  <c r="W131" i="1"/>
  <c r="I37" i="1"/>
  <c r="I9" i="1"/>
  <c r="I107" i="1" s="1"/>
  <c r="N41" i="1"/>
  <c r="AH239" i="1"/>
  <c r="AH242" i="1"/>
  <c r="AH142" i="1" s="1"/>
  <c r="AJ23" i="3"/>
  <c r="AJ131" i="3"/>
  <c r="AJ133" i="3" s="1"/>
  <c r="M131" i="1"/>
  <c r="AD43" i="1"/>
  <c r="AD46" i="1"/>
  <c r="AG126" i="3"/>
  <c r="AH12" i="3"/>
  <c r="AG12" i="3"/>
  <c r="AG15" i="3"/>
  <c r="T46" i="1"/>
  <c r="T39" i="1"/>
  <c r="H11" i="1"/>
  <c r="H12" i="1" s="1"/>
  <c r="J50" i="1"/>
  <c r="J47" i="1"/>
  <c r="D35" i="1"/>
  <c r="D39" i="1"/>
  <c r="D7" i="1"/>
  <c r="D49" i="1"/>
  <c r="AG59" i="1"/>
  <c r="AG64" i="1"/>
  <c r="AG62" i="1"/>
  <c r="AG68" i="1"/>
  <c r="AH131" i="1"/>
  <c r="J11" i="1"/>
  <c r="J12" i="1" s="1"/>
  <c r="AJ35" i="1"/>
  <c r="K39" i="1"/>
  <c r="AH59" i="1"/>
  <c r="AH62" i="1"/>
  <c r="K85" i="1"/>
  <c r="AE230" i="1"/>
  <c r="AE139" i="1" s="1"/>
  <c r="AE227" i="1"/>
  <c r="AF227" i="1"/>
  <c r="N5" i="1"/>
  <c r="N8" i="1" s="1"/>
  <c r="Q7" i="1"/>
  <c r="F9" i="1"/>
  <c r="L10" i="1"/>
  <c r="AF29" i="1"/>
  <c r="AF27" i="1"/>
  <c r="M5" i="1"/>
  <c r="M35" i="1"/>
  <c r="AG33" i="1"/>
  <c r="AG30" i="1"/>
  <c r="U33" i="1"/>
  <c r="I35" i="1"/>
  <c r="D37" i="1"/>
  <c r="K64" i="1"/>
  <c r="G75" i="1"/>
  <c r="S75" i="1"/>
  <c r="E70" i="1"/>
  <c r="Q70" i="1"/>
  <c r="AC75" i="1"/>
  <c r="L102" i="1"/>
  <c r="W91" i="3"/>
  <c r="W92" i="3"/>
  <c r="AJ104" i="3"/>
  <c r="AJ65" i="1"/>
  <c r="S106" i="2"/>
  <c r="V37" i="1"/>
  <c r="W64" i="1"/>
  <c r="W59" i="1"/>
  <c r="AD15" i="4"/>
  <c r="AD101" i="4" s="1"/>
  <c r="AD129" i="1"/>
  <c r="P102" i="1"/>
  <c r="I119" i="1"/>
  <c r="I7" i="4" s="1"/>
  <c r="I8" i="4" s="1"/>
  <c r="AG131" i="1"/>
  <c r="AF204" i="2"/>
  <c r="W5" i="1"/>
  <c r="W20" i="1" s="1"/>
  <c r="M33" i="1"/>
  <c r="L49" i="1"/>
  <c r="AF7" i="1"/>
  <c r="V46" i="1"/>
  <c r="T131" i="1"/>
  <c r="AC75" i="2"/>
  <c r="AC106" i="2" s="1"/>
  <c r="AC186" i="1"/>
  <c r="AC200" i="1"/>
  <c r="AC170" i="1"/>
  <c r="AC123" i="1"/>
  <c r="L27" i="1"/>
  <c r="P27" i="1"/>
  <c r="AF229" i="1"/>
  <c r="AE229" i="1"/>
  <c r="S7" i="1"/>
  <c r="H107" i="1"/>
  <c r="H105" i="1"/>
  <c r="H118" i="1"/>
  <c r="H120" i="1" s="1"/>
  <c r="AD102" i="1"/>
  <c r="AD10" i="1"/>
  <c r="AD118" i="1"/>
  <c r="AD150" i="1" s="1"/>
  <c r="AD107" i="1"/>
  <c r="AD105" i="1"/>
  <c r="AD21" i="1"/>
  <c r="M27" i="1"/>
  <c r="J35" i="1"/>
  <c r="G37" i="1"/>
  <c r="G9" i="1"/>
  <c r="G102" i="1" s="1"/>
  <c r="S37" i="1"/>
  <c r="AI46" i="1"/>
  <c r="AF39" i="1"/>
  <c r="L41" i="1"/>
  <c r="AF41" i="1"/>
  <c r="AG46" i="1"/>
  <c r="E79" i="1"/>
  <c r="E80" i="1" s="1"/>
  <c r="E76" i="1"/>
  <c r="AC168" i="1"/>
  <c r="AH41" i="1"/>
  <c r="J75" i="1"/>
  <c r="J68" i="1"/>
  <c r="AG239" i="1"/>
  <c r="AG242" i="1"/>
  <c r="AG142" i="1" s="1"/>
  <c r="W15" i="4"/>
  <c r="W129" i="1"/>
  <c r="J24" i="3"/>
  <c r="J26" i="3"/>
  <c r="J27" i="3" s="1"/>
  <c r="J64" i="1"/>
  <c r="J62" i="1"/>
  <c r="AF68" i="1"/>
  <c r="AF75" i="1"/>
  <c r="AI239" i="1"/>
  <c r="AI242" i="1"/>
  <c r="AI142" i="1" s="1"/>
  <c r="AF12" i="3"/>
  <c r="AK44" i="4"/>
  <c r="AK113" i="4"/>
  <c r="AI177" i="2"/>
  <c r="AI180" i="2" s="1"/>
  <c r="AC12" i="1"/>
  <c r="U119" i="1"/>
  <c r="U7" i="4" s="1"/>
  <c r="U8" i="4" s="1"/>
  <c r="R29" i="1"/>
  <c r="AD12" i="1"/>
  <c r="J5" i="1"/>
  <c r="J20" i="1" s="1"/>
  <c r="J30" i="1"/>
  <c r="W39" i="1"/>
  <c r="D59" i="1"/>
  <c r="D58" i="1"/>
  <c r="J131" i="1"/>
  <c r="AH104" i="2"/>
  <c r="AH105" i="2" s="1"/>
  <c r="AH106" i="2" s="1"/>
  <c r="AE196" i="2"/>
  <c r="AE238" i="1"/>
  <c r="AE204" i="2"/>
  <c r="E7" i="1"/>
  <c r="E8" i="1" s="1"/>
  <c r="J9" i="1"/>
  <c r="AE120" i="1"/>
  <c r="AE200" i="1"/>
  <c r="AE170" i="1"/>
  <c r="AE197" i="1"/>
  <c r="AE125" i="1"/>
  <c r="AE162" i="1"/>
  <c r="AE123" i="1"/>
  <c r="O30" i="1"/>
  <c r="O33" i="1"/>
  <c r="S33" i="1"/>
  <c r="AG39" i="1"/>
  <c r="F49" i="1"/>
  <c r="W56" i="1"/>
  <c r="N62" i="1"/>
  <c r="M64" i="1"/>
  <c r="Q66" i="1"/>
  <c r="I75" i="1"/>
  <c r="I68" i="1"/>
  <c r="U75" i="1"/>
  <c r="U68" i="1"/>
  <c r="Q68" i="1"/>
  <c r="E72" i="1"/>
  <c r="AC102" i="1"/>
  <c r="AC127" i="1"/>
  <c r="AC16" i="4" s="1"/>
  <c r="AC100" i="4" s="1"/>
  <c r="H133" i="1"/>
  <c r="H32" i="4" s="1"/>
  <c r="H17" i="1"/>
  <c r="T133" i="1"/>
  <c r="T32" i="4" s="1"/>
  <c r="T17" i="1"/>
  <c r="AF171" i="1"/>
  <c r="AF159" i="1"/>
  <c r="AG212" i="1"/>
  <c r="AG216" i="1"/>
  <c r="J43" i="1"/>
  <c r="P56" i="1"/>
  <c r="L56" i="1"/>
  <c r="AL61" i="1"/>
  <c r="AJ62" i="1"/>
  <c r="I14" i="4"/>
  <c r="U14" i="4"/>
  <c r="U18" i="4" s="1"/>
  <c r="AE148" i="1"/>
  <c r="AD204" i="1"/>
  <c r="AH235" i="1"/>
  <c r="AH236" i="1"/>
  <c r="AH143" i="1" s="1"/>
  <c r="AG27" i="1"/>
  <c r="AJ33" i="1"/>
  <c r="AG35" i="1"/>
  <c r="AJ37" i="1"/>
  <c r="AG56" i="1"/>
  <c r="G58" i="1"/>
  <c r="S58" i="1"/>
  <c r="E59" i="1"/>
  <c r="Q59" i="1"/>
  <c r="AH64" i="1"/>
  <c r="AJ75" i="1"/>
  <c r="O85" i="1"/>
  <c r="AE102" i="1"/>
  <c r="AE102" i="4"/>
  <c r="AE8" i="4"/>
  <c r="J14" i="4"/>
  <c r="V14" i="4"/>
  <c r="AI188" i="1"/>
  <c r="AE204" i="1"/>
  <c r="AH35" i="1"/>
  <c r="F46" i="1"/>
  <c r="R46" i="1"/>
  <c r="N56" i="1"/>
  <c r="AF58" i="1"/>
  <c r="R62" i="1"/>
  <c r="O64" i="1"/>
  <c r="AI64" i="1"/>
  <c r="D89" i="1"/>
  <c r="F91" i="1"/>
  <c r="K14" i="4"/>
  <c r="W14" i="4"/>
  <c r="AJ188" i="1"/>
  <c r="AE218" i="1"/>
  <c r="AF218" i="1"/>
  <c r="O27" i="1"/>
  <c r="K30" i="1"/>
  <c r="R33" i="1"/>
  <c r="O35" i="1"/>
  <c r="AI35" i="1"/>
  <c r="N35" i="1"/>
  <c r="F37" i="1"/>
  <c r="R37" i="1"/>
  <c r="G46" i="1"/>
  <c r="S46" i="1"/>
  <c r="O56" i="1"/>
  <c r="I58" i="1"/>
  <c r="U58" i="1"/>
  <c r="F59" i="1"/>
  <c r="D68" i="1"/>
  <c r="AI71" i="1"/>
  <c r="AI72" i="1" s="1"/>
  <c r="E87" i="1"/>
  <c r="P89" i="1"/>
  <c r="G91" i="1"/>
  <c r="W94" i="1"/>
  <c r="W95" i="1" s="1"/>
  <c r="W91" i="1"/>
  <c r="AH102" i="4"/>
  <c r="AH8" i="4"/>
  <c r="AC14" i="4"/>
  <c r="AC125" i="1"/>
  <c r="L125" i="1"/>
  <c r="AK183" i="1"/>
  <c r="E127" i="1"/>
  <c r="E16" i="4" s="1"/>
  <c r="E18" i="4" s="1"/>
  <c r="E20" i="4" s="1"/>
  <c r="E22" i="4" s="1"/>
  <c r="E31" i="4" s="1"/>
  <c r="M14" i="4"/>
  <c r="M18" i="4" s="1"/>
  <c r="M129" i="1"/>
  <c r="AD14" i="4"/>
  <c r="Q127" i="1"/>
  <c r="Q16" i="4" s="1"/>
  <c r="Q18" i="4" s="1"/>
  <c r="Q20" i="4" s="1"/>
  <c r="Q22" i="4" s="1"/>
  <c r="Q31" i="4" s="1"/>
  <c r="AK71" i="4"/>
  <c r="AL179" i="1"/>
  <c r="AH79" i="3"/>
  <c r="AH41" i="3"/>
  <c r="AH44" i="3"/>
  <c r="AH38" i="3"/>
  <c r="AH149" i="3" s="1"/>
  <c r="AH150" i="3" s="1"/>
  <c r="AH241" i="1"/>
  <c r="AG241" i="1"/>
  <c r="E41" i="1"/>
  <c r="E35" i="1"/>
  <c r="Q41" i="1"/>
  <c r="Q35" i="1"/>
  <c r="I46" i="1"/>
  <c r="I39" i="1"/>
  <c r="U46" i="1"/>
  <c r="U39" i="1"/>
  <c r="F39" i="1"/>
  <c r="L58" i="1"/>
  <c r="H59" i="1"/>
  <c r="P66" i="1"/>
  <c r="H75" i="1"/>
  <c r="T75" i="1"/>
  <c r="F68" i="1"/>
  <c r="R70" i="1"/>
  <c r="O78" i="1"/>
  <c r="AI78" i="1"/>
  <c r="I94" i="1"/>
  <c r="I95" i="1" s="1"/>
  <c r="I91" i="1"/>
  <c r="F71" i="1"/>
  <c r="F72" i="1" s="1"/>
  <c r="R71" i="1"/>
  <c r="R72" i="1" s="1"/>
  <c r="P78" i="1"/>
  <c r="AJ78" i="1"/>
  <c r="H91" i="1"/>
  <c r="H87" i="1"/>
  <c r="G89" i="1"/>
  <c r="S89" i="1"/>
  <c r="J94" i="1"/>
  <c r="J95" i="1" s="1"/>
  <c r="J91" i="1"/>
  <c r="F95" i="1"/>
  <c r="I126" i="1"/>
  <c r="I15" i="4" s="1"/>
  <c r="AH127" i="1"/>
  <c r="AH16" i="4" s="1"/>
  <c r="AH100" i="4" s="1"/>
  <c r="AJ220" i="1"/>
  <c r="AJ224" i="1"/>
  <c r="AK223" i="1"/>
  <c r="AL223" i="1" s="1"/>
  <c r="AM223" i="1" s="1"/>
  <c r="AN223" i="1" s="1"/>
  <c r="N131" i="1"/>
  <c r="F11" i="1"/>
  <c r="G29" i="1"/>
  <c r="S29" i="1"/>
  <c r="L39" i="1"/>
  <c r="L11" i="1"/>
  <c r="AH39" i="1"/>
  <c r="M41" i="1"/>
  <c r="AJ42" i="1"/>
  <c r="AJ43" i="1" s="1"/>
  <c r="N49" i="1"/>
  <c r="P62" i="1"/>
  <c r="L59" i="1"/>
  <c r="K68" i="1"/>
  <c r="W68" i="1"/>
  <c r="O68" i="1"/>
  <c r="AI68" i="1"/>
  <c r="N70" i="1"/>
  <c r="AH70" i="1"/>
  <c r="N78" i="1"/>
  <c r="R78" i="1"/>
  <c r="L94" i="1"/>
  <c r="L95" i="1" s="1"/>
  <c r="L91" i="1"/>
  <c r="AJ178" i="1"/>
  <c r="AJ180" i="1" s="1"/>
  <c r="I24" i="3"/>
  <c r="I26" i="3"/>
  <c r="I27" i="3" s="1"/>
  <c r="U24" i="3"/>
  <c r="U26" i="3"/>
  <c r="U27" i="3" s="1"/>
  <c r="K126" i="1"/>
  <c r="K15" i="4" s="1"/>
  <c r="K119" i="1"/>
  <c r="K7" i="4" s="1"/>
  <c r="K8" i="4" s="1"/>
  <c r="W119" i="1"/>
  <c r="W7" i="4" s="1"/>
  <c r="W8" i="4" s="1"/>
  <c r="AE212" i="1"/>
  <c r="AH212" i="1"/>
  <c r="AH216" i="1"/>
  <c r="AI235" i="1"/>
  <c r="AI236" i="1"/>
  <c r="AI143" i="1" s="1"/>
  <c r="AJ235" i="1"/>
  <c r="K93" i="1"/>
  <c r="G127" i="1"/>
  <c r="G16" i="4" s="1"/>
  <c r="G18" i="4" s="1"/>
  <c r="G20" i="4" s="1"/>
  <c r="G22" i="4" s="1"/>
  <c r="G31" i="4" s="1"/>
  <c r="S127" i="1"/>
  <c r="S16" i="4" s="1"/>
  <c r="S18" i="4" s="1"/>
  <c r="S20" i="4" s="1"/>
  <c r="S22" i="4" s="1"/>
  <c r="S31" i="4" s="1"/>
  <c r="AJ127" i="1"/>
  <c r="AJ16" i="4" s="1"/>
  <c r="AJ100" i="4" s="1"/>
  <c r="L126" i="1"/>
  <c r="L15" i="4" s="1"/>
  <c r="L18" i="4" s="1"/>
  <c r="L105" i="1"/>
  <c r="AC105" i="1"/>
  <c r="L107" i="1"/>
  <c r="AC107" i="1"/>
  <c r="AC119" i="1"/>
  <c r="AC7" i="4" s="1"/>
  <c r="AC102" i="4" s="1"/>
  <c r="L119" i="1"/>
  <c r="L7" i="4" s="1"/>
  <c r="L8" i="4" s="1"/>
  <c r="AH178" i="1"/>
  <c r="AH180" i="1" s="1"/>
  <c r="AF212" i="1"/>
  <c r="Q62" i="1"/>
  <c r="N85" i="1"/>
  <c r="L89" i="1"/>
  <c r="L93" i="1"/>
  <c r="H127" i="1"/>
  <c r="H16" i="4" s="1"/>
  <c r="H102" i="1"/>
  <c r="T127" i="1"/>
  <c r="T16" i="4" s="1"/>
  <c r="AK58" i="4"/>
  <c r="AL164" i="1"/>
  <c r="AI178" i="1"/>
  <c r="AI180" i="1" s="1"/>
  <c r="AM232" i="1"/>
  <c r="R18" i="4"/>
  <c r="N126" i="1"/>
  <c r="N15" i="4" s="1"/>
  <c r="N18" i="4" s="1"/>
  <c r="AE126" i="1"/>
  <c r="AE15" i="4" s="1"/>
  <c r="AE101" i="4" s="1"/>
  <c r="AE105" i="1"/>
  <c r="AE107" i="1"/>
  <c r="N119" i="1"/>
  <c r="N7" i="4" s="1"/>
  <c r="N8" i="4" s="1"/>
  <c r="AD220" i="1"/>
  <c r="AD222" i="1"/>
  <c r="U94" i="1"/>
  <c r="U95" i="1" s="1"/>
  <c r="J127" i="1"/>
  <c r="J16" i="4" s="1"/>
  <c r="V127" i="1"/>
  <c r="O119" i="1"/>
  <c r="O7" i="4" s="1"/>
  <c r="O8" i="4" s="1"/>
  <c r="AK49" i="4"/>
  <c r="AL152" i="1"/>
  <c r="AC166" i="1"/>
  <c r="AK89" i="4"/>
  <c r="AL201" i="1"/>
  <c r="AD233" i="1"/>
  <c r="O18" i="4"/>
  <c r="V94" i="1"/>
  <c r="V95" i="1" s="1"/>
  <c r="V91" i="1"/>
  <c r="U129" i="1"/>
  <c r="AJ171" i="1"/>
  <c r="D53" i="3"/>
  <c r="D55" i="3"/>
  <c r="D56" i="3" s="1"/>
  <c r="P53" i="3"/>
  <c r="P55" i="3"/>
  <c r="P56" i="3" s="1"/>
  <c r="AF53" i="3"/>
  <c r="AF55" i="3"/>
  <c r="AF56" i="3" s="1"/>
  <c r="AD94" i="4"/>
  <c r="AC154" i="1"/>
  <c r="AK55" i="4"/>
  <c r="AL160" i="1"/>
  <c r="AE166" i="1"/>
  <c r="AK68" i="4"/>
  <c r="AL175" i="1"/>
  <c r="AE233" i="1"/>
  <c r="AF18" i="4"/>
  <c r="W33" i="3"/>
  <c r="W36" i="3"/>
  <c r="W38" i="3"/>
  <c r="W149" i="3" s="1"/>
  <c r="W150" i="3" s="1"/>
  <c r="AJ44" i="3"/>
  <c r="AJ46" i="3"/>
  <c r="AJ48" i="3"/>
  <c r="AJ128" i="3"/>
  <c r="AJ86" i="1" s="1"/>
  <c r="AJ7" i="1" s="1"/>
  <c r="AJ119" i="1"/>
  <c r="AJ7" i="4" s="1"/>
  <c r="O129" i="1"/>
  <c r="AE154" i="1"/>
  <c r="AC162" i="1"/>
  <c r="AF33" i="3"/>
  <c r="AF36" i="3"/>
  <c r="AG69" i="3"/>
  <c r="AJ80" i="3"/>
  <c r="D129" i="1"/>
  <c r="P129" i="1"/>
  <c r="AC150" i="1"/>
  <c r="AC171" i="1"/>
  <c r="AJ214" i="1"/>
  <c r="AK213" i="1"/>
  <c r="AG33" i="3"/>
  <c r="AG36" i="3"/>
  <c r="K113" i="3"/>
  <c r="K114" i="3" s="1"/>
  <c r="K111" i="3"/>
  <c r="W113" i="3"/>
  <c r="W114" i="3" s="1"/>
  <c r="W111" i="3"/>
  <c r="F129" i="1"/>
  <c r="R129" i="1"/>
  <c r="AI129" i="1"/>
  <c r="H14" i="4"/>
  <c r="T14" i="4"/>
  <c r="AC148" i="1"/>
  <c r="AE150" i="1"/>
  <c r="AD159" i="1"/>
  <c r="AH92" i="3"/>
  <c r="AH94" i="3"/>
  <c r="E94" i="4"/>
  <c r="AG159" i="1"/>
  <c r="AD171" i="1"/>
  <c r="AE168" i="1"/>
  <c r="AI212" i="1"/>
  <c r="AI216" i="1"/>
  <c r="AJ239" i="1"/>
  <c r="AJ242" i="1"/>
  <c r="AJ142" i="1" s="1"/>
  <c r="AJ155" i="1" s="1"/>
  <c r="AF130" i="3"/>
  <c r="AF20" i="3"/>
  <c r="AF23" i="3"/>
  <c r="AF129" i="1"/>
  <c r="AH159" i="1"/>
  <c r="AE171" i="1"/>
  <c r="AC203" i="1"/>
  <c r="AK238" i="1"/>
  <c r="AG130" i="3"/>
  <c r="AG20" i="3"/>
  <c r="AG23" i="3"/>
  <c r="AF34" i="3"/>
  <c r="AJ116" i="4"/>
  <c r="AG129" i="1"/>
  <c r="AI159" i="1"/>
  <c r="AF204" i="1"/>
  <c r="AF205" i="1" s="1"/>
  <c r="AF206" i="1" s="1"/>
  <c r="AH130" i="3"/>
  <c r="AH20" i="3"/>
  <c r="AH23" i="3"/>
  <c r="AG132" i="3"/>
  <c r="L53" i="3"/>
  <c r="L55" i="3"/>
  <c r="L56" i="3" s="1"/>
  <c r="K55" i="3"/>
  <c r="K56" i="3" s="1"/>
  <c r="U64" i="4"/>
  <c r="AL78" i="4"/>
  <c r="AM187" i="1"/>
  <c r="AG204" i="1"/>
  <c r="AG205" i="1" s="1"/>
  <c r="AG206" i="1" s="1"/>
  <c r="AC197" i="1"/>
  <c r="AD229" i="1"/>
  <c r="AD230" i="1"/>
  <c r="AD139" i="1" s="1"/>
  <c r="AG236" i="1"/>
  <c r="AG143" i="1" s="1"/>
  <c r="AI130" i="3"/>
  <c r="AI133" i="3" s="1"/>
  <c r="AI23" i="3"/>
  <c r="AI20" i="3"/>
  <c r="M53" i="3"/>
  <c r="M55" i="3"/>
  <c r="M56" i="3" s="1"/>
  <c r="AH204" i="1"/>
  <c r="AD195" i="1"/>
  <c r="AD214" i="1"/>
  <c r="AJ216" i="1"/>
  <c r="N53" i="3"/>
  <c r="N55" i="3"/>
  <c r="N56" i="3" s="1"/>
  <c r="Z53" i="3"/>
  <c r="Z55" i="3"/>
  <c r="Z56" i="3" s="1"/>
  <c r="H113" i="3"/>
  <c r="H114" i="3" s="1"/>
  <c r="H111" i="3"/>
  <c r="T113" i="3"/>
  <c r="T114" i="3" s="1"/>
  <c r="T111" i="3"/>
  <c r="O64" i="4"/>
  <c r="AJ64" i="4"/>
  <c r="AL140" i="1"/>
  <c r="AL141" i="1"/>
  <c r="AI204" i="1"/>
  <c r="AI220" i="1"/>
  <c r="AI224" i="1"/>
  <c r="AH230" i="1"/>
  <c r="AH139" i="1" s="1"/>
  <c r="AH227" i="1"/>
  <c r="O53" i="3"/>
  <c r="O55" i="3"/>
  <c r="O56" i="3" s="1"/>
  <c r="AA53" i="3"/>
  <c r="AA55" i="3"/>
  <c r="AA56" i="3" s="1"/>
  <c r="W53" i="3"/>
  <c r="AI94" i="3"/>
  <c r="I113" i="3"/>
  <c r="I114" i="3" s="1"/>
  <c r="I111" i="3"/>
  <c r="U113" i="3"/>
  <c r="U114" i="3" s="1"/>
  <c r="U111" i="3"/>
  <c r="S135" i="3"/>
  <c r="E93" i="4"/>
  <c r="AK78" i="4"/>
  <c r="AE214" i="1"/>
  <c r="AG224" i="1"/>
  <c r="AJ229" i="1"/>
  <c r="AE236" i="1"/>
  <c r="AE143" i="1" s="1"/>
  <c r="AH126" i="3"/>
  <c r="AJ15" i="3"/>
  <c r="AG44" i="3"/>
  <c r="AJ52" i="3"/>
  <c r="AJ92" i="3"/>
  <c r="AJ94" i="3"/>
  <c r="AH104" i="3"/>
  <c r="AG110" i="3"/>
  <c r="S51" i="4"/>
  <c r="S64" i="4" s="1"/>
  <c r="S93" i="4"/>
  <c r="S94" i="4" s="1"/>
  <c r="AF214" i="1"/>
  <c r="AF236" i="1"/>
  <c r="AF143" i="1" s="1"/>
  <c r="AF233" i="1"/>
  <c r="AF18" i="3"/>
  <c r="AF129" i="3"/>
  <c r="AF88" i="1" s="1"/>
  <c r="AH77" i="3"/>
  <c r="AF110" i="3"/>
  <c r="AJ126" i="3"/>
  <c r="I94" i="4"/>
  <c r="AG48" i="3"/>
  <c r="AG52" i="3"/>
  <c r="AJ113" i="3"/>
  <c r="AJ114" i="3" s="1"/>
  <c r="AJ111" i="3"/>
  <c r="G135" i="3"/>
  <c r="W51" i="4"/>
  <c r="AG214" i="1"/>
  <c r="AK221" i="1"/>
  <c r="AJ222" i="1"/>
  <c r="AH9" i="3"/>
  <c r="AI17" i="3"/>
  <c r="AH17" i="3"/>
  <c r="AH129" i="3"/>
  <c r="AH88" i="1" s="1"/>
  <c r="AG17" i="3"/>
  <c r="AF131" i="3"/>
  <c r="Q24" i="3"/>
  <c r="AH110" i="3"/>
  <c r="H135" i="3"/>
  <c r="AF51" i="4"/>
  <c r="Q94" i="4"/>
  <c r="Q95" i="4" s="1"/>
  <c r="AC242" i="1"/>
  <c r="AC142" i="1" s="1"/>
  <c r="AI129" i="3"/>
  <c r="AI88" i="1" s="1"/>
  <c r="AG18" i="3"/>
  <c r="AG131" i="3"/>
  <c r="AF38" i="3"/>
  <c r="AF79" i="3"/>
  <c r="AI52" i="3"/>
  <c r="AI110" i="3"/>
  <c r="T135" i="3"/>
  <c r="AC116" i="4"/>
  <c r="AE186" i="1"/>
  <c r="AE203" i="1"/>
  <c r="AK228" i="1"/>
  <c r="AD242" i="1"/>
  <c r="AD142" i="1" s="1"/>
  <c r="AD239" i="1"/>
  <c r="AH131" i="3"/>
  <c r="S26" i="3"/>
  <c r="S27" i="3" s="1"/>
  <c r="AG38" i="3"/>
  <c r="AG79" i="3"/>
  <c r="AG149" i="3"/>
  <c r="AG150" i="3" s="1"/>
  <c r="AF41" i="3"/>
  <c r="AI75" i="3"/>
  <c r="L127" i="3"/>
  <c r="H127" i="3"/>
  <c r="X127" i="3"/>
  <c r="T127" i="3"/>
  <c r="O91" i="4"/>
  <c r="O93" i="4" s="1"/>
  <c r="O94" i="4" s="1"/>
  <c r="AJ91" i="4"/>
  <c r="AJ93" i="4" s="1"/>
  <c r="E51" i="4"/>
  <c r="E64" i="4" s="1"/>
  <c r="E95" i="4" s="1"/>
  <c r="U93" i="4"/>
  <c r="U94" i="4" s="1"/>
  <c r="AE91" i="4"/>
  <c r="AE93" i="4" s="1"/>
  <c r="AE94" i="4" s="1"/>
  <c r="AG116" i="4"/>
  <c r="AI149" i="3"/>
  <c r="AI150" i="3" s="1"/>
  <c r="AC51" i="4"/>
  <c r="G51" i="4"/>
  <c r="G64" i="4" s="1"/>
  <c r="G95" i="4" s="1"/>
  <c r="W79" i="4"/>
  <c r="W93" i="4" s="1"/>
  <c r="W94" i="4" s="1"/>
  <c r="AF116" i="4"/>
  <c r="AJ149" i="3"/>
  <c r="AJ150" i="3" s="1"/>
  <c r="AI41" i="3"/>
  <c r="AH52" i="3"/>
  <c r="AF99" i="3"/>
  <c r="U62" i="4"/>
  <c r="AC79" i="4"/>
  <c r="AC91" i="4"/>
  <c r="AG128" i="3"/>
  <c r="AG86" i="1" s="1"/>
  <c r="AJ41" i="3"/>
  <c r="AI79" i="3"/>
  <c r="W96" i="3"/>
  <c r="W154" i="3" s="1"/>
  <c r="W155" i="3" s="1"/>
  <c r="AH154" i="3"/>
  <c r="AH155" i="3" s="1"/>
  <c r="AG99" i="3"/>
  <c r="Q113" i="3"/>
  <c r="Q114" i="3" s="1"/>
  <c r="N133" i="3"/>
  <c r="Z133" i="3"/>
  <c r="Z135" i="3" s="1"/>
  <c r="AF8" i="4"/>
  <c r="AE29" i="4"/>
  <c r="S62" i="4"/>
  <c r="AH128" i="3"/>
  <c r="AH86" i="1" s="1"/>
  <c r="E55" i="3"/>
  <c r="E56" i="3" s="1"/>
  <c r="Q55" i="3"/>
  <c r="Q56" i="3" s="1"/>
  <c r="AJ79" i="3"/>
  <c r="AI154" i="3"/>
  <c r="AI155" i="3" s="1"/>
  <c r="AH99" i="3"/>
  <c r="AJ129" i="3"/>
  <c r="AJ88" i="1" s="1"/>
  <c r="O133" i="3"/>
  <c r="AA133" i="3"/>
  <c r="AA135" i="3" s="1"/>
  <c r="D8" i="4"/>
  <c r="P8" i="4"/>
  <c r="AG8" i="4"/>
  <c r="F18" i="4"/>
  <c r="AI18" i="4"/>
  <c r="M51" i="4"/>
  <c r="AC62" i="4"/>
  <c r="AI91" i="4"/>
  <c r="AI93" i="4" s="1"/>
  <c r="AI128" i="3"/>
  <c r="AI86" i="1" s="1"/>
  <c r="AI87" i="1" s="1"/>
  <c r="AI132" i="3"/>
  <c r="AJ154" i="3"/>
  <c r="AJ155" i="3" s="1"/>
  <c r="AI99" i="3"/>
  <c r="F111" i="3"/>
  <c r="F113" i="3"/>
  <c r="F114" i="3" s="1"/>
  <c r="R111" i="3"/>
  <c r="R113" i="3"/>
  <c r="R114" i="3" s="1"/>
  <c r="D133" i="3"/>
  <c r="P133" i="3"/>
  <c r="AF91" i="4"/>
  <c r="AF93" i="4" s="1"/>
  <c r="AF94" i="4" s="1"/>
  <c r="AJ132" i="3"/>
  <c r="AJ99" i="3"/>
  <c r="G111" i="3"/>
  <c r="G113" i="3"/>
  <c r="G114" i="3" s="1"/>
  <c r="S111" i="3"/>
  <c r="S113" i="3"/>
  <c r="S114" i="3" s="1"/>
  <c r="D113" i="3"/>
  <c r="D114" i="3" s="1"/>
  <c r="E133" i="3"/>
  <c r="Q133" i="3"/>
  <c r="R8" i="4"/>
  <c r="AI8" i="4"/>
  <c r="E29" i="4"/>
  <c r="Q29" i="4"/>
  <c r="AH29" i="4"/>
  <c r="AC123" i="4"/>
  <c r="F29" i="4"/>
  <c r="R29" i="4"/>
  <c r="AF62" i="4"/>
  <c r="K79" i="4"/>
  <c r="W62" i="4"/>
  <c r="I79" i="4"/>
  <c r="I93" i="4" s="1"/>
  <c r="AG79" i="4"/>
  <c r="G29" i="4"/>
  <c r="S29" i="4"/>
  <c r="AJ29" i="4"/>
  <c r="AD62" i="4"/>
  <c r="AD64" i="4" s="1"/>
  <c r="I51" i="4"/>
  <c r="I64" i="4" s="1"/>
  <c r="AG51" i="4"/>
  <c r="AG64" i="4" s="1"/>
  <c r="E62" i="4"/>
  <c r="AE62" i="4"/>
  <c r="AE64" i="4" s="1"/>
  <c r="M62" i="4"/>
  <c r="AI62" i="4"/>
  <c r="AI64" i="4" s="1"/>
  <c r="M70" i="4"/>
  <c r="M72" i="4" s="1"/>
  <c r="M94" i="4" s="1"/>
  <c r="AI70" i="4"/>
  <c r="AI72" i="4" s="1"/>
  <c r="I91" i="4"/>
  <c r="AG91" i="4"/>
  <c r="K51" i="4"/>
  <c r="K64" i="4" s="1"/>
  <c r="AH51" i="4"/>
  <c r="AH64" i="4" s="1"/>
  <c r="K91" i="4"/>
  <c r="AH91" i="4"/>
  <c r="AH93" i="4" s="1"/>
  <c r="AH94" i="4" s="1"/>
  <c r="M8" i="4"/>
  <c r="AD8" i="4"/>
  <c r="D18" i="4"/>
  <c r="P18" i="4"/>
  <c r="AG18" i="4"/>
  <c r="AD116" i="4"/>
  <c r="L46" i="1" l="1"/>
  <c r="AG155" i="1"/>
  <c r="AG172" i="1" s="1"/>
  <c r="AM55" i="1"/>
  <c r="AM57" i="1" s="1"/>
  <c r="AM61" i="1" s="1"/>
  <c r="AM63" i="1" s="1"/>
  <c r="T6" i="1"/>
  <c r="AI20" i="1"/>
  <c r="P20" i="1"/>
  <c r="AH46" i="1"/>
  <c r="AH50" i="1" s="1"/>
  <c r="AF155" i="1"/>
  <c r="AF172" i="1" s="1"/>
  <c r="AF208" i="1" s="1"/>
  <c r="H10" i="1"/>
  <c r="S102" i="1"/>
  <c r="N10" i="1"/>
  <c r="T21" i="1"/>
  <c r="H21" i="1"/>
  <c r="F8" i="1"/>
  <c r="P8" i="1"/>
  <c r="D46" i="1"/>
  <c r="D47" i="1" s="1"/>
  <c r="AE205" i="1"/>
  <c r="AE206" i="1" s="1"/>
  <c r="AM198" i="1"/>
  <c r="AD205" i="1"/>
  <c r="AD206" i="1"/>
  <c r="T18" i="4"/>
  <c r="T20" i="4" s="1"/>
  <c r="T22" i="4" s="1"/>
  <c r="T31" i="4" s="1"/>
  <c r="T12" i="1"/>
  <c r="AI21" i="1"/>
  <c r="H22" i="1"/>
  <c r="V8" i="1"/>
  <c r="V102" i="1"/>
  <c r="P105" i="1"/>
  <c r="I12" i="1"/>
  <c r="S21" i="1"/>
  <c r="E102" i="1"/>
  <c r="S6" i="1"/>
  <c r="E105" i="1"/>
  <c r="D20" i="1"/>
  <c r="R10" i="1"/>
  <c r="U12" i="1"/>
  <c r="N102" i="1"/>
  <c r="R102" i="1"/>
  <c r="H6" i="1"/>
  <c r="N105" i="1"/>
  <c r="AG79" i="1"/>
  <c r="AG80" i="1" s="1"/>
  <c r="M102" i="1"/>
  <c r="E118" i="1"/>
  <c r="E123" i="1" s="1"/>
  <c r="R21" i="1"/>
  <c r="K75" i="1"/>
  <c r="P10" i="1"/>
  <c r="W72" i="1"/>
  <c r="M105" i="1"/>
  <c r="N75" i="1"/>
  <c r="N76" i="1" s="1"/>
  <c r="G22" i="1"/>
  <c r="V105" i="1"/>
  <c r="AF43" i="1"/>
  <c r="T8" i="1"/>
  <c r="D75" i="1"/>
  <c r="L22" i="1"/>
  <c r="M118" i="1"/>
  <c r="M120" i="1" s="1"/>
  <c r="M130" i="1" s="1"/>
  <c r="M132" i="1" s="1"/>
  <c r="P118" i="1"/>
  <c r="P123" i="1" s="1"/>
  <c r="V118" i="1"/>
  <c r="V120" i="1" s="1"/>
  <c r="AH205" i="1"/>
  <c r="AH206" i="1" s="1"/>
  <c r="N107" i="1"/>
  <c r="K18" i="4"/>
  <c r="K20" i="4" s="1"/>
  <c r="K22" i="4" s="1"/>
  <c r="K31" i="4" s="1"/>
  <c r="G21" i="1"/>
  <c r="V107" i="1"/>
  <c r="AJ93" i="1"/>
  <c r="R118" i="1"/>
  <c r="R120" i="1" s="1"/>
  <c r="R130" i="1" s="1"/>
  <c r="R132" i="1" s="1"/>
  <c r="P75" i="1"/>
  <c r="M75" i="1"/>
  <c r="M79" i="1" s="1"/>
  <c r="M80" i="1" s="1"/>
  <c r="U107" i="1"/>
  <c r="AH18" i="4"/>
  <c r="D22" i="1"/>
  <c r="AJ89" i="1"/>
  <c r="F21" i="1"/>
  <c r="D8" i="1"/>
  <c r="AM146" i="1"/>
  <c r="AM45" i="4" s="1"/>
  <c r="V75" i="1"/>
  <c r="V79" i="1" s="1"/>
  <c r="V80" i="1" s="1"/>
  <c r="F20" i="4"/>
  <c r="F22" i="4" s="1"/>
  <c r="F31" i="4" s="1"/>
  <c r="R22" i="1"/>
  <c r="R105" i="1"/>
  <c r="S22" i="1"/>
  <c r="AD95" i="4"/>
  <c r="T20" i="1"/>
  <c r="L21" i="1"/>
  <c r="AC206" i="1"/>
  <c r="AK32" i="1"/>
  <c r="AK33" i="1" s="1"/>
  <c r="AH79" i="1"/>
  <c r="AH80" i="1" s="1"/>
  <c r="O8" i="1"/>
  <c r="Q102" i="1"/>
  <c r="AE79" i="1"/>
  <c r="AE80" i="1" s="1"/>
  <c r="K107" i="1"/>
  <c r="Q8" i="1"/>
  <c r="P46" i="1"/>
  <c r="P50" i="1" s="1"/>
  <c r="P51" i="1" s="1"/>
  <c r="I105" i="1"/>
  <c r="O10" i="1"/>
  <c r="U6" i="1"/>
  <c r="O21" i="1"/>
  <c r="W107" i="1"/>
  <c r="J102" i="1"/>
  <c r="W102" i="1"/>
  <c r="O102" i="1"/>
  <c r="I18" i="4"/>
  <c r="I20" i="4" s="1"/>
  <c r="I22" i="4" s="1"/>
  <c r="I31" i="4" s="1"/>
  <c r="AC18" i="4"/>
  <c r="R20" i="4"/>
  <c r="R22" i="4" s="1"/>
  <c r="R31" i="4" s="1"/>
  <c r="K105" i="1"/>
  <c r="AJ205" i="1"/>
  <c r="AJ206" i="1" s="1"/>
  <c r="L6" i="1"/>
  <c r="Q123" i="1"/>
  <c r="M12" i="1"/>
  <c r="L8" i="1"/>
  <c r="K102" i="1"/>
  <c r="O107" i="1"/>
  <c r="Q107" i="1"/>
  <c r="W10" i="1"/>
  <c r="AG93" i="4"/>
  <c r="AG94" i="4" s="1"/>
  <c r="AC155" i="1"/>
  <c r="AC172" i="1" s="1"/>
  <c r="W123" i="1"/>
  <c r="Q125" i="1"/>
  <c r="AL82" i="4"/>
  <c r="J18" i="4"/>
  <c r="J20" i="4" s="1"/>
  <c r="J22" i="4" s="1"/>
  <c r="J31" i="4" s="1"/>
  <c r="O118" i="1"/>
  <c r="O120" i="1" s="1"/>
  <c r="O130" i="1" s="1"/>
  <c r="O132" i="1" s="1"/>
  <c r="AJ94" i="4"/>
  <c r="AJ95" i="4" s="1"/>
  <c r="Q22" i="1"/>
  <c r="Q105" i="1"/>
  <c r="O75" i="1"/>
  <c r="O79" i="1" s="1"/>
  <c r="O80" i="1" s="1"/>
  <c r="S10" i="1"/>
  <c r="Q6" i="1"/>
  <c r="AF64" i="4"/>
  <c r="K123" i="1"/>
  <c r="N46" i="1"/>
  <c r="N47" i="1" s="1"/>
  <c r="G8" i="1"/>
  <c r="P22" i="1"/>
  <c r="P6" i="1"/>
  <c r="W46" i="1"/>
  <c r="W47" i="1" s="1"/>
  <c r="AI94" i="4"/>
  <c r="AI95" i="4" s="1"/>
  <c r="W105" i="1"/>
  <c r="Q20" i="1"/>
  <c r="O20" i="4"/>
  <c r="O22" i="4" s="1"/>
  <c r="O31" i="4" s="1"/>
  <c r="AK236" i="1"/>
  <c r="AK143" i="1" s="1"/>
  <c r="AK42" i="4" s="1"/>
  <c r="AI7" i="1"/>
  <c r="AI8" i="1" s="1"/>
  <c r="K46" i="1"/>
  <c r="K47" i="1" s="1"/>
  <c r="Q10" i="1"/>
  <c r="F12" i="1"/>
  <c r="L12" i="1"/>
  <c r="H125" i="1"/>
  <c r="J8" i="1"/>
  <c r="AC50" i="1"/>
  <c r="AC51" i="1" s="1"/>
  <c r="AL34" i="1"/>
  <c r="AL42" i="1" s="1"/>
  <c r="AM26" i="1"/>
  <c r="AN26" i="1" s="1"/>
  <c r="AN28" i="1" s="1"/>
  <c r="AN32" i="1" s="1"/>
  <c r="R6" i="1"/>
  <c r="M20" i="1"/>
  <c r="AD154" i="1"/>
  <c r="AI75" i="1"/>
  <c r="AI76" i="1" s="1"/>
  <c r="M8" i="1"/>
  <c r="AD203" i="1"/>
  <c r="AG168" i="1"/>
  <c r="H18" i="4"/>
  <c r="H20" i="4" s="1"/>
  <c r="H22" i="4" s="1"/>
  <c r="H31" i="4" s="1"/>
  <c r="AD186" i="1"/>
  <c r="AD148" i="1"/>
  <c r="N20" i="4"/>
  <c r="N22" i="4" s="1"/>
  <c r="N31" i="4" s="1"/>
  <c r="S129" i="1"/>
  <c r="AG148" i="1"/>
  <c r="AJ172" i="1"/>
  <c r="T129" i="1"/>
  <c r="W18" i="4"/>
  <c r="W20" i="4" s="1"/>
  <c r="W22" i="4" s="1"/>
  <c r="W31" i="4" s="1"/>
  <c r="AC129" i="1"/>
  <c r="AD76" i="1"/>
  <c r="AD79" i="1"/>
  <c r="AD80" i="1" s="1"/>
  <c r="AG197" i="1"/>
  <c r="Q79" i="1"/>
  <c r="Q80" i="1" s="1"/>
  <c r="Q76" i="1"/>
  <c r="AE129" i="1"/>
  <c r="AE130" i="1" s="1"/>
  <c r="AE132" i="1" s="1"/>
  <c r="H50" i="1"/>
  <c r="H51" i="1" s="1"/>
  <c r="H47" i="1"/>
  <c r="AD168" i="1"/>
  <c r="AM192" i="1"/>
  <c r="AM83" i="4" s="1"/>
  <c r="L129" i="1"/>
  <c r="K129" i="1"/>
  <c r="H123" i="1"/>
  <c r="AJ129" i="1"/>
  <c r="AI155" i="1"/>
  <c r="AI172" i="1" s="1"/>
  <c r="AF20" i="4"/>
  <c r="AF22" i="4" s="1"/>
  <c r="AF31" i="4" s="1"/>
  <c r="AI20" i="4"/>
  <c r="AI22" i="4" s="1"/>
  <c r="AI99" i="4" s="1"/>
  <c r="AI104" i="4" s="1"/>
  <c r="AI106" i="4" s="1"/>
  <c r="AI108" i="4" s="1"/>
  <c r="AI125" i="4" s="1"/>
  <c r="AI128" i="4" s="1"/>
  <c r="AI129" i="4" s="1"/>
  <c r="AJ18" i="4"/>
  <c r="L20" i="4"/>
  <c r="L22" i="4" s="1"/>
  <c r="L31" i="4" s="1"/>
  <c r="AD166" i="1"/>
  <c r="AG150" i="1"/>
  <c r="AD125" i="1"/>
  <c r="AJ135" i="3"/>
  <c r="AJ90" i="1"/>
  <c r="AE95" i="4"/>
  <c r="I79" i="1"/>
  <c r="I80" i="1" s="1"/>
  <c r="I76" i="1"/>
  <c r="AK119" i="4"/>
  <c r="R75" i="1"/>
  <c r="AG93" i="1"/>
  <c r="AG89" i="1"/>
  <c r="U95" i="4"/>
  <c r="AL58" i="4"/>
  <c r="AM164" i="1"/>
  <c r="F75" i="1"/>
  <c r="W6" i="1"/>
  <c r="W22" i="1"/>
  <c r="W8" i="1"/>
  <c r="AM62" i="1"/>
  <c r="S8" i="1"/>
  <c r="S12" i="1"/>
  <c r="AG200" i="1"/>
  <c r="AG162" i="1"/>
  <c r="AG154" i="1"/>
  <c r="AG125" i="1"/>
  <c r="AG166" i="1"/>
  <c r="AG123" i="1"/>
  <c r="AG120" i="1"/>
  <c r="AG130" i="1" s="1"/>
  <c r="AG132" i="1" s="1"/>
  <c r="AG111" i="3"/>
  <c r="AG113" i="3"/>
  <c r="AG114" i="3" s="1"/>
  <c r="I129" i="1"/>
  <c r="L47" i="1"/>
  <c r="L50" i="1"/>
  <c r="AH95" i="4"/>
  <c r="AG95" i="4"/>
  <c r="W64" i="4"/>
  <c r="W95" i="4" s="1"/>
  <c r="O95" i="4"/>
  <c r="AL49" i="4"/>
  <c r="AM152" i="1"/>
  <c r="U50" i="1"/>
  <c r="U47" i="1"/>
  <c r="AI205" i="1"/>
  <c r="AI206" i="1" s="1"/>
  <c r="U20" i="4"/>
  <c r="U22" i="4" s="1"/>
  <c r="U31" i="4" s="1"/>
  <c r="M22" i="1"/>
  <c r="M6" i="1"/>
  <c r="Q129" i="1"/>
  <c r="Q130" i="1" s="1"/>
  <c r="Q132" i="1" s="1"/>
  <c r="AM44" i="4"/>
  <c r="AN145" i="1"/>
  <c r="AL221" i="1"/>
  <c r="AK220" i="1"/>
  <c r="AL68" i="4"/>
  <c r="AM175" i="1"/>
  <c r="L76" i="1"/>
  <c r="L79" i="1"/>
  <c r="L80" i="1" s="1"/>
  <c r="D20" i="4"/>
  <c r="D22" i="4" s="1"/>
  <c r="D31" i="4" s="1"/>
  <c r="AC120" i="1"/>
  <c r="O135" i="3"/>
  <c r="O90" i="1"/>
  <c r="AL89" i="4"/>
  <c r="AM201" i="1"/>
  <c r="AF76" i="1"/>
  <c r="AF79" i="1"/>
  <c r="AF80" i="1" s="1"/>
  <c r="AF111" i="3"/>
  <c r="AF113" i="3"/>
  <c r="AF114" i="3" s="1"/>
  <c r="AD155" i="1"/>
  <c r="AD172" i="1" s="1"/>
  <c r="AD208" i="1" s="1"/>
  <c r="AK62" i="1"/>
  <c r="AK63" i="1"/>
  <c r="K95" i="4"/>
  <c r="AH89" i="1"/>
  <c r="AH9" i="1"/>
  <c r="AH26" i="3"/>
  <c r="AH27" i="3" s="1"/>
  <c r="AH24" i="3"/>
  <c r="AG26" i="3"/>
  <c r="AG27" i="3" s="1"/>
  <c r="AG24" i="3"/>
  <c r="AF26" i="3"/>
  <c r="AF27" i="3" s="1"/>
  <c r="AF24" i="3"/>
  <c r="AJ8" i="4"/>
  <c r="AJ102" i="4"/>
  <c r="S50" i="1"/>
  <c r="S47" i="1"/>
  <c r="AJ46" i="1"/>
  <c r="J79" i="1"/>
  <c r="J80" i="1" s="1"/>
  <c r="J76" i="1"/>
  <c r="V50" i="1"/>
  <c r="V47" i="1"/>
  <c r="D79" i="1"/>
  <c r="D80" i="1" s="1"/>
  <c r="D76" i="1"/>
  <c r="AE47" i="1"/>
  <c r="AE50" i="1"/>
  <c r="M76" i="1"/>
  <c r="AM87" i="4"/>
  <c r="AN198" i="1"/>
  <c r="AN87" i="4" s="1"/>
  <c r="AM236" i="1"/>
  <c r="AM143" i="1" s="1"/>
  <c r="AM42" i="4" s="1"/>
  <c r="AN232" i="1"/>
  <c r="AN236" i="1" s="1"/>
  <c r="AN143" i="1" s="1"/>
  <c r="AN42" i="4" s="1"/>
  <c r="H79" i="1"/>
  <c r="H76" i="1"/>
  <c r="AE239" i="1"/>
  <c r="AE242" i="1"/>
  <c r="AE142" i="1" s="1"/>
  <c r="AE155" i="1" s="1"/>
  <c r="AE172" i="1" s="1"/>
  <c r="AE208" i="1" s="1"/>
  <c r="AI127" i="3"/>
  <c r="AH127" i="3"/>
  <c r="AH84" i="1"/>
  <c r="S95" i="4"/>
  <c r="AL39" i="4"/>
  <c r="AM140" i="1"/>
  <c r="AL55" i="4"/>
  <c r="AM160" i="1"/>
  <c r="V22" i="1"/>
  <c r="V6" i="1"/>
  <c r="T50" i="1"/>
  <c r="T47" i="1"/>
  <c r="AI93" i="1"/>
  <c r="AM82" i="4"/>
  <c r="AN191" i="1"/>
  <c r="AL48" i="4"/>
  <c r="AM151" i="1"/>
  <c r="Q50" i="1"/>
  <c r="Q47" i="1"/>
  <c r="Q135" i="3"/>
  <c r="Q90" i="1"/>
  <c r="N135" i="3"/>
  <c r="N90" i="1"/>
  <c r="AC64" i="4"/>
  <c r="AF89" i="1"/>
  <c r="AF9" i="1"/>
  <c r="AC8" i="4"/>
  <c r="E135" i="3"/>
  <c r="E90" i="1"/>
  <c r="P135" i="3"/>
  <c r="P90" i="1"/>
  <c r="M64" i="4"/>
  <c r="M95" i="4" s="1"/>
  <c r="N129" i="1"/>
  <c r="I50" i="1"/>
  <c r="I47" i="1"/>
  <c r="G50" i="1"/>
  <c r="G47" i="1"/>
  <c r="J107" i="1"/>
  <c r="J105" i="1"/>
  <c r="J118" i="1"/>
  <c r="J10" i="1"/>
  <c r="N120" i="1"/>
  <c r="N130" i="1" s="1"/>
  <c r="N132" i="1" s="1"/>
  <c r="N123" i="1"/>
  <c r="N125" i="1"/>
  <c r="AI50" i="1"/>
  <c r="AI47" i="1"/>
  <c r="AD120" i="1"/>
  <c r="AD130" i="1" s="1"/>
  <c r="AD132" i="1" s="1"/>
  <c r="AD200" i="1"/>
  <c r="AD197" i="1"/>
  <c r="AD170" i="1"/>
  <c r="AD123" i="1"/>
  <c r="AD162" i="1"/>
  <c r="S79" i="1"/>
  <c r="S80" i="1" s="1"/>
  <c r="S76" i="1"/>
  <c r="V21" i="1"/>
  <c r="AL113" i="4"/>
  <c r="P20" i="4"/>
  <c r="P22" i="4" s="1"/>
  <c r="P31" i="4" s="1"/>
  <c r="AI55" i="3"/>
  <c r="AI56" i="3" s="1"/>
  <c r="AI53" i="3"/>
  <c r="F118" i="1"/>
  <c r="F102" i="1"/>
  <c r="F107" i="1"/>
  <c r="F105" i="1"/>
  <c r="R12" i="1"/>
  <c r="R8" i="1"/>
  <c r="R50" i="1"/>
  <c r="R47" i="1"/>
  <c r="AL76" i="4"/>
  <c r="AL121" i="4"/>
  <c r="AM184" i="1"/>
  <c r="D123" i="1"/>
  <c r="D120" i="1"/>
  <c r="D130" i="1" s="1"/>
  <c r="D132" i="1" s="1"/>
  <c r="D125" i="1"/>
  <c r="AG50" i="1"/>
  <c r="AG47" i="1"/>
  <c r="AJ24" i="3"/>
  <c r="AJ26" i="3"/>
  <c r="AJ27" i="3" s="1"/>
  <c r="AL228" i="1"/>
  <c r="AK230" i="1"/>
  <c r="AK139" i="1" s="1"/>
  <c r="AG7" i="1"/>
  <c r="AL62" i="1"/>
  <c r="AL63" i="1"/>
  <c r="AF127" i="3"/>
  <c r="AF84" i="1"/>
  <c r="I95" i="4"/>
  <c r="AE18" i="4"/>
  <c r="AE20" i="4" s="1"/>
  <c r="AE22" i="4" s="1"/>
  <c r="D135" i="3"/>
  <c r="D90" i="1"/>
  <c r="AJ53" i="3"/>
  <c r="AJ55" i="3"/>
  <c r="AJ56" i="3" s="1"/>
  <c r="AH155" i="1"/>
  <c r="AH172" i="1" s="1"/>
  <c r="AM78" i="4"/>
  <c r="AN187" i="1"/>
  <c r="AN78" i="4" s="1"/>
  <c r="AH133" i="3"/>
  <c r="AG133" i="3"/>
  <c r="AF133" i="3"/>
  <c r="H129" i="1"/>
  <c r="H130" i="1" s="1"/>
  <c r="H132" i="1" s="1"/>
  <c r="W120" i="1"/>
  <c r="W130" i="1" s="1"/>
  <c r="W132" i="1" s="1"/>
  <c r="AH129" i="1"/>
  <c r="G79" i="1"/>
  <c r="G80" i="1" s="1"/>
  <c r="G76" i="1"/>
  <c r="AG127" i="3"/>
  <c r="AG84" i="1"/>
  <c r="AG87" i="1" s="1"/>
  <c r="I102" i="1"/>
  <c r="I118" i="1"/>
  <c r="M10" i="1"/>
  <c r="I10" i="1"/>
  <c r="E129" i="1"/>
  <c r="AF239" i="1"/>
  <c r="AF95" i="4"/>
  <c r="AL43" i="4"/>
  <c r="AM144" i="1"/>
  <c r="E50" i="1"/>
  <c r="E47" i="1"/>
  <c r="AL40" i="4"/>
  <c r="AM141" i="1"/>
  <c r="V16" i="4"/>
  <c r="V18" i="4" s="1"/>
  <c r="V20" i="4" s="1"/>
  <c r="V22" i="4" s="1"/>
  <c r="V31" i="4" s="1"/>
  <c r="V129" i="1"/>
  <c r="N6" i="1"/>
  <c r="N22" i="1"/>
  <c r="N21" i="1"/>
  <c r="N20" i="1"/>
  <c r="AI135" i="3"/>
  <c r="AI90" i="1"/>
  <c r="AC93" i="4"/>
  <c r="AC94" i="4" s="1"/>
  <c r="AJ127" i="3"/>
  <c r="AJ84" i="1"/>
  <c r="AJ87" i="1" s="1"/>
  <c r="AI89" i="1"/>
  <c r="AI9" i="1"/>
  <c r="K8" i="1"/>
  <c r="K6" i="1"/>
  <c r="K20" i="1"/>
  <c r="K21" i="1"/>
  <c r="AH87" i="1"/>
  <c r="AH93" i="1"/>
  <c r="AH7" i="1"/>
  <c r="AH55" i="3"/>
  <c r="AH56" i="3" s="1"/>
  <c r="AH53" i="3"/>
  <c r="AG53" i="3"/>
  <c r="AG55" i="3"/>
  <c r="AG56" i="3" s="1"/>
  <c r="AK242" i="1"/>
  <c r="AK142" i="1" s="1"/>
  <c r="AK41" i="4" s="1"/>
  <c r="AL238" i="1"/>
  <c r="AL213" i="1"/>
  <c r="AK212" i="1"/>
  <c r="W76" i="1"/>
  <c r="W79" i="1"/>
  <c r="W80" i="1" s="1"/>
  <c r="K120" i="1"/>
  <c r="U79" i="1"/>
  <c r="U80" i="1" s="1"/>
  <c r="U76" i="1"/>
  <c r="AG170" i="1"/>
  <c r="G118" i="1"/>
  <c r="G107" i="1"/>
  <c r="G105" i="1"/>
  <c r="K10" i="1"/>
  <c r="L120" i="1"/>
  <c r="AD47" i="1"/>
  <c r="AD50" i="1"/>
  <c r="T118" i="1"/>
  <c r="T107" i="1"/>
  <c r="T105" i="1"/>
  <c r="T10" i="1"/>
  <c r="U118" i="1"/>
  <c r="U102" i="1"/>
  <c r="U10" i="1"/>
  <c r="O47" i="1"/>
  <c r="O50" i="1"/>
  <c r="O6" i="1"/>
  <c r="K76" i="1"/>
  <c r="K79" i="1"/>
  <c r="K80" i="1" s="1"/>
  <c r="AI24" i="3"/>
  <c r="AI26" i="3"/>
  <c r="AI27" i="3" s="1"/>
  <c r="G129" i="1"/>
  <c r="F50" i="1"/>
  <c r="F47" i="1"/>
  <c r="M20" i="4"/>
  <c r="M22" i="4" s="1"/>
  <c r="M31" i="4" s="1"/>
  <c r="AH111" i="3"/>
  <c r="AH113" i="3"/>
  <c r="AH114" i="3" s="1"/>
  <c r="AG208" i="1"/>
  <c r="AD18" i="4"/>
  <c r="AD20" i="4" s="1"/>
  <c r="AD22" i="4" s="1"/>
  <c r="W21" i="1"/>
  <c r="AH20" i="4"/>
  <c r="AH22" i="4" s="1"/>
  <c r="AF47" i="1"/>
  <c r="AF50" i="1"/>
  <c r="K93" i="4"/>
  <c r="K94" i="4" s="1"/>
  <c r="AJ79" i="1"/>
  <c r="AJ80" i="1" s="1"/>
  <c r="AJ76" i="1"/>
  <c r="AC76" i="1"/>
  <c r="AC79" i="1"/>
  <c r="AC80" i="1" s="1"/>
  <c r="P79" i="1"/>
  <c r="P80" i="1" s="1"/>
  <c r="P76" i="1"/>
  <c r="I6" i="1"/>
  <c r="I21" i="1"/>
  <c r="I20" i="1"/>
  <c r="AG20" i="4"/>
  <c r="AG22" i="4" s="1"/>
  <c r="AI111" i="3"/>
  <c r="AI113" i="3"/>
  <c r="AI114" i="3" s="1"/>
  <c r="AG186" i="1"/>
  <c r="J129" i="1"/>
  <c r="T79" i="1"/>
  <c r="T80" i="1" s="1"/>
  <c r="T76" i="1"/>
  <c r="AL71" i="4"/>
  <c r="AM179" i="1"/>
  <c r="AK75" i="4"/>
  <c r="AK120" i="4"/>
  <c r="AL183" i="1"/>
  <c r="V20" i="1"/>
  <c r="J6" i="1"/>
  <c r="J22" i="1"/>
  <c r="J21" i="1"/>
  <c r="AJ66" i="1"/>
  <c r="AJ9" i="1"/>
  <c r="J51" i="1"/>
  <c r="M47" i="1"/>
  <c r="M50" i="1"/>
  <c r="S125" i="1"/>
  <c r="S120" i="1"/>
  <c r="M21" i="1"/>
  <c r="I8" i="1"/>
  <c r="AH47" i="1" l="1"/>
  <c r="M123" i="1"/>
  <c r="AN55" i="1"/>
  <c r="AN57" i="1" s="1"/>
  <c r="AN61" i="1" s="1"/>
  <c r="AN63" i="1" s="1"/>
  <c r="AM113" i="4"/>
  <c r="D50" i="1"/>
  <c r="D51" i="1" s="1"/>
  <c r="P47" i="1"/>
  <c r="AJ208" i="1"/>
  <c r="AC20" i="4"/>
  <c r="AC22" i="4" s="1"/>
  <c r="P120" i="1"/>
  <c r="P130" i="1" s="1"/>
  <c r="P132" i="1" s="1"/>
  <c r="E125" i="1"/>
  <c r="V130" i="1"/>
  <c r="V132" i="1" s="1"/>
  <c r="P125" i="1"/>
  <c r="E120" i="1"/>
  <c r="M125" i="1"/>
  <c r="V123" i="1"/>
  <c r="AN62" i="1"/>
  <c r="N79" i="1"/>
  <c r="N80" i="1" s="1"/>
  <c r="V125" i="1"/>
  <c r="AI208" i="1"/>
  <c r="V76" i="1"/>
  <c r="O76" i="1"/>
  <c r="AN146" i="1"/>
  <c r="AN45" i="4" s="1"/>
  <c r="R123" i="1"/>
  <c r="AC208" i="1"/>
  <c r="AL33" i="1"/>
  <c r="R125" i="1"/>
  <c r="AK34" i="1"/>
  <c r="AI79" i="1"/>
  <c r="AI80" i="1" s="1"/>
  <c r="AL48" i="1"/>
  <c r="O123" i="1"/>
  <c r="AL38" i="1"/>
  <c r="O125" i="1"/>
  <c r="AL36" i="1"/>
  <c r="AM28" i="1"/>
  <c r="AM32" i="1" s="1"/>
  <c r="AM33" i="1" s="1"/>
  <c r="AL40" i="1"/>
  <c r="AL46" i="1" s="1"/>
  <c r="W50" i="1"/>
  <c r="W51" i="1" s="1"/>
  <c r="K130" i="1"/>
  <c r="K132" i="1" s="1"/>
  <c r="AF99" i="4"/>
  <c r="AF104" i="4" s="1"/>
  <c r="AF106" i="4" s="1"/>
  <c r="AF108" i="4" s="1"/>
  <c r="AF125" i="4" s="1"/>
  <c r="AF128" i="4" s="1"/>
  <c r="AF129" i="4" s="1"/>
  <c r="AC95" i="4"/>
  <c r="AJ20" i="4"/>
  <c r="AJ22" i="4" s="1"/>
  <c r="AJ99" i="4" s="1"/>
  <c r="AJ104" i="4" s="1"/>
  <c r="AJ106" i="4" s="1"/>
  <c r="AJ108" i="4" s="1"/>
  <c r="AJ125" i="4" s="1"/>
  <c r="AJ128" i="4" s="1"/>
  <c r="AJ129" i="4" s="1"/>
  <c r="AH208" i="1"/>
  <c r="K50" i="1"/>
  <c r="K51" i="1" s="1"/>
  <c r="N50" i="1"/>
  <c r="N51" i="1" s="1"/>
  <c r="L130" i="1"/>
  <c r="L132" i="1" s="1"/>
  <c r="S130" i="1"/>
  <c r="S132" i="1" s="1"/>
  <c r="AN192" i="1"/>
  <c r="AN83" i="4" s="1"/>
  <c r="AC130" i="1"/>
  <c r="AC132" i="1" s="1"/>
  <c r="AI31" i="4"/>
  <c r="AD99" i="4"/>
  <c r="AD104" i="4" s="1"/>
  <c r="AD106" i="4" s="1"/>
  <c r="AD108" i="4" s="1"/>
  <c r="AD125" i="4" s="1"/>
  <c r="AD128" i="4" s="1"/>
  <c r="AD129" i="4" s="1"/>
  <c r="AD31" i="4"/>
  <c r="AM71" i="4"/>
  <c r="AN179" i="1"/>
  <c r="AN71" i="4" s="1"/>
  <c r="AI102" i="1"/>
  <c r="AI107" i="1"/>
  <c r="AI105" i="1"/>
  <c r="AI118" i="1"/>
  <c r="AI10" i="1"/>
  <c r="N94" i="1"/>
  <c r="N95" i="1" s="1"/>
  <c r="N11" i="1"/>
  <c r="N12" i="1" s="1"/>
  <c r="N91" i="1"/>
  <c r="AM68" i="4"/>
  <c r="AN175" i="1"/>
  <c r="T120" i="1"/>
  <c r="T130" i="1" s="1"/>
  <c r="T132" i="1" s="1"/>
  <c r="T123" i="1"/>
  <c r="T125" i="1"/>
  <c r="AD51" i="1"/>
  <c r="AD99" i="1"/>
  <c r="AH51" i="1"/>
  <c r="I51" i="1"/>
  <c r="I99" i="1"/>
  <c r="H80" i="1"/>
  <c r="H99" i="1"/>
  <c r="AJ50" i="1"/>
  <c r="AJ47" i="1"/>
  <c r="T99" i="1"/>
  <c r="T51" i="1"/>
  <c r="O91" i="1"/>
  <c r="O11" i="1"/>
  <c r="O12" i="1" s="1"/>
  <c r="O94" i="1"/>
  <c r="O95" i="1" s="1"/>
  <c r="G120" i="1"/>
  <c r="G130" i="1" s="1"/>
  <c r="G132" i="1" s="1"/>
  <c r="G125" i="1"/>
  <c r="G123" i="1"/>
  <c r="AM76" i="4"/>
  <c r="AM121" i="4"/>
  <c r="AN184" i="1"/>
  <c r="Q51" i="1"/>
  <c r="AH85" i="1"/>
  <c r="AI85" i="1"/>
  <c r="AH5" i="1"/>
  <c r="AH22" i="1" s="1"/>
  <c r="AN44" i="4"/>
  <c r="AG51" i="1"/>
  <c r="AM39" i="4"/>
  <c r="AN140" i="1"/>
  <c r="AN39" i="4" s="1"/>
  <c r="AN71" i="1"/>
  <c r="AN69" i="1"/>
  <c r="AN67" i="1"/>
  <c r="AN77" i="1"/>
  <c r="AN65" i="1"/>
  <c r="AK38" i="4"/>
  <c r="Q94" i="1"/>
  <c r="Q95" i="1" s="1"/>
  <c r="Q91" i="1"/>
  <c r="Q11" i="1"/>
  <c r="Q12" i="1" s="1"/>
  <c r="AM238" i="1"/>
  <c r="AL242" i="1"/>
  <c r="AL142" i="1" s="1"/>
  <c r="AL41" i="4" s="1"/>
  <c r="L51" i="1"/>
  <c r="L99" i="1"/>
  <c r="J120" i="1"/>
  <c r="J130" i="1" s="1"/>
  <c r="J132" i="1" s="1"/>
  <c r="J125" i="1"/>
  <c r="J123" i="1"/>
  <c r="E94" i="1"/>
  <c r="E95" i="1" s="1"/>
  <c r="E91" i="1"/>
  <c r="E11" i="1"/>
  <c r="E12" i="1" s="1"/>
  <c r="AM48" i="4"/>
  <c r="AN151" i="1"/>
  <c r="AN48" i="4" s="1"/>
  <c r="AC99" i="1"/>
  <c r="AM77" i="1"/>
  <c r="AM67" i="1"/>
  <c r="AM71" i="1"/>
  <c r="AM69" i="1"/>
  <c r="AM65" i="1"/>
  <c r="R51" i="1"/>
  <c r="AM89" i="4"/>
  <c r="AN201" i="1"/>
  <c r="AN89" i="4" s="1"/>
  <c r="AM58" i="4"/>
  <c r="AN164" i="1"/>
  <c r="AN58" i="4" s="1"/>
  <c r="AM228" i="1"/>
  <c r="AL230" i="1"/>
  <c r="AL139" i="1" s="1"/>
  <c r="AK77" i="1"/>
  <c r="AK67" i="1"/>
  <c r="AK71" i="1"/>
  <c r="AK69" i="1"/>
  <c r="AK65" i="1"/>
  <c r="AI94" i="1"/>
  <c r="AI95" i="1" s="1"/>
  <c r="AI11" i="1"/>
  <c r="AI12" i="1" s="1"/>
  <c r="AI91" i="1"/>
  <c r="AF51" i="1"/>
  <c r="F51" i="1"/>
  <c r="E51" i="1"/>
  <c r="AF135" i="3"/>
  <c r="AF90" i="1"/>
  <c r="AF85" i="1"/>
  <c r="AF5" i="1"/>
  <c r="AF22" i="1" s="1"/>
  <c r="AF87" i="1"/>
  <c r="U51" i="1"/>
  <c r="U99" i="1"/>
  <c r="AJ94" i="1"/>
  <c r="AJ95" i="1" s="1"/>
  <c r="AJ91" i="1"/>
  <c r="AJ11" i="1"/>
  <c r="AJ12" i="1" s="1"/>
  <c r="AE99" i="4"/>
  <c r="AE104" i="4" s="1"/>
  <c r="AE106" i="4" s="1"/>
  <c r="AE108" i="4" s="1"/>
  <c r="AE125" i="4" s="1"/>
  <c r="AE128" i="4" s="1"/>
  <c r="AE129" i="4" s="1"/>
  <c r="AE31" i="4"/>
  <c r="R79" i="1"/>
  <c r="R80" i="1" s="1"/>
  <c r="R76" i="1"/>
  <c r="AG85" i="1"/>
  <c r="AG5" i="1"/>
  <c r="AG22" i="1" s="1"/>
  <c r="AL77" i="1"/>
  <c r="AL67" i="1"/>
  <c r="AL71" i="1"/>
  <c r="AL69" i="1"/>
  <c r="AL65" i="1"/>
  <c r="F79" i="1"/>
  <c r="F80" i="1" s="1"/>
  <c r="F76" i="1"/>
  <c r="AM213" i="1"/>
  <c r="AL212" i="1"/>
  <c r="AE51" i="1"/>
  <c r="AE99" i="1"/>
  <c r="D94" i="1"/>
  <c r="D95" i="1" s="1"/>
  <c r="D91" i="1"/>
  <c r="D11" i="1"/>
  <c r="D12" i="1" s="1"/>
  <c r="S99" i="1"/>
  <c r="S51" i="1"/>
  <c r="F120" i="1"/>
  <c r="F130" i="1" s="1"/>
  <c r="F132" i="1" s="1"/>
  <c r="F123" i="1"/>
  <c r="F125" i="1"/>
  <c r="AL120" i="4"/>
  <c r="AM183" i="1"/>
  <c r="AL75" i="4"/>
  <c r="U120" i="1"/>
  <c r="U130" i="1" s="1"/>
  <c r="U132" i="1" s="1"/>
  <c r="U125" i="1"/>
  <c r="U123" i="1"/>
  <c r="J99" i="1"/>
  <c r="AJ118" i="1"/>
  <c r="AJ105" i="1"/>
  <c r="AJ10" i="1"/>
  <c r="AJ102" i="1"/>
  <c r="AJ107" i="1"/>
  <c r="AM43" i="4"/>
  <c r="AN144" i="1"/>
  <c r="AN43" i="4" s="1"/>
  <c r="AG135" i="3"/>
  <c r="AG90" i="1"/>
  <c r="AC31" i="4"/>
  <c r="AC99" i="4"/>
  <c r="AC104" i="4" s="1"/>
  <c r="AC106" i="4" s="1"/>
  <c r="AC108" i="4" s="1"/>
  <c r="AC125" i="4" s="1"/>
  <c r="AC128" i="4" s="1"/>
  <c r="AC129" i="4" s="1"/>
  <c r="E130" i="1"/>
  <c r="E132" i="1" s="1"/>
  <c r="G99" i="1"/>
  <c r="G51" i="1"/>
  <c r="AH118" i="1"/>
  <c r="AH107" i="1"/>
  <c r="AH105" i="1"/>
  <c r="AH10" i="1"/>
  <c r="AH102" i="1"/>
  <c r="O51" i="1"/>
  <c r="AL119" i="4"/>
  <c r="AJ85" i="1"/>
  <c r="AK84" i="1"/>
  <c r="AJ5" i="1"/>
  <c r="AJ22" i="1" s="1"/>
  <c r="AN34" i="1"/>
  <c r="M51" i="1"/>
  <c r="M99" i="1"/>
  <c r="AM40" i="4"/>
  <c r="AN141" i="1"/>
  <c r="AN40" i="4" s="1"/>
  <c r="P11" i="1"/>
  <c r="P12" i="1" s="1"/>
  <c r="P91" i="1"/>
  <c r="P94" i="1"/>
  <c r="P95" i="1" s="1"/>
  <c r="AL220" i="1"/>
  <c r="AM221" i="1"/>
  <c r="AG31" i="4"/>
  <c r="AG99" i="4"/>
  <c r="AG104" i="4" s="1"/>
  <c r="AG106" i="4" s="1"/>
  <c r="AG108" i="4" s="1"/>
  <c r="AG125" i="4" s="1"/>
  <c r="AG128" i="4" s="1"/>
  <c r="AG129" i="4" s="1"/>
  <c r="AH31" i="4"/>
  <c r="AH99" i="4"/>
  <c r="AH104" i="4" s="1"/>
  <c r="AH106" i="4" s="1"/>
  <c r="AH108" i="4" s="1"/>
  <c r="AH125" i="4" s="1"/>
  <c r="AH128" i="4" s="1"/>
  <c r="AH129" i="4" s="1"/>
  <c r="I120" i="1"/>
  <c r="I130" i="1" s="1"/>
  <c r="I132" i="1" s="1"/>
  <c r="I125" i="1"/>
  <c r="I123" i="1"/>
  <c r="AH135" i="3"/>
  <c r="AH90" i="1"/>
  <c r="AI51" i="1"/>
  <c r="AF118" i="1"/>
  <c r="AF102" i="1"/>
  <c r="AF10" i="1"/>
  <c r="AG10" i="1"/>
  <c r="AF105" i="1"/>
  <c r="AF107" i="1"/>
  <c r="AN82" i="4"/>
  <c r="AM55" i="4"/>
  <c r="AN160" i="1"/>
  <c r="AN55" i="4" s="1"/>
  <c r="V99" i="1"/>
  <c r="V51" i="1"/>
  <c r="AM49" i="4"/>
  <c r="AN152" i="1"/>
  <c r="AN49" i="4" s="1"/>
  <c r="AN33" i="1" l="1"/>
  <c r="AJ31" i="4"/>
  <c r="O99" i="1"/>
  <c r="O100" i="1" s="1"/>
  <c r="K99" i="1"/>
  <c r="K100" i="1" s="1"/>
  <c r="AK36" i="1"/>
  <c r="AK40" i="1"/>
  <c r="AK38" i="1"/>
  <c r="AK48" i="1"/>
  <c r="AK42" i="1"/>
  <c r="AM34" i="1"/>
  <c r="AM42" i="1" s="1"/>
  <c r="W99" i="1"/>
  <c r="W13" i="1" s="1"/>
  <c r="W14" i="1" s="1"/>
  <c r="Q99" i="1"/>
  <c r="Q100" i="1" s="1"/>
  <c r="AH8" i="1"/>
  <c r="N99" i="1"/>
  <c r="N103" i="1" s="1"/>
  <c r="N108" i="1" s="1"/>
  <c r="AM75" i="1"/>
  <c r="AM76" i="1" s="1"/>
  <c r="E99" i="1"/>
  <c r="E100" i="1" s="1"/>
  <c r="AL75" i="1"/>
  <c r="AL79" i="1" s="1"/>
  <c r="AL80" i="1" s="1"/>
  <c r="AE100" i="1"/>
  <c r="AE103" i="1"/>
  <c r="AE108" i="1" s="1"/>
  <c r="AE13" i="1"/>
  <c r="AE14" i="1" s="1"/>
  <c r="AI99" i="1"/>
  <c r="AL50" i="1"/>
  <c r="AL47" i="1"/>
  <c r="AD103" i="1"/>
  <c r="AD108" i="1" s="1"/>
  <c r="AD100" i="1"/>
  <c r="AD13" i="1"/>
  <c r="AD14" i="1" s="1"/>
  <c r="AN213" i="1"/>
  <c r="AN212" i="1" s="1"/>
  <c r="AM212" i="1"/>
  <c r="AG8" i="1"/>
  <c r="AK75" i="1"/>
  <c r="R99" i="1"/>
  <c r="AN113" i="4"/>
  <c r="AF120" i="1"/>
  <c r="AF130" i="1" s="1"/>
  <c r="AF132" i="1" s="1"/>
  <c r="AF148" i="1"/>
  <c r="AF200" i="1"/>
  <c r="AF162" i="1"/>
  <c r="AF168" i="1"/>
  <c r="AF154" i="1"/>
  <c r="AF125" i="1"/>
  <c r="AF123" i="1"/>
  <c r="AF186" i="1"/>
  <c r="AF150" i="1"/>
  <c r="AF197" i="1"/>
  <c r="AF166" i="1"/>
  <c r="AF203" i="1"/>
  <c r="AF170" i="1"/>
  <c r="AF6" i="1"/>
  <c r="AF20" i="1"/>
  <c r="AF21" i="1"/>
  <c r="AF8" i="1"/>
  <c r="AM242" i="1"/>
  <c r="AM142" i="1" s="1"/>
  <c r="AM41" i="4" s="1"/>
  <c r="AN238" i="1"/>
  <c r="AN242" i="1" s="1"/>
  <c r="AN142" i="1" s="1"/>
  <c r="AN41" i="4" s="1"/>
  <c r="M103" i="1"/>
  <c r="M108" i="1" s="1"/>
  <c r="M100" i="1"/>
  <c r="M13" i="1"/>
  <c r="M14" i="1" s="1"/>
  <c r="AH94" i="1"/>
  <c r="AH91" i="1"/>
  <c r="AH11" i="1"/>
  <c r="AH12" i="1" s="1"/>
  <c r="AN121" i="4"/>
  <c r="AN76" i="4"/>
  <c r="T100" i="1"/>
  <c r="T13" i="1"/>
  <c r="T14" i="1" s="1"/>
  <c r="T103" i="1"/>
  <c r="T108" i="1" s="1"/>
  <c r="AJ200" i="1"/>
  <c r="AJ197" i="1"/>
  <c r="AJ125" i="1"/>
  <c r="AJ123" i="1"/>
  <c r="AJ168" i="1"/>
  <c r="AJ162" i="1"/>
  <c r="AJ150" i="1"/>
  <c r="AJ154" i="1"/>
  <c r="AJ120" i="1"/>
  <c r="AJ130" i="1" s="1"/>
  <c r="AJ132" i="1" s="1"/>
  <c r="AJ166" i="1"/>
  <c r="AJ186" i="1"/>
  <c r="AJ203" i="1"/>
  <c r="AJ170" i="1"/>
  <c r="AJ148" i="1"/>
  <c r="E13" i="1"/>
  <c r="E14" i="1" s="1"/>
  <c r="AJ99" i="1"/>
  <c r="AJ51" i="1"/>
  <c r="AI200" i="1"/>
  <c r="AI197" i="1"/>
  <c r="AI125" i="1"/>
  <c r="AI150" i="1"/>
  <c r="AI154" i="1"/>
  <c r="AI203" i="1"/>
  <c r="AI166" i="1"/>
  <c r="AI120" i="1"/>
  <c r="AI130" i="1" s="1"/>
  <c r="AI132" i="1" s="1"/>
  <c r="AI170" i="1"/>
  <c r="AI168" i="1"/>
  <c r="AI186" i="1"/>
  <c r="AI148" i="1"/>
  <c r="AI123" i="1"/>
  <c r="AI162" i="1"/>
  <c r="AN221" i="1"/>
  <c r="AN220" i="1" s="1"/>
  <c r="AM220" i="1"/>
  <c r="G103" i="1"/>
  <c r="G108" i="1" s="1"/>
  <c r="G100" i="1"/>
  <c r="G13" i="1"/>
  <c r="G14" i="1" s="1"/>
  <c r="J100" i="1"/>
  <c r="J103" i="1"/>
  <c r="J108" i="1" s="1"/>
  <c r="J13" i="1"/>
  <c r="J14" i="1" s="1"/>
  <c r="S103" i="1"/>
  <c r="S108" i="1" s="1"/>
  <c r="S100" i="1"/>
  <c r="S13" i="1"/>
  <c r="S14" i="1" s="1"/>
  <c r="D99" i="1"/>
  <c r="AN68" i="4"/>
  <c r="AG6" i="1"/>
  <c r="AG21" i="1"/>
  <c r="AG20" i="1"/>
  <c r="AC100" i="1"/>
  <c r="AC13" i="1"/>
  <c r="AC14" i="1" s="1"/>
  <c r="AC103" i="1"/>
  <c r="AC108" i="1" s="1"/>
  <c r="AF91" i="1"/>
  <c r="AF94" i="1"/>
  <c r="AF11" i="1"/>
  <c r="AF12" i="1" s="1"/>
  <c r="K103" i="1"/>
  <c r="K108" i="1" s="1"/>
  <c r="K13" i="1"/>
  <c r="K14" i="1" s="1"/>
  <c r="AN42" i="1"/>
  <c r="AN40" i="1"/>
  <c r="AN36" i="1"/>
  <c r="AN38" i="1"/>
  <c r="AN48" i="1"/>
  <c r="P99" i="1"/>
  <c r="AG91" i="1"/>
  <c r="AG94" i="1"/>
  <c r="AG11" i="1"/>
  <c r="AG12" i="1" s="1"/>
  <c r="F99" i="1"/>
  <c r="H103" i="1"/>
  <c r="H108" i="1" s="1"/>
  <c r="H100" i="1"/>
  <c r="H13" i="1"/>
  <c r="H14" i="1" s="1"/>
  <c r="AH197" i="1"/>
  <c r="AH123" i="1"/>
  <c r="AH125" i="1"/>
  <c r="AH203" i="1"/>
  <c r="AH166" i="1"/>
  <c r="AH154" i="1"/>
  <c r="AH120" i="1"/>
  <c r="AH130" i="1" s="1"/>
  <c r="AH132" i="1" s="1"/>
  <c r="AH148" i="1"/>
  <c r="AH186" i="1"/>
  <c r="AH170" i="1"/>
  <c r="AH162" i="1"/>
  <c r="AH200" i="1"/>
  <c r="AH150" i="1"/>
  <c r="AH168" i="1"/>
  <c r="AM120" i="4"/>
  <c r="AM75" i="4"/>
  <c r="AN183" i="1"/>
  <c r="V100" i="1"/>
  <c r="V103" i="1"/>
  <c r="V108" i="1" s="1"/>
  <c r="V13" i="1"/>
  <c r="V14" i="1" s="1"/>
  <c r="AJ6" i="1"/>
  <c r="AJ21" i="1"/>
  <c r="AJ20" i="1"/>
  <c r="AJ8" i="1"/>
  <c r="AL76" i="1"/>
  <c r="U100" i="1"/>
  <c r="U103" i="1"/>
  <c r="U108" i="1" s="1"/>
  <c r="U13" i="1"/>
  <c r="U14" i="1" s="1"/>
  <c r="AL38" i="4"/>
  <c r="AI6" i="1"/>
  <c r="AH21" i="1"/>
  <c r="AH6" i="1"/>
  <c r="AH20" i="1"/>
  <c r="AM119" i="4"/>
  <c r="AL84" i="1"/>
  <c r="AK86" i="1"/>
  <c r="AK5" i="1"/>
  <c r="AN228" i="1"/>
  <c r="AN230" i="1" s="1"/>
  <c r="AN139" i="1" s="1"/>
  <c r="AM230" i="1"/>
  <c r="AM139" i="1" s="1"/>
  <c r="L100" i="1"/>
  <c r="L103" i="1"/>
  <c r="L108" i="1" s="1"/>
  <c r="L13" i="1"/>
  <c r="L14" i="1" s="1"/>
  <c r="AN75" i="1"/>
  <c r="I100" i="1"/>
  <c r="I103" i="1"/>
  <c r="I108" i="1" s="1"/>
  <c r="I13" i="1"/>
  <c r="I14" i="1" s="1"/>
  <c r="O103" i="1" l="1"/>
  <c r="O108" i="1" s="1"/>
  <c r="O111" i="1" s="1"/>
  <c r="O13" i="1"/>
  <c r="O14" i="1" s="1"/>
  <c r="N13" i="1"/>
  <c r="N14" i="1" s="1"/>
  <c r="AM36" i="1"/>
  <c r="AM40" i="1"/>
  <c r="AK46" i="1"/>
  <c r="N100" i="1"/>
  <c r="AM38" i="1"/>
  <c r="Q103" i="1"/>
  <c r="Q108" i="1" s="1"/>
  <c r="Q110" i="1" s="1"/>
  <c r="AM48" i="1"/>
  <c r="W100" i="1"/>
  <c r="Q13" i="1"/>
  <c r="Q14" i="1" s="1"/>
  <c r="AM79" i="1"/>
  <c r="AM80" i="1" s="1"/>
  <c r="W103" i="1"/>
  <c r="W108" i="1" s="1"/>
  <c r="W110" i="1" s="1"/>
  <c r="E103" i="1"/>
  <c r="E108" i="1" s="1"/>
  <c r="E110" i="1" s="1"/>
  <c r="S111" i="1"/>
  <c r="S110" i="1"/>
  <c r="AH95" i="1"/>
  <c r="AH99" i="1"/>
  <c r="AI103" i="1"/>
  <c r="AI108" i="1" s="1"/>
  <c r="AI100" i="1"/>
  <c r="AI13" i="1"/>
  <c r="AI14" i="1" s="1"/>
  <c r="AN38" i="4"/>
  <c r="AM46" i="1"/>
  <c r="AK6" i="1"/>
  <c r="AK20" i="1"/>
  <c r="AK21" i="1"/>
  <c r="D103" i="1"/>
  <c r="D108" i="1" s="1"/>
  <c r="D100" i="1"/>
  <c r="D13" i="1"/>
  <c r="D14" i="1" s="1"/>
  <c r="AD111" i="1"/>
  <c r="AD110" i="1"/>
  <c r="G111" i="1"/>
  <c r="G110" i="1"/>
  <c r="H111" i="1"/>
  <c r="H110" i="1"/>
  <c r="J111" i="1"/>
  <c r="J110" i="1"/>
  <c r="AK22" i="1"/>
  <c r="AL86" i="1"/>
  <c r="AM84" i="1"/>
  <c r="AL5" i="1"/>
  <c r="I111" i="1"/>
  <c r="I110" i="1"/>
  <c r="N111" i="1"/>
  <c r="N110" i="1"/>
  <c r="AN76" i="1"/>
  <c r="AN79" i="1"/>
  <c r="AN80" i="1" s="1"/>
  <c r="F103" i="1"/>
  <c r="F108" i="1" s="1"/>
  <c r="F100" i="1"/>
  <c r="F13" i="1"/>
  <c r="F14" i="1" s="1"/>
  <c r="K111" i="1"/>
  <c r="K110" i="1"/>
  <c r="R103" i="1"/>
  <c r="R108" i="1" s="1"/>
  <c r="R100" i="1"/>
  <c r="R13" i="1"/>
  <c r="R14" i="1" s="1"/>
  <c r="AE111" i="1"/>
  <c r="AE110" i="1"/>
  <c r="U111" i="1"/>
  <c r="U110" i="1"/>
  <c r="V111" i="1"/>
  <c r="V110" i="1"/>
  <c r="M111" i="1"/>
  <c r="M110" i="1"/>
  <c r="AK79" i="1"/>
  <c r="AK80" i="1" s="1"/>
  <c r="AK76" i="1"/>
  <c r="AL51" i="1"/>
  <c r="AM38" i="4"/>
  <c r="P103" i="1"/>
  <c r="P108" i="1" s="1"/>
  <c r="P13" i="1"/>
  <c r="P14" i="1" s="1"/>
  <c r="P100" i="1"/>
  <c r="AN119" i="4"/>
  <c r="AN46" i="1"/>
  <c r="AK88" i="1"/>
  <c r="AK9" i="1" s="1"/>
  <c r="AK90" i="1"/>
  <c r="AK92" i="1"/>
  <c r="AK7" i="1"/>
  <c r="AJ103" i="1"/>
  <c r="AJ108" i="1" s="1"/>
  <c r="AJ13" i="1"/>
  <c r="AJ14" i="1" s="1"/>
  <c r="AJ100" i="1"/>
  <c r="AC111" i="1"/>
  <c r="AC110" i="1"/>
  <c r="L111" i="1"/>
  <c r="L110" i="1"/>
  <c r="AG95" i="1"/>
  <c r="AG99" i="1"/>
  <c r="AN120" i="4"/>
  <c r="AN75" i="4"/>
  <c r="AF95" i="1"/>
  <c r="AF99" i="1"/>
  <c r="T111" i="1"/>
  <c r="T110" i="1"/>
  <c r="O110" i="1" l="1"/>
  <c r="Q111" i="1"/>
  <c r="Q15" i="1" s="1"/>
  <c r="Q16" i="1" s="1"/>
  <c r="AK47" i="1"/>
  <c r="AK50" i="1"/>
  <c r="AK51" i="1" s="1"/>
  <c r="W111" i="1"/>
  <c r="E111" i="1"/>
  <c r="E112" i="1" s="1"/>
  <c r="U114" i="1"/>
  <c r="U112" i="1"/>
  <c r="U15" i="1"/>
  <c r="U16" i="1" s="1"/>
  <c r="AI111" i="1"/>
  <c r="AI110" i="1"/>
  <c r="D111" i="1"/>
  <c r="D110" i="1"/>
  <c r="AH103" i="1"/>
  <c r="AH108" i="1" s="1"/>
  <c r="AH13" i="1"/>
  <c r="AH14" i="1" s="1"/>
  <c r="AH100" i="1"/>
  <c r="I114" i="1"/>
  <c r="I112" i="1"/>
  <c r="I15" i="1"/>
  <c r="I16" i="1" s="1"/>
  <c r="W114" i="1"/>
  <c r="W112" i="1"/>
  <c r="W15" i="1"/>
  <c r="W16" i="1" s="1"/>
  <c r="AM86" i="1"/>
  <c r="AN84" i="1"/>
  <c r="AM5" i="1"/>
  <c r="L114" i="1"/>
  <c r="L112" i="1"/>
  <c r="L15" i="1"/>
  <c r="L16" i="1" s="1"/>
  <c r="AL92" i="1"/>
  <c r="AL88" i="1"/>
  <c r="AL9" i="1" s="1"/>
  <c r="AL90" i="1"/>
  <c r="AL7" i="1"/>
  <c r="AN47" i="1"/>
  <c r="AN50" i="1"/>
  <c r="AE114" i="1"/>
  <c r="AE15" i="1"/>
  <c r="AE16" i="1" s="1"/>
  <c r="AE112" i="1"/>
  <c r="AL6" i="1"/>
  <c r="AL20" i="1"/>
  <c r="AL21" i="1"/>
  <c r="AD112" i="1"/>
  <c r="AD114" i="1"/>
  <c r="AD15" i="1"/>
  <c r="AD16" i="1" s="1"/>
  <c r="AL22" i="1"/>
  <c r="AC112" i="1"/>
  <c r="AC15" i="1"/>
  <c r="AC16" i="1" s="1"/>
  <c r="AC114" i="1"/>
  <c r="AF103" i="1"/>
  <c r="AF108" i="1" s="1"/>
  <c r="AF100" i="1"/>
  <c r="AF13" i="1"/>
  <c r="AF14" i="1" s="1"/>
  <c r="AK106" i="1"/>
  <c r="AK119" i="1" s="1"/>
  <c r="AK7" i="4" s="1"/>
  <c r="AK104" i="1"/>
  <c r="AK126" i="1" s="1"/>
  <c r="AK15" i="4" s="1"/>
  <c r="AK10" i="1"/>
  <c r="AK101" i="1"/>
  <c r="AK127" i="1" s="1"/>
  <c r="AK16" i="4" s="1"/>
  <c r="AK118" i="1"/>
  <c r="F111" i="1"/>
  <c r="F110" i="1"/>
  <c r="T114" i="1"/>
  <c r="T112" i="1"/>
  <c r="T15" i="1"/>
  <c r="T16" i="1" s="1"/>
  <c r="AJ111" i="1"/>
  <c r="AJ110" i="1"/>
  <c r="J114" i="1"/>
  <c r="J112" i="1"/>
  <c r="J15" i="1"/>
  <c r="J16" i="1" s="1"/>
  <c r="E114" i="1"/>
  <c r="E15" i="1"/>
  <c r="E16" i="1" s="1"/>
  <c r="V112" i="1"/>
  <c r="V15" i="1"/>
  <c r="V16" i="1" s="1"/>
  <c r="V114" i="1"/>
  <c r="K114" i="1"/>
  <c r="K112" i="1"/>
  <c r="K15" i="1"/>
  <c r="K16" i="1" s="1"/>
  <c r="P111" i="1"/>
  <c r="P110" i="1"/>
  <c r="AG103" i="1"/>
  <c r="AG108" i="1" s="1"/>
  <c r="AG100" i="1"/>
  <c r="AG13" i="1"/>
  <c r="AG14" i="1" s="1"/>
  <c r="G114" i="1"/>
  <c r="G112" i="1"/>
  <c r="G15" i="1"/>
  <c r="G16" i="1" s="1"/>
  <c r="AK94" i="1"/>
  <c r="AK11" i="1"/>
  <c r="M112" i="1"/>
  <c r="M114" i="1"/>
  <c r="M15" i="1"/>
  <c r="M16" i="1" s="1"/>
  <c r="R111" i="1"/>
  <c r="R110" i="1"/>
  <c r="O112" i="1"/>
  <c r="O114" i="1"/>
  <c r="O15" i="1"/>
  <c r="O16" i="1" s="1"/>
  <c r="N114" i="1"/>
  <c r="N15" i="1"/>
  <c r="N16" i="1" s="1"/>
  <c r="N112" i="1"/>
  <c r="H114" i="1"/>
  <c r="H112" i="1"/>
  <c r="H15" i="1"/>
  <c r="H16" i="1" s="1"/>
  <c r="AM50" i="1"/>
  <c r="AM47" i="1"/>
  <c r="S114" i="1"/>
  <c r="S112" i="1"/>
  <c r="S15" i="1"/>
  <c r="S16" i="1" s="1"/>
  <c r="Q114" i="1" l="1"/>
  <c r="Q112" i="1"/>
  <c r="AL101" i="1"/>
  <c r="AL127" i="1" s="1"/>
  <c r="AL16" i="4" s="1"/>
  <c r="AL106" i="1"/>
  <c r="AL119" i="1" s="1"/>
  <c r="AL7" i="4" s="1"/>
  <c r="AL104" i="1"/>
  <c r="AL126" i="1" s="1"/>
  <c r="AL15" i="4" s="1"/>
  <c r="AL10" i="1"/>
  <c r="AL118" i="1"/>
  <c r="AN86" i="1"/>
  <c r="AN5" i="1"/>
  <c r="AN22" i="1" s="1"/>
  <c r="D112" i="1"/>
  <c r="D114" i="1"/>
  <c r="D15" i="1"/>
  <c r="D16" i="1" s="1"/>
  <c r="AK115" i="4"/>
  <c r="AK102" i="4"/>
  <c r="F112" i="1"/>
  <c r="F114" i="1"/>
  <c r="F15" i="1"/>
  <c r="F16" i="1" s="1"/>
  <c r="AM51" i="1"/>
  <c r="R112" i="1"/>
  <c r="R114" i="1"/>
  <c r="R15" i="1"/>
  <c r="R16" i="1" s="1"/>
  <c r="AK6" i="4"/>
  <c r="AK8" i="4" s="1"/>
  <c r="AK199" i="1"/>
  <c r="AK88" i="4" s="1"/>
  <c r="AK196" i="1"/>
  <c r="AK86" i="4" s="1"/>
  <c r="AK169" i="1"/>
  <c r="AK61" i="4" s="1"/>
  <c r="AK161" i="1"/>
  <c r="AK56" i="4" s="1"/>
  <c r="AK149" i="1"/>
  <c r="AK47" i="4" s="1"/>
  <c r="AK153" i="1"/>
  <c r="AK50" i="4" s="1"/>
  <c r="AK165" i="1"/>
  <c r="AK59" i="4" s="1"/>
  <c r="AK202" i="1"/>
  <c r="AK90" i="4" s="1"/>
  <c r="AK124" i="1"/>
  <c r="AK14" i="4" s="1"/>
  <c r="AK147" i="1"/>
  <c r="AK120" i="1"/>
  <c r="AK122" i="1"/>
  <c r="AK167" i="1"/>
  <c r="AK60" i="4" s="1"/>
  <c r="AK185" i="1"/>
  <c r="AN51" i="1"/>
  <c r="AM92" i="1"/>
  <c r="AM90" i="1"/>
  <c r="AM88" i="1"/>
  <c r="AM9" i="1" s="1"/>
  <c r="AM7" i="1"/>
  <c r="AK101" i="4"/>
  <c r="AK122" i="4"/>
  <c r="AK123" i="4" s="1"/>
  <c r="AH111" i="1"/>
  <c r="AH110" i="1"/>
  <c r="AG111" i="1"/>
  <c r="AG110" i="1"/>
  <c r="P114" i="1"/>
  <c r="P15" i="1"/>
  <c r="P16" i="1" s="1"/>
  <c r="P112" i="1"/>
  <c r="AK100" i="4"/>
  <c r="AK111" i="4"/>
  <c r="AI112" i="1"/>
  <c r="AI114" i="1"/>
  <c r="AI15" i="1"/>
  <c r="AI16" i="1" s="1"/>
  <c r="AL94" i="1"/>
  <c r="AL11" i="1"/>
  <c r="AK95" i="1"/>
  <c r="AK99" i="1"/>
  <c r="AJ114" i="1"/>
  <c r="AJ112" i="1"/>
  <c r="AJ15" i="1"/>
  <c r="AJ16" i="1" s="1"/>
  <c r="AF111" i="1"/>
  <c r="AF110" i="1"/>
  <c r="AM6" i="1"/>
  <c r="AM21" i="1"/>
  <c r="AM20" i="1"/>
  <c r="AM22" i="1"/>
  <c r="AH114" i="1" l="1"/>
  <c r="AH112" i="1"/>
  <c r="AH15" i="1"/>
  <c r="AH16" i="1" s="1"/>
  <c r="AK46" i="4"/>
  <c r="AK51" i="4" s="1"/>
  <c r="AK155" i="1"/>
  <c r="AN90" i="1"/>
  <c r="AN92" i="1"/>
  <c r="AN88" i="1"/>
  <c r="AN9" i="1" s="1"/>
  <c r="AN7" i="1"/>
  <c r="AK103" i="1"/>
  <c r="AK108" i="1" s="1"/>
  <c r="AK128" i="1" s="1"/>
  <c r="AK100" i="1"/>
  <c r="AK13" i="1"/>
  <c r="AK11" i="4"/>
  <c r="AK158" i="1"/>
  <c r="AK194" i="1"/>
  <c r="AK116" i="4"/>
  <c r="AL6" i="4"/>
  <c r="AL8" i="4" s="1"/>
  <c r="AL196" i="1"/>
  <c r="AL86" i="4" s="1"/>
  <c r="AL169" i="1"/>
  <c r="AL61" i="4" s="1"/>
  <c r="AL161" i="1"/>
  <c r="AL56" i="4" s="1"/>
  <c r="AL149" i="1"/>
  <c r="AL47" i="4" s="1"/>
  <c r="AL202" i="1"/>
  <c r="AL90" i="4" s="1"/>
  <c r="AL185" i="1"/>
  <c r="AL165" i="1"/>
  <c r="AL59" i="4" s="1"/>
  <c r="AL153" i="1"/>
  <c r="AL50" i="4" s="1"/>
  <c r="AL147" i="1"/>
  <c r="AL120" i="1"/>
  <c r="AL199" i="1"/>
  <c r="AL88" i="4" s="1"/>
  <c r="AL124" i="1"/>
  <c r="AL14" i="4" s="1"/>
  <c r="AL122" i="1"/>
  <c r="AL167" i="1"/>
  <c r="AL60" i="4" s="1"/>
  <c r="AK77" i="4"/>
  <c r="AK79" i="4" s="1"/>
  <c r="AK188" i="1"/>
  <c r="AL95" i="1"/>
  <c r="AL99" i="1"/>
  <c r="AF112" i="1"/>
  <c r="AF114" i="1"/>
  <c r="AF15" i="1"/>
  <c r="AF16" i="1" s="1"/>
  <c r="AM94" i="1"/>
  <c r="AM11" i="1"/>
  <c r="AG114" i="1"/>
  <c r="AG112" i="1"/>
  <c r="AG15" i="1"/>
  <c r="AG16" i="1" s="1"/>
  <c r="AN6" i="1"/>
  <c r="AN21" i="1"/>
  <c r="AN20" i="1"/>
  <c r="AM106" i="1"/>
  <c r="AM119" i="1" s="1"/>
  <c r="AM7" i="4" s="1"/>
  <c r="AM104" i="1"/>
  <c r="AM126" i="1" s="1"/>
  <c r="AM15" i="4" s="1"/>
  <c r="AM118" i="1"/>
  <c r="AM101" i="1"/>
  <c r="AM127" i="1" s="1"/>
  <c r="AM16" i="4" s="1"/>
  <c r="AM10" i="1"/>
  <c r="AL101" i="4"/>
  <c r="AL122" i="4"/>
  <c r="AL123" i="4" s="1"/>
  <c r="AL115" i="4"/>
  <c r="AL102" i="4"/>
  <c r="AL100" i="4"/>
  <c r="AL111" i="4"/>
  <c r="AK17" i="4" l="1"/>
  <c r="AK18" i="4" s="1"/>
  <c r="AK20" i="4" s="1"/>
  <c r="AK22" i="4" s="1"/>
  <c r="AK129" i="1"/>
  <c r="AK130" i="1" s="1"/>
  <c r="AL11" i="4"/>
  <c r="AL194" i="1"/>
  <c r="AL158" i="1"/>
  <c r="AM100" i="4"/>
  <c r="AM111" i="4"/>
  <c r="AL46" i="4"/>
  <c r="AL51" i="4" s="1"/>
  <c r="AL155" i="1"/>
  <c r="AM6" i="4"/>
  <c r="AM8" i="4" s="1"/>
  <c r="AM196" i="1"/>
  <c r="AM86" i="4" s="1"/>
  <c r="AM169" i="1"/>
  <c r="AM61" i="4" s="1"/>
  <c r="AM161" i="1"/>
  <c r="AM56" i="4" s="1"/>
  <c r="AM149" i="1"/>
  <c r="AM47" i="4" s="1"/>
  <c r="AM202" i="1"/>
  <c r="AM90" i="4" s="1"/>
  <c r="AM185" i="1"/>
  <c r="AM165" i="1"/>
  <c r="AM59" i="4" s="1"/>
  <c r="AM153" i="1"/>
  <c r="AM50" i="4" s="1"/>
  <c r="AM147" i="1"/>
  <c r="AM120" i="1"/>
  <c r="AM199" i="1"/>
  <c r="AM88" i="4" s="1"/>
  <c r="AM122" i="1"/>
  <c r="AM167" i="1"/>
  <c r="AM60" i="4" s="1"/>
  <c r="AM124" i="1"/>
  <c r="AM14" i="4" s="1"/>
  <c r="AK85" i="4"/>
  <c r="AK91" i="4" s="1"/>
  <c r="AK93" i="4" s="1"/>
  <c r="AK204" i="1"/>
  <c r="AK205" i="1" s="1"/>
  <c r="AM95" i="1"/>
  <c r="AM99" i="1"/>
  <c r="AN94" i="1"/>
  <c r="AN11" i="1"/>
  <c r="AM115" i="4"/>
  <c r="AM102" i="4"/>
  <c r="AL100" i="1"/>
  <c r="AL103" i="1"/>
  <c r="AL108" i="1" s="1"/>
  <c r="AL13" i="1"/>
  <c r="AL77" i="4"/>
  <c r="AL79" i="4" s="1"/>
  <c r="AL188" i="1"/>
  <c r="AK105" i="4"/>
  <c r="AK54" i="4"/>
  <c r="AN118" i="1"/>
  <c r="AN101" i="1"/>
  <c r="AN127" i="1" s="1"/>
  <c r="AN16" i="4" s="1"/>
  <c r="AN104" i="1"/>
  <c r="AN126" i="1" s="1"/>
  <c r="AN15" i="4" s="1"/>
  <c r="AN10" i="1"/>
  <c r="AN106" i="1"/>
  <c r="AN119" i="1" s="1"/>
  <c r="AN7" i="4" s="1"/>
  <c r="AK109" i="1"/>
  <c r="AK131" i="1" s="1"/>
  <c r="AK25" i="4" s="1"/>
  <c r="AK29" i="4" s="1"/>
  <c r="AK107" i="4" s="1"/>
  <c r="AM122" i="4"/>
  <c r="AM123" i="4" s="1"/>
  <c r="AM101" i="4"/>
  <c r="AL116" i="4"/>
  <c r="AM116" i="4" l="1"/>
  <c r="AN95" i="1"/>
  <c r="AN99" i="1"/>
  <c r="AM100" i="1"/>
  <c r="AM103" i="1"/>
  <c r="AM108" i="1" s="1"/>
  <c r="AM128" i="1" s="1"/>
  <c r="AM13" i="1"/>
  <c r="AM77" i="4"/>
  <c r="AM79" i="4" s="1"/>
  <c r="AM188" i="1"/>
  <c r="AN100" i="4"/>
  <c r="AN111" i="4"/>
  <c r="AM46" i="4"/>
  <c r="AM51" i="4" s="1"/>
  <c r="AM155" i="1"/>
  <c r="AL54" i="4"/>
  <c r="AL105" i="4"/>
  <c r="AN6" i="4"/>
  <c r="AN8" i="4" s="1"/>
  <c r="AN202" i="1"/>
  <c r="AN90" i="4" s="1"/>
  <c r="AN165" i="1"/>
  <c r="AN59" i="4" s="1"/>
  <c r="AN161" i="1"/>
  <c r="AN56" i="4" s="1"/>
  <c r="AN149" i="1"/>
  <c r="AN47" i="4" s="1"/>
  <c r="AN147" i="1"/>
  <c r="AN120" i="1"/>
  <c r="AN199" i="1"/>
  <c r="AN88" i="4" s="1"/>
  <c r="AN122" i="1"/>
  <c r="AN167" i="1"/>
  <c r="AN60" i="4" s="1"/>
  <c r="AN153" i="1"/>
  <c r="AN50" i="4" s="1"/>
  <c r="AN169" i="1"/>
  <c r="AN61" i="4" s="1"/>
  <c r="AN196" i="1"/>
  <c r="AN86" i="4" s="1"/>
  <c r="AN124" i="1"/>
  <c r="AN14" i="4" s="1"/>
  <c r="AN185" i="1"/>
  <c r="AL85" i="4"/>
  <c r="AL91" i="4" s="1"/>
  <c r="AL93" i="4" s="1"/>
  <c r="AL204" i="1"/>
  <c r="AL205" i="1" s="1"/>
  <c r="AN122" i="4"/>
  <c r="AN123" i="4" s="1"/>
  <c r="AN101" i="4"/>
  <c r="AL109" i="1"/>
  <c r="AL131" i="1" s="1"/>
  <c r="AL25" i="4" s="1"/>
  <c r="AL29" i="4" s="1"/>
  <c r="AL107" i="4" s="1"/>
  <c r="AK31" i="4"/>
  <c r="AK99" i="4"/>
  <c r="AK104" i="4" s="1"/>
  <c r="AK106" i="4" s="1"/>
  <c r="AK108" i="4" s="1"/>
  <c r="AK125" i="4" s="1"/>
  <c r="AK128" i="4" s="1"/>
  <c r="AL128" i="1"/>
  <c r="AN115" i="4"/>
  <c r="AN102" i="4"/>
  <c r="AK132" i="1"/>
  <c r="AK176" i="1" s="1"/>
  <c r="AK111" i="1"/>
  <c r="AM11" i="4"/>
  <c r="AM194" i="1"/>
  <c r="AM158" i="1"/>
  <c r="AN116" i="4" l="1"/>
  <c r="AM17" i="4"/>
  <c r="AM18" i="4" s="1"/>
  <c r="AM20" i="4" s="1"/>
  <c r="AM22" i="4" s="1"/>
  <c r="AM99" i="4" s="1"/>
  <c r="AM104" i="4" s="1"/>
  <c r="AM129" i="1"/>
  <c r="AM130" i="1" s="1"/>
  <c r="AL111" i="1"/>
  <c r="AL15" i="1" s="1"/>
  <c r="AN46" i="4"/>
  <c r="AN51" i="4" s="1"/>
  <c r="AN155" i="1"/>
  <c r="AL17" i="4"/>
  <c r="AL18" i="4" s="1"/>
  <c r="AL20" i="4" s="1"/>
  <c r="AL22" i="4" s="1"/>
  <c r="AL129" i="1"/>
  <c r="AL130" i="1" s="1"/>
  <c r="AL132" i="1" s="1"/>
  <c r="AL176" i="1" s="1"/>
  <c r="AK69" i="4"/>
  <c r="AK70" i="4" s="1"/>
  <c r="AK72" i="4" s="1"/>
  <c r="AK94" i="4" s="1"/>
  <c r="AK178" i="1"/>
  <c r="AK180" i="1" s="1"/>
  <c r="AK206" i="1" s="1"/>
  <c r="AK163" i="1" s="1"/>
  <c r="AM109" i="1"/>
  <c r="AM131" i="1" s="1"/>
  <c r="AM25" i="4" s="1"/>
  <c r="AM29" i="4" s="1"/>
  <c r="AM107" i="4" s="1"/>
  <c r="AN77" i="4"/>
  <c r="AN79" i="4" s="1"/>
  <c r="AN188" i="1"/>
  <c r="AM105" i="4"/>
  <c r="AM54" i="4"/>
  <c r="AM85" i="4"/>
  <c r="AM91" i="4" s="1"/>
  <c r="AM93" i="4" s="1"/>
  <c r="AM204" i="1"/>
  <c r="AM205" i="1" s="1"/>
  <c r="AN100" i="1"/>
  <c r="AN103" i="1"/>
  <c r="AN108" i="1" s="1"/>
  <c r="AN13" i="1"/>
  <c r="AK112" i="1"/>
  <c r="AK113" i="1"/>
  <c r="AK15" i="1"/>
  <c r="AN194" i="1"/>
  <c r="AN158" i="1"/>
  <c r="AN11" i="4"/>
  <c r="AL112" i="1" l="1"/>
  <c r="AL113" i="1"/>
  <c r="AL133" i="1" s="1"/>
  <c r="AL32" i="4" s="1"/>
  <c r="AL69" i="4"/>
  <c r="AL70" i="4" s="1"/>
  <c r="AL72" i="4" s="1"/>
  <c r="AL94" i="4" s="1"/>
  <c r="AL178" i="1"/>
  <c r="AL180" i="1" s="1"/>
  <c r="AL206" i="1" s="1"/>
  <c r="AL163" i="1" s="1"/>
  <c r="AL31" i="4"/>
  <c r="AL99" i="4"/>
  <c r="AL104" i="4" s="1"/>
  <c r="AL106" i="4" s="1"/>
  <c r="AL108" i="4" s="1"/>
  <c r="AL125" i="4" s="1"/>
  <c r="AN85" i="4"/>
  <c r="AN91" i="4" s="1"/>
  <c r="AN93" i="4" s="1"/>
  <c r="AN204" i="1"/>
  <c r="AN205" i="1" s="1"/>
  <c r="AM111" i="1"/>
  <c r="AK133" i="1"/>
  <c r="AK32" i="4" s="1"/>
  <c r="AK17" i="1"/>
  <c r="AK57" i="4"/>
  <c r="AK171" i="1"/>
  <c r="AK172" i="1" s="1"/>
  <c r="AK208" i="1" s="1"/>
  <c r="AM31" i="4"/>
  <c r="AM106" i="4"/>
  <c r="AM108" i="4" s="1"/>
  <c r="AM125" i="4" s="1"/>
  <c r="AN109" i="1"/>
  <c r="AN131" i="1" s="1"/>
  <c r="AN25" i="4" s="1"/>
  <c r="AN29" i="4" s="1"/>
  <c r="AN107" i="4" s="1"/>
  <c r="AN128" i="1"/>
  <c r="AN105" i="4"/>
  <c r="AN54" i="4"/>
  <c r="AM132" i="1"/>
  <c r="AM176" i="1" s="1"/>
  <c r="AL17" i="1" l="1"/>
  <c r="AM69" i="4"/>
  <c r="AM70" i="4" s="1"/>
  <c r="AM72" i="4" s="1"/>
  <c r="AM94" i="4" s="1"/>
  <c r="AM178" i="1"/>
  <c r="AM180" i="1" s="1"/>
  <c r="AM206" i="1" s="1"/>
  <c r="AM163" i="1" s="1"/>
  <c r="AN111" i="1"/>
  <c r="AL171" i="1"/>
  <c r="AL172" i="1" s="1"/>
  <c r="AL208" i="1" s="1"/>
  <c r="AL57" i="4"/>
  <c r="AM112" i="1"/>
  <c r="AM113" i="1"/>
  <c r="AM15" i="1"/>
  <c r="AL127" i="4"/>
  <c r="AL128" i="4" s="1"/>
  <c r="AK62" i="4"/>
  <c r="AK64" i="4" s="1"/>
  <c r="AK95" i="4" s="1"/>
  <c r="AK129" i="4"/>
  <c r="AN17" i="4"/>
  <c r="AN18" i="4" s="1"/>
  <c r="AN20" i="4" s="1"/>
  <c r="AN22" i="4" s="1"/>
  <c r="AN129" i="1"/>
  <c r="AN130" i="1" s="1"/>
  <c r="AN132" i="1" s="1"/>
  <c r="AN176" i="1" s="1"/>
  <c r="AN69" i="4" l="1"/>
  <c r="AN70" i="4" s="1"/>
  <c r="AN72" i="4" s="1"/>
  <c r="AN94" i="4" s="1"/>
  <c r="AN178" i="1"/>
  <c r="AN180" i="1" s="1"/>
  <c r="AN206" i="1" s="1"/>
  <c r="AN163" i="1" s="1"/>
  <c r="AM133" i="1"/>
  <c r="AM32" i="4" s="1"/>
  <c r="AM17" i="1"/>
  <c r="AN31" i="4"/>
  <c r="AN99" i="4"/>
  <c r="AN104" i="4" s="1"/>
  <c r="AN106" i="4" s="1"/>
  <c r="AN108" i="4" s="1"/>
  <c r="AN125" i="4" s="1"/>
  <c r="AL129" i="4"/>
  <c r="AM171" i="1"/>
  <c r="AM172" i="1" s="1"/>
  <c r="AM208" i="1" s="1"/>
  <c r="AM57" i="4"/>
  <c r="AM127" i="4"/>
  <c r="AM128" i="4" s="1"/>
  <c r="AL62" i="4"/>
  <c r="AL64" i="4" s="1"/>
  <c r="AL95" i="4" s="1"/>
  <c r="AN112" i="1"/>
  <c r="AN15" i="1"/>
  <c r="AN113" i="1"/>
  <c r="AM129" i="4" l="1"/>
  <c r="AN133" i="1"/>
  <c r="AN32" i="4" s="1"/>
  <c r="AN17" i="1"/>
  <c r="AN127" i="4"/>
  <c r="AN128" i="4" s="1"/>
  <c r="AM62" i="4"/>
  <c r="AM64" i="4" s="1"/>
  <c r="AM95" i="4" s="1"/>
  <c r="AN171" i="1"/>
  <c r="AN172" i="1" s="1"/>
  <c r="AN208" i="1" s="1"/>
  <c r="AN57" i="4"/>
  <c r="AN62" i="4" s="1"/>
  <c r="AN64" i="4" s="1"/>
  <c r="AN95" i="4" s="1"/>
  <c r="AN129"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1" authorId="0" shapeId="0" xr:uid="{00000000-0006-0000-0000-000001000000}">
      <text>
        <r>
          <rPr>
            <sz val="11"/>
            <color theme="1"/>
            <rFont val="Calibri"/>
            <family val="2"/>
            <scheme val="minor"/>
          </rPr>
          <t>New Business Gross Profit isn't separately disclosed -- its Contribution profit is used here as the closest available proxy (Contribution &lt;= Gross Profit, so this slightly understates true consolidated GP).</t>
        </r>
      </text>
    </comment>
    <comment ref="C27" authorId="0" shapeId="0" xr:uid="{00000000-0006-0000-0000-000002000000}">
      <text>
        <r>
          <rPr>
            <sz val="11"/>
            <color theme="1"/>
            <rFont val="Calibri"/>
            <family val="2"/>
            <scheme val="minor"/>
          </rPr>
          <t>AUTC YoY growth assumption -- historical growth shown in the row above for reference.</t>
        </r>
      </text>
    </comment>
    <comment ref="C29" authorId="0" shapeId="0" xr:uid="{00000000-0006-0000-0000-000003000000}">
      <text>
        <r>
          <rPr>
            <sz val="11"/>
            <color theme="1"/>
            <rFont val="Calibri"/>
            <family val="2"/>
            <scheme val="minor"/>
          </rPr>
          <t>Orders per AUTC per year, held flat at the FY26 actual level by default.</t>
        </r>
      </text>
    </comment>
    <comment ref="C31" authorId="0" shapeId="0" xr:uid="{00000000-0006-0000-0000-000004000000}">
      <text>
        <r>
          <rPr>
            <sz val="11"/>
            <color theme="1"/>
            <rFont val="Calibri"/>
            <family val="2"/>
            <scheme val="minor"/>
          </rPr>
          <t>AOV YoY growth assumption.</t>
        </r>
      </text>
    </comment>
    <comment ref="C43" authorId="0" shapeId="0" xr:uid="{00000000-0006-0000-0000-000005000000}">
      <text>
        <r>
          <rPr>
            <sz val="11"/>
            <color theme="1"/>
            <rFont val="Calibri"/>
            <family val="2"/>
            <scheme val="minor"/>
          </rPr>
          <t>Marketing + S&amp;D combined, since Nykaa itself stopped splitting these from ~1Q26.</t>
        </r>
      </text>
    </comment>
    <comment ref="C56" authorId="0" shapeId="0" xr:uid="{00000000-0006-0000-0000-000006000000}">
      <text>
        <r>
          <rPr>
            <sz val="11"/>
            <color theme="1"/>
            <rFont val="Calibri"/>
            <family val="2"/>
            <scheme val="minor"/>
          </rPr>
          <t>AUTC YoY growth assumption -- historical growth shown in the row above for reference.</t>
        </r>
      </text>
    </comment>
    <comment ref="C58" authorId="0" shapeId="0" xr:uid="{00000000-0006-0000-0000-000007000000}">
      <text>
        <r>
          <rPr>
            <sz val="11"/>
            <color theme="1"/>
            <rFont val="Calibri"/>
            <family val="2"/>
            <scheme val="minor"/>
          </rPr>
          <t>Orders per AUTC per year, held flat at the FY26 actual level by default.</t>
        </r>
      </text>
    </comment>
    <comment ref="C60" authorId="0" shapeId="0" xr:uid="{00000000-0006-0000-0000-000008000000}">
      <text>
        <r>
          <rPr>
            <sz val="11"/>
            <color theme="1"/>
            <rFont val="Calibri"/>
            <family val="2"/>
            <scheme val="minor"/>
          </rPr>
          <t>AOV YoY growth assumption.</t>
        </r>
      </text>
    </comment>
    <comment ref="C72" authorId="0" shapeId="0" xr:uid="{00000000-0006-0000-0000-000009000000}">
      <text>
        <r>
          <rPr>
            <sz val="11"/>
            <color theme="1"/>
            <rFont val="Calibri"/>
            <family val="2"/>
            <scheme val="minor"/>
          </rPr>
          <t>Marketing + S&amp;D combined, since Nykaa itself stopped splitting these from ~1Q26.</t>
        </r>
      </text>
    </comment>
    <comment ref="C85" authorId="0" shapeId="0" xr:uid="{00000000-0006-0000-0000-00000A000000}">
      <text>
        <r>
          <rPr>
            <sz val="11"/>
            <color theme="1"/>
            <rFont val="Calibri"/>
            <family val="2"/>
            <scheme val="minor"/>
          </rPr>
          <t>FY25-&gt;FY26 actual growth was +121% off a very small base -- defaulted to a more conservative 30%/yr here rather than extrapolating that rate. Edit freely.</t>
        </r>
      </text>
    </comment>
    <comment ref="C93" authorId="0" shapeId="0" xr:uid="{00000000-0006-0000-0000-00000B000000}">
      <text>
        <r>
          <rPr>
            <sz val="11"/>
            <color theme="1"/>
            <rFont val="Calibri"/>
            <family val="2"/>
            <scheme val="minor"/>
          </rPr>
          <t>Negative in FY26 actuals -- an artefact of this segment being a residual (Total - Beauty - Fashion), not a real cost credit. Review before relying on this line.</t>
        </r>
      </text>
    </comment>
    <comment ref="C114" authorId="0" shapeId="0" xr:uid="{00000000-0006-0000-0000-00000C000000}">
      <text>
        <r>
          <rPr>
            <sz val="11"/>
            <color theme="1"/>
            <rFont val="Calibri"/>
            <family val="2"/>
            <scheme val="minor"/>
          </rPr>
          <t>Implied diluted share count (PAT / diluted EPS) from FY26 actuals, held flat -- edit for ESOP dilution.</t>
        </r>
      </text>
    </comment>
    <comment ref="A122" authorId="0" shapeId="0" xr:uid="{00000000-0006-0000-0000-00000D000000}">
      <text>
        <r>
          <rPr>
            <sz val="11"/>
            <color theme="1"/>
            <rFont val="Calibri"/>
            <family val="2"/>
            <scheme val="minor"/>
          </rPr>
          <t>Historical = Cost of material consumed + Purchase of traded goods + Changes in inventories (Raw Data - financials rows 10-12), combined into one line.</t>
        </r>
      </text>
    </comment>
    <comment ref="C123" authorId="0" shapeId="0" xr:uid="{00000000-0006-0000-0000-00000E000000}">
      <text>
        <r>
          <rPr>
            <sz val="11"/>
            <color theme="1"/>
            <rFont val="Calibri"/>
            <family val="2"/>
            <scheme val="minor"/>
          </rPr>
          <t>Calibrated near the FY26 historical ratio -- edit freely.</t>
        </r>
      </text>
    </comment>
    <comment ref="A128" authorId="0" shapeId="0" xr:uid="{00000000-0006-0000-0000-00000F000000}">
      <text>
        <r>
          <rPr>
            <sz val="11"/>
            <color theme="1"/>
            <rFont val="Calibri"/>
            <family val="2"/>
            <scheme val="minor"/>
          </rPr>
          <t>Projected years: plug = Total Income - COGS - Employee benefits - Finance costs - D&amp;A - PBT (Consolidated Bridge row 108), so PBT/PAT/EPS keep tying to the segment build above.</t>
        </r>
      </text>
    </comment>
    <comment ref="A183" authorId="0" shapeId="0" xr:uid="{00000000-0006-0000-0000-000010000000}">
      <text>
        <r>
          <rPr>
            <sz val="11"/>
            <color theme="1"/>
            <rFont val="Calibri"/>
            <family val="2"/>
            <scheme val="minor"/>
          </rPr>
          <t>= PP&amp;E + CWIP + Goodwill + Other intangibles + ROU assets + Intangibles under development (Raw Data - financials rows 49-54). Projected years roll forward: prior + Capex - D&amp;A.</t>
        </r>
      </text>
    </comment>
    <comment ref="A184" authorId="0" shapeId="0" xr:uid="{00000000-0006-0000-0000-000011000000}">
      <text>
        <r>
          <rPr>
            <sz val="11"/>
            <color theme="1"/>
            <rFont val="Calibri"/>
            <family val="2"/>
            <scheme val="minor"/>
          </rPr>
          <t>Capex isn't disclosed quarterly, only annually (Raw Data - financials row 148, Cash Flow section) -- historical link is annual-only.</t>
        </r>
      </text>
    </comment>
    <comment ref="C184" authorId="0" shapeId="0" xr:uid="{00000000-0006-0000-0000-000012000000}">
      <text>
        <r>
          <rPr>
            <sz val="11"/>
            <color theme="1"/>
            <rFont val="Calibri"/>
            <family val="2"/>
            <scheme val="minor"/>
          </rPr>
          <t>Calibrated near the FY26 historical ratio.</t>
        </r>
      </text>
    </comment>
    <comment ref="A185" authorId="0" shapeId="0" xr:uid="{00000000-0006-0000-0000-000013000000}">
      <text>
        <r>
          <rPr>
            <sz val="11"/>
            <color theme="1"/>
            <rFont val="Calibri"/>
            <family val="2"/>
            <scheme val="minor"/>
          </rPr>
          <t>Held flat at the FY26 actual for projected years -- edit if you expect Nykaa to build/draw down its investment book. Historical = Investments (equity method) + Financial assets - Investments (non-current + current), rows 55+56+66.</t>
        </r>
      </text>
    </comment>
    <comment ref="C187" authorId="0" shapeId="0" xr:uid="{00000000-0006-0000-0000-000014000000}">
      <text>
        <r>
          <rPr>
            <sz val="11"/>
            <color theme="1"/>
            <rFont val="Calibri"/>
            <family val="2"/>
            <scheme val="minor"/>
          </rPr>
          <t>Calibrated near the FY26 historical level.</t>
        </r>
      </text>
    </comment>
    <comment ref="C189" authorId="0" shapeId="0" xr:uid="{00000000-0006-0000-0000-000015000000}">
      <text>
        <r>
          <rPr>
            <sz val="11"/>
            <color theme="1"/>
            <rFont val="Calibri"/>
            <family val="2"/>
            <scheme val="minor"/>
          </rPr>
          <t>Calibrated near the FY26 historical level.</t>
        </r>
      </text>
    </comment>
    <comment ref="A190" authorId="0" shapeId="0" xr:uid="{00000000-0006-0000-0000-000016000000}">
      <text>
        <r>
          <rPr>
            <sz val="11"/>
            <color theme="1"/>
            <rFont val="Calibri"/>
            <family val="2"/>
            <scheme val="minor"/>
          </rPr>
          <t>= Financial assets - Loans (NC+C) + Other financial assets (NC+C) + Deferred tax assets + Non-current tax assets + Other non-current assets + Other current assets (rows 57,58,59,60,61,70,71,72).</t>
        </r>
      </text>
    </comment>
    <comment ref="C191" authorId="0" shapeId="0" xr:uid="{00000000-0006-0000-0000-000017000000}">
      <text>
        <r>
          <rPr>
            <sz val="11"/>
            <color theme="1"/>
            <rFont val="Calibri"/>
            <family val="2"/>
            <scheme val="minor"/>
          </rPr>
          <t>Calibrated near the FY26 historical ratio.</t>
        </r>
      </text>
    </comment>
    <comment ref="A192" authorId="0" shapeId="0" xr:uid="{00000000-0006-0000-0000-000018000000}">
      <text>
        <r>
          <rPr>
            <sz val="11"/>
            <color theme="1"/>
            <rFont val="Calibri"/>
            <family val="2"/>
            <scheme val="minor"/>
          </rPr>
          <t>= Cash and cash equivalents + Bank balance other than cash (rows 68+69). Projected years: balancing plug, not an assumption.</t>
        </r>
      </text>
    </comment>
    <comment ref="A197" authorId="0" shapeId="0" xr:uid="{00000000-0006-0000-0000-000019000000}">
      <text>
        <r>
          <rPr>
            <sz val="11"/>
            <color theme="1"/>
            <rFont val="Calibri"/>
            <family val="2"/>
            <scheme val="minor"/>
          </rPr>
          <t>= Other equity + Non-controlling interest (rows 80+82). Projected years roll forward: prior + PAT x (1 - dividend payout %).</t>
        </r>
      </text>
    </comment>
    <comment ref="A198" authorId="0" shapeId="0" xr:uid="{00000000-0006-0000-0000-00001A000000}">
      <text>
        <r>
          <rPr>
            <sz val="11"/>
            <color theme="1"/>
            <rFont val="Calibri"/>
            <family val="2"/>
            <scheme val="minor"/>
          </rPr>
          <t>Nykaa hasn't paid a dividend historically -- defaulted to 0%. Edit if you expect this to change.</t>
        </r>
      </text>
    </comment>
    <comment ref="A199" authorId="0" shapeId="0" xr:uid="{00000000-0006-0000-0000-00001B000000}">
      <text>
        <r>
          <rPr>
            <sz val="11"/>
            <color theme="1"/>
            <rFont val="Calibri"/>
            <family val="2"/>
            <scheme val="minor"/>
          </rPr>
          <t>= Non-current + Current borrowings (rows 86+93). Held flat at the FY26 actual for projected years -- edit for planned debt raises/repayments.</t>
        </r>
      </text>
    </comment>
    <comment ref="A200" authorId="0" shapeId="0" xr:uid="{00000000-0006-0000-0000-00001C000000}">
      <text>
        <r>
          <rPr>
            <sz val="11"/>
            <color theme="1"/>
            <rFont val="Calibri"/>
            <family val="2"/>
            <scheme val="minor"/>
          </rPr>
          <t>= Non-current + Current lease liabilities (rows 87+94).</t>
        </r>
      </text>
    </comment>
    <comment ref="C201" authorId="0" shapeId="0" xr:uid="{00000000-0006-0000-0000-00001D000000}">
      <text>
        <r>
          <rPr>
            <sz val="11"/>
            <color theme="1"/>
            <rFont val="Calibri"/>
            <family val="2"/>
            <scheme val="minor"/>
          </rPr>
          <t>Calibrated near the FY26 historical ratio.</t>
        </r>
      </text>
    </comment>
    <comment ref="A202" authorId="0" shapeId="0" xr:uid="{00000000-0006-0000-0000-00001E000000}">
      <text>
        <r>
          <rPr>
            <sz val="11"/>
            <color theme="1"/>
            <rFont val="Calibri"/>
            <family val="2"/>
            <scheme val="minor"/>
          </rPr>
          <t>= Micro &amp; small + Other creditors (rows 95+96).</t>
        </r>
      </text>
    </comment>
    <comment ref="C203" authorId="0" shapeId="0" xr:uid="{00000000-0006-0000-0000-00001F000000}">
      <text>
        <r>
          <rPr>
            <sz val="11"/>
            <color theme="1"/>
            <rFont val="Calibri"/>
            <family val="2"/>
            <scheme val="minor"/>
          </rPr>
          <t>Calibrated near the FY26 historical level.</t>
        </r>
      </text>
    </comment>
    <comment ref="A204" authorId="0" shapeId="0" xr:uid="{00000000-0006-0000-0000-000020000000}">
      <text>
        <r>
          <rPr>
            <sz val="11"/>
            <color theme="1"/>
            <rFont val="Calibri"/>
            <family val="2"/>
            <scheme val="minor"/>
          </rPr>
          <t>= Other financial liabilities (NC+C) + Provisions (NC+C) + Contract liabilities + Current tax liabilities + Other current liabilities (rows 88,89,97,98,99,100,101).</t>
        </r>
      </text>
    </comment>
    <comment ref="C205" authorId="0" shapeId="0" xr:uid="{00000000-0006-0000-0000-000021000000}">
      <text>
        <r>
          <rPr>
            <sz val="11"/>
            <color theme="1"/>
            <rFont val="Calibri"/>
            <family val="2"/>
            <scheme val="minor"/>
          </rPr>
          <t>Calibrated near the FY26 historical ratio.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D22" authorId="0" shapeId="0" xr:uid="{00000000-0006-0000-0200-000001000000}">
      <text>
        <r>
          <rPr>
            <sz val="11"/>
            <color theme="1"/>
            <rFont val="Calibri"/>
            <family val="2"/>
            <scheme val="minor"/>
          </rPr>
          <t>Source: Nykaa_Raw_Data.xlsx rows (125, 126) (combined: Marketing &amp; advertisement expense + Selling &amp; distribution expense)</t>
        </r>
      </text>
    </comment>
    <comment ref="E22" authorId="0" shapeId="0" xr:uid="{00000000-0006-0000-0200-000002000000}">
      <text>
        <r>
          <rPr>
            <sz val="11"/>
            <color theme="1"/>
            <rFont val="Calibri"/>
            <family val="2"/>
            <scheme val="minor"/>
          </rPr>
          <t>Source: Nykaa_Raw_Data.xlsx rows (125, 126) (combined: Marketing &amp; advertisement expense + Selling &amp; distribution expense)</t>
        </r>
      </text>
    </comment>
    <comment ref="F22" authorId="0" shapeId="0" xr:uid="{00000000-0006-0000-0200-000003000000}">
      <text>
        <r>
          <rPr>
            <sz val="11"/>
            <color theme="1"/>
            <rFont val="Calibri"/>
            <family val="2"/>
            <scheme val="minor"/>
          </rPr>
          <t>Source: Nykaa_Raw_Data.xlsx rows (125, 126) (combined: Marketing &amp; advertisement expense + Selling &amp; distribution expense)</t>
        </r>
      </text>
    </comment>
    <comment ref="G22" authorId="0" shapeId="0" xr:uid="{00000000-0006-0000-0200-000004000000}">
      <text>
        <r>
          <rPr>
            <sz val="11"/>
            <color theme="1"/>
            <rFont val="Calibri"/>
            <family val="2"/>
            <scheme val="minor"/>
          </rPr>
          <t>Source: Nykaa_Raw_Data.xlsx rows (125, 126) (combined: Marketing &amp; advertisement expense + Selling &amp; distribution expense)</t>
        </r>
      </text>
    </comment>
    <comment ref="H22" authorId="0" shapeId="0" xr:uid="{00000000-0006-0000-0200-000005000000}">
      <text>
        <r>
          <rPr>
            <sz val="11"/>
            <color theme="1"/>
            <rFont val="Calibri"/>
            <family val="2"/>
            <scheme val="minor"/>
          </rPr>
          <t>Source: Nykaa_Raw_Data.xlsx rows (125, 126) (combined: Marketing &amp; advertisement expense + Selling &amp; distribution expense)</t>
        </r>
      </text>
    </comment>
    <comment ref="I22" authorId="0" shapeId="0" xr:uid="{00000000-0006-0000-0200-000006000000}">
      <text>
        <r>
          <rPr>
            <sz val="11"/>
            <color theme="1"/>
            <rFont val="Calibri"/>
            <family val="2"/>
            <scheme val="minor"/>
          </rPr>
          <t>Source: Nykaa_Raw_Data.xlsx rows (125, 126) (combined: Marketing &amp; advertisement expense + Selling &amp; distribution expense)</t>
        </r>
      </text>
    </comment>
    <comment ref="J22" authorId="0" shapeId="0" xr:uid="{00000000-0006-0000-0200-000007000000}">
      <text>
        <r>
          <rPr>
            <sz val="11"/>
            <color theme="1"/>
            <rFont val="Calibri"/>
            <family val="2"/>
            <scheme val="minor"/>
          </rPr>
          <t>Source: Nykaa_Raw_Data.xlsx rows (125, 126) (combined: Marketing &amp; advertisement expense + Selling &amp; distribution expense)</t>
        </r>
      </text>
    </comment>
    <comment ref="K22" authorId="0" shapeId="0" xr:uid="{00000000-0006-0000-0200-000008000000}">
      <text>
        <r>
          <rPr>
            <sz val="11"/>
            <color theme="1"/>
            <rFont val="Calibri"/>
            <family val="2"/>
            <scheme val="minor"/>
          </rPr>
          <t>Source: Nykaa_Raw_Data.xlsx rows (125, 126) (combined: Marketing &amp; advertisement expense + Selling &amp; distribution expense)</t>
        </r>
      </text>
    </comment>
    <comment ref="L22" authorId="0" shapeId="0" xr:uid="{00000000-0006-0000-0200-000009000000}">
      <text>
        <r>
          <rPr>
            <sz val="11"/>
            <color theme="1"/>
            <rFont val="Calibri"/>
            <family val="2"/>
            <scheme val="minor"/>
          </rPr>
          <t>Source: Nykaa_Raw_Data.xlsx rows (125, 126) (combined: Marketing &amp; advertisement expense + Selling &amp; distribution expense)</t>
        </r>
      </text>
    </comment>
    <comment ref="M22" authorId="0" shapeId="0" xr:uid="{00000000-0006-0000-0200-00000A000000}">
      <text>
        <r>
          <rPr>
            <sz val="11"/>
            <color theme="1"/>
            <rFont val="Calibri"/>
            <family val="2"/>
            <scheme val="minor"/>
          </rPr>
          <t>Source: Nykaa_Raw_Data.xlsx rows (125, 126) (combined: Marketing &amp; advertisement expense + Selling &amp; distribution expense)</t>
        </r>
      </text>
    </comment>
    <comment ref="N22" authorId="0" shapeId="0" xr:uid="{00000000-0006-0000-0200-00000B000000}">
      <text>
        <r>
          <rPr>
            <sz val="11"/>
            <color theme="1"/>
            <rFont val="Calibri"/>
            <family val="2"/>
            <scheme val="minor"/>
          </rPr>
          <t>Source: Nykaa_Raw_Data.xlsx rows (125, 126) (combined: Marketing &amp; advertisement expense + Selling &amp; distribution expense)</t>
        </r>
      </text>
    </comment>
    <comment ref="O22" authorId="0" shapeId="0" xr:uid="{00000000-0006-0000-0200-00000C000000}">
      <text>
        <r>
          <rPr>
            <sz val="11"/>
            <color theme="1"/>
            <rFont val="Calibri"/>
            <family val="2"/>
            <scheme val="minor"/>
          </rPr>
          <t>Source: Nykaa_Raw_Data.xlsx rows (125, 126) (combined: Marketing &amp; advertisement expense + Selling &amp; distribution expense)</t>
        </r>
      </text>
    </comment>
    <comment ref="P22" authorId="0" shapeId="0" xr:uid="{00000000-0006-0000-0200-00000D000000}">
      <text>
        <r>
          <rPr>
            <sz val="11"/>
            <color theme="1"/>
            <rFont val="Calibri"/>
            <family val="2"/>
            <scheme val="minor"/>
          </rPr>
          <t>Source: Nykaa_Raw_Data.xlsx rows (125, 126) (combined: Marketing &amp; advertisement expense + Selling &amp; distribution expense)</t>
        </r>
      </text>
    </comment>
    <comment ref="Q22" authorId="0" shapeId="0" xr:uid="{00000000-0006-0000-0200-00000E000000}">
      <text>
        <r>
          <rPr>
            <sz val="11"/>
            <color theme="1"/>
            <rFont val="Calibri"/>
            <family val="2"/>
            <scheme val="minor"/>
          </rPr>
          <t>Source: Nykaa_Raw_Data.xlsx rows (125, 126) (combined: Marketing &amp; advertisement expense + Selling &amp; distribution expense)</t>
        </r>
      </text>
    </comment>
    <comment ref="R22" authorId="0" shapeId="0" xr:uid="{00000000-0006-0000-0200-00000F000000}">
      <text>
        <r>
          <rPr>
            <sz val="11"/>
            <color theme="1"/>
            <rFont val="Calibri"/>
            <family val="2"/>
            <scheme val="minor"/>
          </rPr>
          <t>Source: Nykaa_Raw_Data.xlsx rows (125, 126) (combined: Marketing &amp; advertisement expense + Selling &amp; distribution expense)</t>
        </r>
      </text>
    </comment>
    <comment ref="S22" authorId="0" shapeId="0" xr:uid="{00000000-0006-0000-0200-000010000000}">
      <text>
        <r>
          <rPr>
            <sz val="11"/>
            <color theme="1"/>
            <rFont val="Calibri"/>
            <family val="2"/>
            <scheme val="minor"/>
          </rPr>
          <t>Source: Nykaa_Raw_Data.xlsx rows (125, 126) (combined: Marketing &amp; advertisement expense + Selling &amp; distribution expense)</t>
        </r>
      </text>
    </comment>
    <comment ref="T22" authorId="0" shapeId="0" xr:uid="{00000000-0006-0000-0200-000011000000}">
      <text>
        <r>
          <rPr>
            <sz val="11"/>
            <color theme="1"/>
            <rFont val="Calibri"/>
            <family val="2"/>
            <scheme val="minor"/>
          </rPr>
          <t>Source: 2Q26 deck, comparative column 'Q1FY26' (Total column, cr), converted to Rs mn</t>
        </r>
      </text>
    </comment>
    <comment ref="V22" authorId="0" shapeId="0" xr:uid="{00000000-0006-0000-0200-000012000000}">
      <text>
        <r>
          <rPr>
            <sz val="11"/>
            <color theme="1"/>
            <rFont val="Calibri"/>
            <family val="2"/>
            <scheme val="minor"/>
          </rPr>
          <t>Source: 4Q26 deck, comparative column 'Q3FY26' (Total column, cr), converted to Rs mn</t>
        </r>
      </text>
    </comment>
    <comment ref="L45" authorId="0" shapeId="0" xr:uid="{00000000-0006-0000-0200-000043000000}">
      <text>
        <r>
          <rPr>
            <sz val="11"/>
            <color theme="1"/>
            <rFont val="Calibri"/>
            <family val="2"/>
            <scheme val="minor"/>
          </rPr>
          <t>Source: 1Q25 deck, comparative column 'Q1FY24' (Beauty column, mn), converted to Rs mn</t>
        </r>
      </text>
    </comment>
    <comment ref="N45" authorId="0" shapeId="0" xr:uid="{00000000-0006-0000-0200-000044000000}">
      <text>
        <r>
          <rPr>
            <sz val="11"/>
            <color theme="1"/>
            <rFont val="Calibri"/>
            <family val="2"/>
            <scheme val="minor"/>
          </rPr>
          <t>Source: 3Q25 deck, comparative column 'Q3FY24' (Beauty column, mn), converted to Rs mn</t>
        </r>
      </text>
    </comment>
    <comment ref="O45" authorId="0" shapeId="0" xr:uid="{00000000-0006-0000-0200-000045000000}">
      <text>
        <r>
          <rPr>
            <sz val="11"/>
            <color theme="1"/>
            <rFont val="Calibri"/>
            <family val="2"/>
            <scheme val="minor"/>
          </rPr>
          <t>Source: 4Q25 deck, comparative column 'Q4FY24' (Beauty column, cr), converted to Rs mn</t>
        </r>
      </text>
    </comment>
    <comment ref="Q45" authorId="0" shapeId="0" xr:uid="{00000000-0006-0000-0200-000046000000}">
      <text>
        <r>
          <rPr>
            <sz val="11"/>
            <color theme="1"/>
            <rFont val="Calibri"/>
            <family val="2"/>
            <scheme val="minor"/>
          </rPr>
          <t>Source: 3Q25 deck, comparative column 'Q2FY25' (Beauty column, mn), converted to Rs mn</t>
        </r>
      </text>
    </comment>
    <comment ref="T45" authorId="0" shapeId="0" xr:uid="{00000000-0006-0000-0200-000047000000}">
      <text>
        <r>
          <rPr>
            <sz val="11"/>
            <color theme="1"/>
            <rFont val="Calibri"/>
            <family val="2"/>
            <scheme val="minor"/>
          </rPr>
          <t>Source: 2Q26 deck, comparative column 'Q1FY26' (Beauty column, cr), converted to Rs mn</t>
        </r>
      </text>
    </comment>
    <comment ref="V45" authorId="0" shapeId="0" xr:uid="{00000000-0006-0000-0200-000048000000}">
      <text>
        <r>
          <rPr>
            <sz val="11"/>
            <color theme="1"/>
            <rFont val="Calibri"/>
            <family val="2"/>
            <scheme val="minor"/>
          </rPr>
          <t>Source: 4Q26 deck, comparative column 'Q3FY26' (Beauty column, cr), converted to Rs mn</t>
        </r>
      </text>
    </comment>
    <comment ref="L47" authorId="0" shapeId="0" xr:uid="{00000000-0006-0000-0200-000049000000}">
      <text>
        <r>
          <rPr>
            <sz val="11"/>
            <color theme="1"/>
            <rFont val="Calibri"/>
            <family val="2"/>
            <scheme val="minor"/>
          </rPr>
          <t>Source: 1Q25 deck, comparative column 'Q1FY24' (Beauty column, mn), converted to Rs mn</t>
        </r>
      </text>
    </comment>
    <comment ref="N47" authorId="0" shapeId="0" xr:uid="{00000000-0006-0000-0200-00004A000000}">
      <text>
        <r>
          <rPr>
            <sz val="11"/>
            <color theme="1"/>
            <rFont val="Calibri"/>
            <family val="2"/>
            <scheme val="minor"/>
          </rPr>
          <t>Source: 3Q25 deck, comparative column 'Q3FY24' (Beauty column, mn), converted to Rs mn</t>
        </r>
      </text>
    </comment>
    <comment ref="O47" authorId="0" shapeId="0" xr:uid="{00000000-0006-0000-0200-00004B000000}">
      <text>
        <r>
          <rPr>
            <sz val="11"/>
            <color theme="1"/>
            <rFont val="Calibri"/>
            <family val="2"/>
            <scheme val="minor"/>
          </rPr>
          <t>Source: 4Q25 deck, comparative column 'Q4FY24' (Beauty column, cr), converted to Rs mn</t>
        </r>
      </text>
    </comment>
    <comment ref="Q47" authorId="0" shapeId="0" xr:uid="{00000000-0006-0000-0200-00004C000000}">
      <text>
        <r>
          <rPr>
            <sz val="11"/>
            <color theme="1"/>
            <rFont val="Calibri"/>
            <family val="2"/>
            <scheme val="minor"/>
          </rPr>
          <t>Source: 3Q25 deck, comparative column 'Q2FY25' (Beauty column, mn), converted to Rs mn</t>
        </r>
      </text>
    </comment>
    <comment ref="T47" authorId="0" shapeId="0" xr:uid="{00000000-0006-0000-0200-00004D000000}">
      <text>
        <r>
          <rPr>
            <sz val="11"/>
            <color theme="1"/>
            <rFont val="Calibri"/>
            <family val="2"/>
            <scheme val="minor"/>
          </rPr>
          <t>Source: 2Q26 deck, comparative column 'Q1FY26' (Beauty column, cr), converted to Rs mn</t>
        </r>
      </text>
    </comment>
    <comment ref="V47" authorId="0" shapeId="0" xr:uid="{00000000-0006-0000-0200-00004E000000}">
      <text>
        <r>
          <rPr>
            <sz val="11"/>
            <color theme="1"/>
            <rFont val="Calibri"/>
            <family val="2"/>
            <scheme val="minor"/>
          </rPr>
          <t>Source: 4Q26 deck, comparative column 'Q3FY26' (Beauty column, cr), converted to Rs mn</t>
        </r>
      </text>
    </comment>
    <comment ref="L49" authorId="0" shapeId="0" xr:uid="{00000000-0006-0000-0200-00004F000000}">
      <text>
        <r>
          <rPr>
            <sz val="11"/>
            <color theme="1"/>
            <rFont val="Calibri"/>
            <family val="2"/>
            <scheme val="minor"/>
          </rPr>
          <t>Source: 1Q25 deck, comparative column 'Q1FY24' (Beauty column, mn), converted to Rs mn</t>
        </r>
      </text>
    </comment>
    <comment ref="N49" authorId="0" shapeId="0" xr:uid="{00000000-0006-0000-0200-000050000000}">
      <text>
        <r>
          <rPr>
            <sz val="11"/>
            <color theme="1"/>
            <rFont val="Calibri"/>
            <family val="2"/>
            <scheme val="minor"/>
          </rPr>
          <t>Source: 3Q25 deck, comparative column 'Q3FY24' (Beauty column, mn), converted to Rs mn</t>
        </r>
      </text>
    </comment>
    <comment ref="O49" authorId="0" shapeId="0" xr:uid="{00000000-0006-0000-0200-000051000000}">
      <text>
        <r>
          <rPr>
            <sz val="11"/>
            <color theme="1"/>
            <rFont val="Calibri"/>
            <family val="2"/>
            <scheme val="minor"/>
          </rPr>
          <t>Source: 4Q25 deck, comparative column 'Q4FY24' (Beauty column, cr), converted to Rs mn</t>
        </r>
      </text>
    </comment>
    <comment ref="Q49" authorId="0" shapeId="0" xr:uid="{00000000-0006-0000-0200-000052000000}">
      <text>
        <r>
          <rPr>
            <sz val="11"/>
            <color theme="1"/>
            <rFont val="Calibri"/>
            <family val="2"/>
            <scheme val="minor"/>
          </rPr>
          <t>Source: 3Q25 deck, comparative column 'Q2FY25' (Beauty column, mn), converted to Rs mn</t>
        </r>
      </text>
    </comment>
    <comment ref="T49" authorId="0" shapeId="0" xr:uid="{00000000-0006-0000-0200-000053000000}">
      <text>
        <r>
          <rPr>
            <sz val="11"/>
            <color theme="1"/>
            <rFont val="Calibri"/>
            <family val="2"/>
            <scheme val="minor"/>
          </rPr>
          <t>Source: 2Q26 deck, comparative column 'Q1FY26' (Beauty column, cr), converted to Rs mn</t>
        </r>
      </text>
    </comment>
    <comment ref="V49" authorId="0" shapeId="0" xr:uid="{00000000-0006-0000-0200-000054000000}">
      <text>
        <r>
          <rPr>
            <sz val="11"/>
            <color theme="1"/>
            <rFont val="Calibri"/>
            <family val="2"/>
            <scheme val="minor"/>
          </rPr>
          <t>Source: 4Q26 deck, comparative column 'Q3FY26' (Beauty column, cr), converted to Rs mn</t>
        </r>
      </text>
    </comment>
    <comment ref="L50" authorId="0" shapeId="0" xr:uid="{00000000-0006-0000-0200-000055000000}">
      <text>
        <r>
          <rPr>
            <sz val="11"/>
            <color theme="1"/>
            <rFont val="Calibri"/>
            <family val="2"/>
            <scheme val="minor"/>
          </rPr>
          <t>Source: 1Q25 deck, comparative column 'Q1FY24' (Beauty column, mn), converted to Rs mn</t>
        </r>
      </text>
    </comment>
    <comment ref="N50" authorId="0" shapeId="0" xr:uid="{00000000-0006-0000-0200-000056000000}">
      <text>
        <r>
          <rPr>
            <sz val="11"/>
            <color theme="1"/>
            <rFont val="Calibri"/>
            <family val="2"/>
            <scheme val="minor"/>
          </rPr>
          <t>Source: 3Q25 deck, comparative column 'Q3FY24' (Beauty column, mn), converted to Rs mn</t>
        </r>
      </text>
    </comment>
    <comment ref="O50" authorId="0" shapeId="0" xr:uid="{00000000-0006-0000-0200-000057000000}">
      <text>
        <r>
          <rPr>
            <sz val="11"/>
            <color theme="1"/>
            <rFont val="Calibri"/>
            <family val="2"/>
            <scheme val="minor"/>
          </rPr>
          <t>Source: 4Q25 deck, comparative column 'Q4FY24' (Beauty column, cr), converted to Rs mn</t>
        </r>
      </text>
    </comment>
    <comment ref="Q50" authorId="0" shapeId="0" xr:uid="{00000000-0006-0000-0200-000058000000}">
      <text>
        <r>
          <rPr>
            <sz val="11"/>
            <color theme="1"/>
            <rFont val="Calibri"/>
            <family val="2"/>
            <scheme val="minor"/>
          </rPr>
          <t>Source: 3Q25 deck, comparative column 'Q2FY25' (Beauty column, mn), converted to Rs mn</t>
        </r>
      </text>
    </comment>
    <comment ref="T50" authorId="0" shapeId="0" xr:uid="{00000000-0006-0000-0200-000059000000}">
      <text>
        <r>
          <rPr>
            <sz val="11"/>
            <color theme="1"/>
            <rFont val="Calibri"/>
            <family val="2"/>
            <scheme val="minor"/>
          </rPr>
          <t>Source: 2Q26 deck, comparative column 'Q1FY26' (Beauty column, cr) -- Marketing &amp; S&amp;D combined by Nykaa from this quarter; entered whole into Marketing row.</t>
        </r>
      </text>
    </comment>
    <comment ref="U50" authorId="0" shapeId="0" xr:uid="{00000000-0006-0000-0200-00005A000000}">
      <text>
        <r>
          <rPr>
            <sz val="11"/>
            <color theme="1"/>
            <rFont val="Calibri"/>
            <family val="2"/>
            <scheme val="minor"/>
          </rPr>
          <t>Source: 2Q26 deck (own quarter) (Beauty column, cr) -- Marketing &amp; S&amp;D combined by Nykaa from this quarter; entered whole into Marketing row.</t>
        </r>
      </text>
    </comment>
    <comment ref="V50" authorId="0" shapeId="0" xr:uid="{00000000-0006-0000-0200-00005B000000}">
      <text>
        <r>
          <rPr>
            <sz val="11"/>
            <color theme="1"/>
            <rFont val="Calibri"/>
            <family val="2"/>
            <scheme val="minor"/>
          </rPr>
          <t>Source: 4Q26 deck, comparative column 'Q3FY26' (Beauty column, cr) -- Marketing &amp; S&amp;D combined by Nykaa from this quarter; entered whole into Marketing row.</t>
        </r>
      </text>
    </comment>
    <comment ref="W50" authorId="0" shapeId="0" xr:uid="{00000000-0006-0000-0200-00005C000000}">
      <text>
        <r>
          <rPr>
            <sz val="11"/>
            <color theme="1"/>
            <rFont val="Calibri"/>
            <family val="2"/>
            <scheme val="minor"/>
          </rPr>
          <t>Source: 4Q26 deck (own quarter) (Beauty column, cr) -- Marketing &amp; S&amp;D combined by Nykaa from this quarter; entered whole into Marketing row.</t>
        </r>
      </text>
    </comment>
    <comment ref="L51" authorId="0" shapeId="0" xr:uid="{00000000-0006-0000-0200-00005D000000}">
      <text>
        <r>
          <rPr>
            <sz val="11"/>
            <color theme="1"/>
            <rFont val="Calibri"/>
            <family val="2"/>
            <scheme val="minor"/>
          </rPr>
          <t>Source: 1Q25 deck, comparative column 'Q1FY24' (Beauty column, mn), converted to Rs mn</t>
        </r>
      </text>
    </comment>
    <comment ref="N51" authorId="0" shapeId="0" xr:uid="{00000000-0006-0000-0200-00005E000000}">
      <text>
        <r>
          <rPr>
            <sz val="11"/>
            <color theme="1"/>
            <rFont val="Calibri"/>
            <family val="2"/>
            <scheme val="minor"/>
          </rPr>
          <t>Source: 3Q25 deck, comparative column 'Q3FY24' (Beauty column, mn), converted to Rs mn</t>
        </r>
      </text>
    </comment>
    <comment ref="O51" authorId="0" shapeId="0" xr:uid="{00000000-0006-0000-0200-00005F000000}">
      <text>
        <r>
          <rPr>
            <sz val="11"/>
            <color theme="1"/>
            <rFont val="Calibri"/>
            <family val="2"/>
            <scheme val="minor"/>
          </rPr>
          <t>Source: 4Q25 deck, comparative column 'Q4FY24' (Beauty column, cr), converted to Rs mn</t>
        </r>
      </text>
    </comment>
    <comment ref="Q51" authorId="0" shapeId="0" xr:uid="{00000000-0006-0000-0200-000060000000}">
      <text>
        <r>
          <rPr>
            <sz val="11"/>
            <color theme="1"/>
            <rFont val="Calibri"/>
            <family val="2"/>
            <scheme val="minor"/>
          </rPr>
          <t>Source: 3Q25 deck, comparative column 'Q2FY25' (Beauty column, mn), converted to Rs mn</t>
        </r>
      </text>
    </comment>
    <comment ref="T51" authorId="0" shapeId="0" xr:uid="{00000000-0006-0000-0200-000061000000}">
      <text>
        <r>
          <rPr>
            <sz val="11"/>
            <color theme="1"/>
            <rFont val="Calibri"/>
            <family val="2"/>
            <scheme val="minor"/>
          </rPr>
          <t>Set to 0: Nykaa combined Marketing &amp; S&amp;D into one line from Q1FY26 onward (see Marketing row above for the combined figure).</t>
        </r>
      </text>
    </comment>
    <comment ref="U51" authorId="0" shapeId="0" xr:uid="{00000000-0006-0000-0200-000062000000}">
      <text>
        <r>
          <rPr>
            <sz val="11"/>
            <color theme="1"/>
            <rFont val="Calibri"/>
            <family val="2"/>
            <scheme val="minor"/>
          </rPr>
          <t>Set to 0: Nykaa combined Marketing &amp; S&amp;D into one line from Q2FY26 onward (see Marketing row above for the combined figure).</t>
        </r>
      </text>
    </comment>
    <comment ref="V51" authorId="0" shapeId="0" xr:uid="{00000000-0006-0000-0200-000063000000}">
      <text>
        <r>
          <rPr>
            <sz val="11"/>
            <color theme="1"/>
            <rFont val="Calibri"/>
            <family val="2"/>
            <scheme val="minor"/>
          </rPr>
          <t>Set to 0: Nykaa combined Marketing &amp; S&amp;D into one line from Q3FY26 onward (see Marketing row above for the combined figure).</t>
        </r>
      </text>
    </comment>
    <comment ref="W51" authorId="0" shapeId="0" xr:uid="{00000000-0006-0000-0200-000064000000}">
      <text>
        <r>
          <rPr>
            <sz val="11"/>
            <color theme="1"/>
            <rFont val="Calibri"/>
            <family val="2"/>
            <scheme val="minor"/>
          </rPr>
          <t>Set to 0: Nykaa combined Marketing &amp; S&amp;D into one line from Q4FY26 onward (see Marketing row above for the combined figure).</t>
        </r>
      </text>
    </comment>
    <comment ref="L54" authorId="0" shapeId="0" xr:uid="{00000000-0006-0000-0200-000065000000}">
      <text>
        <r>
          <rPr>
            <sz val="11"/>
            <color theme="1"/>
            <rFont val="Calibri"/>
            <family val="2"/>
            <scheme val="minor"/>
          </rPr>
          <t>Source: 1Q25 deck, comparative column 'Q1FY24' (Beauty column, mn), converted to Rs mn</t>
        </r>
      </text>
    </comment>
    <comment ref="N54" authorId="0" shapeId="0" xr:uid="{00000000-0006-0000-0200-000066000000}">
      <text>
        <r>
          <rPr>
            <sz val="11"/>
            <color theme="1"/>
            <rFont val="Calibri"/>
            <family val="2"/>
            <scheme val="minor"/>
          </rPr>
          <t>Source: 3Q25 deck, comparative column 'Q3FY24' (Beauty column, mn), converted to Rs mn</t>
        </r>
      </text>
    </comment>
    <comment ref="O54" authorId="0" shapeId="0" xr:uid="{00000000-0006-0000-0200-000067000000}">
      <text>
        <r>
          <rPr>
            <sz val="11"/>
            <color theme="1"/>
            <rFont val="Calibri"/>
            <family val="2"/>
            <scheme val="minor"/>
          </rPr>
          <t>Source: 4Q25 deck, comparative column 'Q4FY24' (Beauty column, cr), converted to Rs mn</t>
        </r>
      </text>
    </comment>
    <comment ref="Q54" authorId="0" shapeId="0" xr:uid="{00000000-0006-0000-0200-000068000000}">
      <text>
        <r>
          <rPr>
            <sz val="11"/>
            <color theme="1"/>
            <rFont val="Calibri"/>
            <family val="2"/>
            <scheme val="minor"/>
          </rPr>
          <t>Source: 3Q25 deck, comparative column 'Q2FY25' (Beauty column, mn), converted to Rs mn</t>
        </r>
      </text>
    </comment>
    <comment ref="T54" authorId="0" shapeId="0" xr:uid="{00000000-0006-0000-0200-000069000000}">
      <text>
        <r>
          <rPr>
            <sz val="11"/>
            <color theme="1"/>
            <rFont val="Calibri"/>
            <family val="2"/>
            <scheme val="minor"/>
          </rPr>
          <t>Source: 2Q26 deck, comparative column 'Q1FY26' (Beauty column, cr), converted to Rs mn</t>
        </r>
      </text>
    </comment>
    <comment ref="V54" authorId="0" shapeId="0" xr:uid="{00000000-0006-0000-0200-00006A000000}">
      <text>
        <r>
          <rPr>
            <sz val="11"/>
            <color theme="1"/>
            <rFont val="Calibri"/>
            <family val="2"/>
            <scheme val="minor"/>
          </rPr>
          <t>Source: 4Q26 deck, comparative column 'Q3FY26' (Beauty column, cr), converted to Rs mn</t>
        </r>
      </text>
    </comment>
    <comment ref="A65" authorId="0" shapeId="0" xr:uid="{00000000-0006-0000-0200-00006B000000}">
      <text>
        <r>
          <rPr>
            <sz val="11"/>
            <color theme="1"/>
            <rFont val="Calibri"/>
            <family val="2"/>
            <scheme val="minor"/>
          </rPr>
          <t>Started being separately disclosed recently -- fill from the quarter it first appears; leave earlier quarters blank.</t>
        </r>
      </text>
    </comment>
    <comment ref="A66" authorId="0" shapeId="0" xr:uid="{00000000-0006-0000-0200-00006C000000}">
      <text>
        <r>
          <rPr>
            <sz val="11"/>
            <color theme="1"/>
            <rFont val="Calibri"/>
            <family val="2"/>
            <scheme val="minor"/>
          </rPr>
          <t>Started being separately disclosed recently -- fill from the quarter it first appears; leave earlier quarters blank.</t>
        </r>
      </text>
    </comment>
    <comment ref="A76" authorId="0" shapeId="0" xr:uid="{00000000-0006-0000-0200-00006D000000}">
      <text>
        <r>
          <rPr>
            <sz val="11"/>
            <color theme="1"/>
            <rFont val="Calibri"/>
            <family val="2"/>
            <scheme val="minor"/>
          </rPr>
          <t>Not consistently disclosed -- leave blank if unavailable</t>
        </r>
      </text>
    </comment>
    <comment ref="D89" authorId="0" shapeId="0" xr:uid="{00000000-0006-0000-0200-00006E000000}">
      <text>
        <r>
          <rPr>
            <sz val="11"/>
            <color theme="1"/>
            <rFont val="Calibri"/>
            <family val="2"/>
            <scheme val="minor"/>
          </rPr>
          <t>Source: 1Q24 deck (Jul-2023), 'Key Operational Metrics' combined table (Beauty/Fashion/Others), p53. Cross-checked against 1Q23/2Q23/3Q23/4Q23 decks' own-quarter disclosures.</t>
        </r>
      </text>
    </comment>
    <comment ref="L89" authorId="0" shapeId="0" xr:uid="{00000000-0006-0000-0200-00006F000000}">
      <text>
        <r>
          <rPr>
            <sz val="11"/>
            <color theme="1"/>
            <rFont val="Calibri"/>
            <family val="2"/>
            <scheme val="minor"/>
          </rPr>
          <t>Source: 1Q25 deck, comparative column 'Q1FY24' (Key Operational Metrics) (Fashion column).</t>
        </r>
      </text>
    </comment>
    <comment ref="M89" authorId="0" shapeId="0" xr:uid="{00000000-0006-0000-0200-000070000000}">
      <text>
        <r>
          <rPr>
            <sz val="11"/>
            <color theme="1"/>
            <rFont val="Calibri"/>
            <family val="2"/>
            <scheme val="minor"/>
          </rPr>
          <t>Derived: FY24 annual Fashion Visits (572mn, 4Q25 deck, 'FY24' annual column (Key Performance Metrics, p60)) minus Q1FY24 (126) + Q3FY24 (157) + Q4FY24 (144) disclosed quarters = 145mn. Q2FY24 itself is not separately disclosed in any deck available.</t>
        </r>
      </text>
    </comment>
    <comment ref="N89" authorId="0" shapeId="0" xr:uid="{00000000-0006-0000-0200-000071000000}">
      <text>
        <r>
          <rPr>
            <sz val="11"/>
            <color theme="1"/>
            <rFont val="Calibri"/>
            <family val="2"/>
            <scheme val="minor"/>
          </rPr>
          <t>Source: 3Q25 deck, comparative column 'Q3FY24' (Key Operational Metrics, p44) -- no MAUV row in this deck edition (Fashion column).</t>
        </r>
      </text>
    </comment>
    <comment ref="O89" authorId="0" shapeId="0" xr:uid="{00000000-0006-0000-0200-000072000000}">
      <text>
        <r>
          <rPr>
            <sz val="11"/>
            <color theme="1"/>
            <rFont val="Calibri"/>
            <family val="2"/>
            <scheme val="minor"/>
          </rPr>
          <t>Source: 4Q25 deck, comparative column 'Q4FY24' (Key Performance Metrics, p60) (Fashion column).</t>
        </r>
      </text>
    </comment>
    <comment ref="P89" authorId="0" shapeId="0" xr:uid="{00000000-0006-0000-0200-000073000000}">
      <text>
        <r>
          <rPr>
            <sz val="11"/>
            <color theme="1"/>
            <rFont val="Calibri"/>
            <family val="2"/>
            <scheme val="minor"/>
          </rPr>
          <t>Source: 1Q25 deck (own quarter, Key Operational Metrics) (Fashion column).</t>
        </r>
      </text>
    </comment>
    <comment ref="Q89" authorId="0" shapeId="0" xr:uid="{00000000-0006-0000-0200-000074000000}">
      <text>
        <r>
          <rPr>
            <sz val="11"/>
            <color theme="1"/>
            <rFont val="Calibri"/>
            <family val="2"/>
            <scheme val="minor"/>
          </rPr>
          <t>Source: 2Q26 deck, comparative column 'Q2FY25' (Key Performance Metrics, p57) (Fashion column).</t>
        </r>
      </text>
    </comment>
    <comment ref="R89" authorId="0" shapeId="0" xr:uid="{00000000-0006-0000-0200-000075000000}">
      <text>
        <r>
          <rPr>
            <sz val="11"/>
            <color theme="1"/>
            <rFont val="Calibri"/>
            <family val="2"/>
            <scheme val="minor"/>
          </rPr>
          <t>Source: 3Q25 deck (own quarter, Key Operational Metrics, p44); MAUV cross-confirmed via 3Q26 deck's comparative column (Fashion column).</t>
        </r>
      </text>
    </comment>
    <comment ref="S89" authorId="0" shapeId="0" xr:uid="{00000000-0006-0000-0200-000076000000}">
      <text>
        <r>
          <rPr>
            <sz val="11"/>
            <color theme="1"/>
            <rFont val="Calibri"/>
            <family val="2"/>
            <scheme val="minor"/>
          </rPr>
          <t>Source: 4Q25 deck (own quarter, Key Performance Metrics, p60) (Fashion column).</t>
        </r>
      </text>
    </comment>
    <comment ref="U89" authorId="0" shapeId="0" xr:uid="{00000000-0006-0000-0200-000077000000}">
      <text>
        <r>
          <rPr>
            <sz val="11"/>
            <color theme="1"/>
            <rFont val="Calibri"/>
            <family val="2"/>
            <scheme val="minor"/>
          </rPr>
          <t>Source: 2Q26 deck (own quarter, Key Performance Metrics, p57) (Fashion column).</t>
        </r>
      </text>
    </comment>
    <comment ref="V89" authorId="0" shapeId="0" xr:uid="{00000000-0006-0000-0200-000078000000}">
      <text>
        <r>
          <rPr>
            <sz val="11"/>
            <color theme="1"/>
            <rFont val="Calibri"/>
            <family val="2"/>
            <scheme val="minor"/>
          </rPr>
          <t>Source: 3Q26 deck (own quarter, Key Performance Metrics, p52) (Fashion column).</t>
        </r>
      </text>
    </comment>
    <comment ref="AJ89" authorId="0" shapeId="0" xr:uid="{00000000-0006-0000-0200-000079000000}">
      <text>
        <r>
          <rPr>
            <sz val="11"/>
            <color theme="1"/>
            <rFont val="Calibri"/>
            <family val="2"/>
            <scheme val="minor"/>
          </rPr>
          <t>OVERRIDE (was formula ==IF(COUNT(T88:W88)=0,"",SUM(T88:W88))): 4Q26 deck, 'FY26' annual column (Key Performance Metrics, p52) -- used directly since Q1FY26 &amp; Q4FY26 quarterly Visits aren't disclosed.</t>
        </r>
      </text>
    </comment>
    <comment ref="L90" authorId="0" shapeId="0" xr:uid="{00000000-0006-0000-0200-00007A000000}">
      <text>
        <r>
          <rPr>
            <sz val="11"/>
            <color theme="1"/>
            <rFont val="Calibri"/>
            <family val="2"/>
            <scheme val="minor"/>
          </rPr>
          <t>Source: 1Q25 deck, comparative column 'Q1FY24' (Key Operational Metrics) (Fashion column).</t>
        </r>
      </text>
    </comment>
    <comment ref="O90" authorId="0" shapeId="0" xr:uid="{00000000-0006-0000-0200-00007B000000}">
      <text>
        <r>
          <rPr>
            <sz val="11"/>
            <color theme="1"/>
            <rFont val="Calibri"/>
            <family val="2"/>
            <scheme val="minor"/>
          </rPr>
          <t>Source: 4Q25 deck, comparative column 'Q4FY24' (Key Performance Metrics, p60) (Fashion column).</t>
        </r>
      </text>
    </comment>
    <comment ref="P90" authorId="0" shapeId="0" xr:uid="{00000000-0006-0000-0200-00007C000000}">
      <text>
        <r>
          <rPr>
            <sz val="11"/>
            <color theme="1"/>
            <rFont val="Calibri"/>
            <family val="2"/>
            <scheme val="minor"/>
          </rPr>
          <t>Source: 1Q25 deck (own quarter, Key Operational Metrics) (Fashion column).</t>
        </r>
      </text>
    </comment>
    <comment ref="Q90" authorId="0" shapeId="0" xr:uid="{00000000-0006-0000-0200-00007D000000}">
      <text>
        <r>
          <rPr>
            <sz val="11"/>
            <color theme="1"/>
            <rFont val="Calibri"/>
            <family val="2"/>
            <scheme val="minor"/>
          </rPr>
          <t>Source: 2Q26 deck, comparative column 'Q2FY25' (Key Performance Metrics, p57) (Fashion column).</t>
        </r>
      </text>
    </comment>
    <comment ref="R90" authorId="0" shapeId="0" xr:uid="{00000000-0006-0000-0200-00007E000000}">
      <text>
        <r>
          <rPr>
            <sz val="11"/>
            <color theme="1"/>
            <rFont val="Calibri"/>
            <family val="2"/>
            <scheme val="minor"/>
          </rPr>
          <t>Source: 3Q25 deck (own quarter, Key Operational Metrics, p44); MAUV cross-confirmed via 3Q26 deck's comparative column (Fashion column).</t>
        </r>
      </text>
    </comment>
    <comment ref="S90" authorId="0" shapeId="0" xr:uid="{00000000-0006-0000-0200-00007F000000}">
      <text>
        <r>
          <rPr>
            <sz val="11"/>
            <color theme="1"/>
            <rFont val="Calibri"/>
            <family val="2"/>
            <scheme val="minor"/>
          </rPr>
          <t>Source: 4Q25 deck (own quarter, Key Performance Metrics, p60) (Fashion column).</t>
        </r>
      </text>
    </comment>
    <comment ref="U90" authorId="0" shapeId="0" xr:uid="{00000000-0006-0000-0200-000080000000}">
      <text>
        <r>
          <rPr>
            <sz val="11"/>
            <color theme="1"/>
            <rFont val="Calibri"/>
            <family val="2"/>
            <scheme val="minor"/>
          </rPr>
          <t>Source: 2Q26 deck (own quarter, Key Performance Metrics, p57) (Fashion column).</t>
        </r>
      </text>
    </comment>
    <comment ref="V90" authorId="0" shapeId="0" xr:uid="{00000000-0006-0000-0200-000081000000}">
      <text>
        <r>
          <rPr>
            <sz val="11"/>
            <color theme="1"/>
            <rFont val="Calibri"/>
            <family val="2"/>
            <scheme val="minor"/>
          </rPr>
          <t>Source: 3Q26 deck (own quarter, Key Performance Metrics, p52) (Fashion column).</t>
        </r>
      </text>
    </comment>
    <comment ref="AH90" authorId="0" shapeId="0" xr:uid="{00000000-0006-0000-0200-000082000000}">
      <text>
        <r>
          <rPr>
            <sz val="11"/>
            <color theme="1"/>
            <rFont val="Calibri"/>
            <family val="2"/>
            <scheme val="minor"/>
          </rPr>
          <t>OVERRIDE (was formula ==IFERROR(AVERAGE(L89:O89),"")): 4Q25 deck, 'FY24' annual column (Key Performance Metrics, p60) -- used directly since no Fashion MAUV is disclosed for any FY24 quarter.</t>
        </r>
      </text>
    </comment>
    <comment ref="AJ90" authorId="0" shapeId="0" xr:uid="{00000000-0006-0000-0200-000083000000}">
      <text>
        <r>
          <rPr>
            <sz val="11"/>
            <color theme="1"/>
            <rFont val="Calibri"/>
            <family val="2"/>
            <scheme val="minor"/>
          </rPr>
          <t>OVERRIDE (was formula ==IFERROR(AVERAGE(T89:W89),"")): 4Q26 deck, 'FY26' annual column (Key Performance Metrics, p52) -- used directly since Q1FY26 &amp; Q4FY26 quarterly MAUV aren't disclosed.</t>
        </r>
      </text>
    </comment>
    <comment ref="L93" authorId="0" shapeId="0" xr:uid="{00000000-0006-0000-0200-000084000000}">
      <text>
        <r>
          <rPr>
            <sz val="11"/>
            <color theme="1"/>
            <rFont val="Calibri"/>
            <family val="2"/>
            <scheme val="minor"/>
          </rPr>
          <t>Source: 1Q25 deck, comparative column 'Q1FY24' (Key Operational Metrics) (Fashion column). Deck-disclosed AOV for cross-check: Rs 4058.</t>
        </r>
      </text>
    </comment>
    <comment ref="N93" authorId="0" shapeId="0" xr:uid="{00000000-0006-0000-0200-000085000000}">
      <text>
        <r>
          <rPr>
            <sz val="11"/>
            <color theme="1"/>
            <rFont val="Calibri"/>
            <family val="2"/>
            <scheme val="minor"/>
          </rPr>
          <t>Source: 3Q25 deck, comparative column 'Q3FY24' (Key Operational Metrics, p44) -- no MAUV row in this deck edition (Fashion column). Deck-disclosed AOV for cross-check: Rs 4681.</t>
        </r>
      </text>
    </comment>
    <comment ref="O93" authorId="0" shapeId="0" xr:uid="{00000000-0006-0000-0200-000086000000}">
      <text>
        <r>
          <rPr>
            <sz val="11"/>
            <color theme="1"/>
            <rFont val="Calibri"/>
            <family val="2"/>
            <scheme val="minor"/>
          </rPr>
          <t>Source: 4Q25 deck, comparative column 'Q4FY24' (Key Performance Metrics, p60) (Fashion column). Deck-disclosed AOV for cross-check: Rs 4546.</t>
        </r>
      </text>
    </comment>
    <comment ref="P93" authorId="0" shapeId="0" xr:uid="{00000000-0006-0000-0200-000087000000}">
      <text>
        <r>
          <rPr>
            <sz val="11"/>
            <color theme="1"/>
            <rFont val="Calibri"/>
            <family val="2"/>
            <scheme val="minor"/>
          </rPr>
          <t>Source: 1Q25 deck (own quarter, Key Operational Metrics) (Fashion column). Deck-disclosed AOV for cross-check: Rs 4237.</t>
        </r>
      </text>
    </comment>
    <comment ref="Q93" authorId="0" shapeId="0" xr:uid="{00000000-0006-0000-0200-000088000000}">
      <text>
        <r>
          <rPr>
            <sz val="11"/>
            <color theme="1"/>
            <rFont val="Calibri"/>
            <family val="2"/>
            <scheme val="minor"/>
          </rPr>
          <t>Source: 2Q26 deck, comparative column 'Q2FY25' (Key Performance Metrics, p57) (Fashion column). Deck-disclosed AOV for cross-check: Rs 4464.</t>
        </r>
      </text>
    </comment>
    <comment ref="R93" authorId="0" shapeId="0" xr:uid="{00000000-0006-0000-0200-000089000000}">
      <text>
        <r>
          <rPr>
            <sz val="11"/>
            <color theme="1"/>
            <rFont val="Calibri"/>
            <family val="2"/>
            <scheme val="minor"/>
          </rPr>
          <t>Source: 3Q25 deck (own quarter, Key Operational Metrics, p44); MAUV cross-confirmed via 3Q26 deck's comparative column (Fashion column). Deck-disclosed AOV for cross-check: Rs 4901.</t>
        </r>
      </text>
    </comment>
    <comment ref="S93" authorId="0" shapeId="0" xr:uid="{00000000-0006-0000-0200-00008A000000}">
      <text>
        <r>
          <rPr>
            <sz val="11"/>
            <color theme="1"/>
            <rFont val="Calibri"/>
            <family val="2"/>
            <scheme val="minor"/>
          </rPr>
          <t>Source: 4Q25 deck (own quarter, Key Performance Metrics, p60) (Fashion column). Deck-disclosed AOV for cross-check: Rs 4738.</t>
        </r>
      </text>
    </comment>
    <comment ref="U93" authorId="0" shapeId="0" xr:uid="{00000000-0006-0000-0200-00008B000000}">
      <text>
        <r>
          <rPr>
            <sz val="11"/>
            <color theme="1"/>
            <rFont val="Calibri"/>
            <family val="2"/>
            <scheme val="minor"/>
          </rPr>
          <t>Source: 2Q26 deck (own quarter, Key Performance Metrics, p57) (Fashion column). Deck-disclosed AOV for cross-check: Rs 4651.</t>
        </r>
      </text>
    </comment>
    <comment ref="V93" authorId="0" shapeId="0" xr:uid="{00000000-0006-0000-0200-00008C000000}">
      <text>
        <r>
          <rPr>
            <sz val="11"/>
            <color theme="1"/>
            <rFont val="Calibri"/>
            <family val="2"/>
            <scheme val="minor"/>
          </rPr>
          <t>Source: 3Q26 deck (own quarter, Key Performance Metrics, p52) (Fashion column). Deck-disclosed AOV for cross-check: Rs 4794.</t>
        </r>
      </text>
    </comment>
    <comment ref="W93" authorId="0" shapeId="0" xr:uid="{00000000-0006-0000-0200-00008D000000}">
      <text>
        <r>
          <rPr>
            <sz val="11"/>
            <color theme="1"/>
            <rFont val="Calibri"/>
            <family val="2"/>
            <scheme val="minor"/>
          </rPr>
          <t>FY26 annual AUTC from 4Q26 deck (Key Performance Metrics, p52) used directly as the Q4FY26 value, since AUTC is itself a trailing-12-month figure (FY value = Q4 value -- confirmed identical at 4Q25: FY25 AUTC == Q4FY25 AUTC exactly).</t>
        </r>
      </text>
    </comment>
    <comment ref="L95" authorId="0" shapeId="0" xr:uid="{00000000-0006-0000-0200-00008E000000}">
      <text>
        <r>
          <rPr>
            <sz val="11"/>
            <color theme="1"/>
            <rFont val="Calibri"/>
            <family val="2"/>
            <scheme val="minor"/>
          </rPr>
          <t>Source: 1Q25 deck, comparative column 'Q1FY24' (Key Operational Metrics) (Fashion column).</t>
        </r>
      </text>
    </comment>
    <comment ref="M95" authorId="0" shapeId="0" xr:uid="{00000000-0006-0000-0200-00008F000000}">
      <text>
        <r>
          <rPr>
            <sz val="11"/>
            <color theme="1"/>
            <rFont val="Calibri"/>
            <family val="2"/>
            <scheme val="minor"/>
          </rPr>
          <t>Derived: FY24 annual Fashion Orders (7.0mn, 4Q25 deck, 'FY24' annual column (Key Performance Metrics, p60)) minus Q1FY24 (1.5) + Q3FY24 (2.1) + Q4FY24 (1.8) disclosed quarters = 1.6mn. Q2FY24 itself is not separately disclosed in any deck available.</t>
        </r>
      </text>
    </comment>
    <comment ref="N95" authorId="0" shapeId="0" xr:uid="{00000000-0006-0000-0200-000090000000}">
      <text>
        <r>
          <rPr>
            <sz val="11"/>
            <color theme="1"/>
            <rFont val="Calibri"/>
            <family val="2"/>
            <scheme val="minor"/>
          </rPr>
          <t>Source: 3Q25 deck, comparative column 'Q3FY24' (Key Operational Metrics, p44) -- no MAUV row in this deck edition (Fashion column).</t>
        </r>
      </text>
    </comment>
    <comment ref="O95" authorId="0" shapeId="0" xr:uid="{00000000-0006-0000-0200-000091000000}">
      <text>
        <r>
          <rPr>
            <sz val="11"/>
            <color theme="1"/>
            <rFont val="Calibri"/>
            <family val="2"/>
            <scheme val="minor"/>
          </rPr>
          <t>Source: 4Q25 deck, comparative column 'Q4FY24' (Key Performance Metrics, p60) (Fashion column).</t>
        </r>
      </text>
    </comment>
    <comment ref="P95" authorId="0" shapeId="0" xr:uid="{00000000-0006-0000-0200-000092000000}">
      <text>
        <r>
          <rPr>
            <sz val="11"/>
            <color theme="1"/>
            <rFont val="Calibri"/>
            <family val="2"/>
            <scheme val="minor"/>
          </rPr>
          <t>Source: 1Q25 deck (own quarter, Key Operational Metrics) (Fashion column).</t>
        </r>
      </text>
    </comment>
    <comment ref="Q95" authorId="0" shapeId="0" xr:uid="{00000000-0006-0000-0200-000093000000}">
      <text>
        <r>
          <rPr>
            <sz val="11"/>
            <color theme="1"/>
            <rFont val="Calibri"/>
            <family val="2"/>
            <scheme val="minor"/>
          </rPr>
          <t>Source: 2Q26 deck, comparative column 'Q2FY25' (Key Performance Metrics, p57) (Fashion column).</t>
        </r>
      </text>
    </comment>
    <comment ref="R95" authorId="0" shapeId="0" xr:uid="{00000000-0006-0000-0200-000094000000}">
      <text>
        <r>
          <rPr>
            <sz val="11"/>
            <color theme="1"/>
            <rFont val="Calibri"/>
            <family val="2"/>
            <scheme val="minor"/>
          </rPr>
          <t>Source: 3Q25 deck (own quarter, Key Operational Metrics, p44); MAUV cross-confirmed via 3Q26 deck's comparative column (Fashion column).</t>
        </r>
      </text>
    </comment>
    <comment ref="S95" authorId="0" shapeId="0" xr:uid="{00000000-0006-0000-0200-000095000000}">
      <text>
        <r>
          <rPr>
            <sz val="11"/>
            <color theme="1"/>
            <rFont val="Calibri"/>
            <family val="2"/>
            <scheme val="minor"/>
          </rPr>
          <t>Source: 4Q25 deck (own quarter, Key Performance Metrics, p60) (Fashion column).</t>
        </r>
      </text>
    </comment>
    <comment ref="U95" authorId="0" shapeId="0" xr:uid="{00000000-0006-0000-0200-000096000000}">
      <text>
        <r>
          <rPr>
            <sz val="11"/>
            <color theme="1"/>
            <rFont val="Calibri"/>
            <family val="2"/>
            <scheme val="minor"/>
          </rPr>
          <t>Source: 2Q26 deck (own quarter, Key Performance Metrics, p57) (Fashion column).</t>
        </r>
      </text>
    </comment>
    <comment ref="V95" authorId="0" shapeId="0" xr:uid="{00000000-0006-0000-0200-000097000000}">
      <text>
        <r>
          <rPr>
            <sz val="11"/>
            <color theme="1"/>
            <rFont val="Calibri"/>
            <family val="2"/>
            <scheme val="minor"/>
          </rPr>
          <t>Source: 3Q26 deck (own quarter, Key Performance Metrics, p52) (Fashion column).</t>
        </r>
      </text>
    </comment>
    <comment ref="AJ95" authorId="0" shapeId="0" xr:uid="{00000000-0006-0000-0200-000098000000}">
      <text>
        <r>
          <rPr>
            <sz val="11"/>
            <color theme="1"/>
            <rFont val="Calibri"/>
            <family val="2"/>
            <scheme val="minor"/>
          </rPr>
          <t>OVERRIDE (was formula ==IF(COUNT(T94:W94)=0,"",SUM(T94:W94))): 4Q26 deck, 'FY26' annual column (Key Performance Metrics, p52) -- used directly since Q1FY26 &amp; Q4FY26 quarterly Orders aren't disclosed (SUM of just Q2+Q3 would be 5.4mn, materially understated).</t>
        </r>
      </text>
    </comment>
    <comment ref="L108" authorId="0" shapeId="0" xr:uid="{00000000-0006-0000-0200-000099000000}">
      <text>
        <r>
          <rPr>
            <sz val="11"/>
            <color theme="1"/>
            <rFont val="Calibri"/>
            <family val="2"/>
            <scheme val="minor"/>
          </rPr>
          <t>Source: 1Q25 deck, comparative column 'Q1FY24' (Fashion column, mn), converted to Rs mn</t>
        </r>
      </text>
    </comment>
    <comment ref="N108" authorId="0" shapeId="0" xr:uid="{00000000-0006-0000-0200-00009A000000}">
      <text>
        <r>
          <rPr>
            <sz val="11"/>
            <color theme="1"/>
            <rFont val="Calibri"/>
            <family val="2"/>
            <scheme val="minor"/>
          </rPr>
          <t>Source: 3Q25 deck, comparative column 'Q3FY24' (Fashion column, mn), converted to Rs mn</t>
        </r>
      </text>
    </comment>
    <comment ref="O108" authorId="0" shapeId="0" xr:uid="{00000000-0006-0000-0200-00009B000000}">
      <text>
        <r>
          <rPr>
            <sz val="11"/>
            <color theme="1"/>
            <rFont val="Calibri"/>
            <family val="2"/>
            <scheme val="minor"/>
          </rPr>
          <t>Source: 4Q25 deck, comparative column 'Q4FY24' (Fashion column, cr), converted to Rs mn</t>
        </r>
      </text>
    </comment>
    <comment ref="Q108" authorId="0" shapeId="0" xr:uid="{00000000-0006-0000-0200-00009C000000}">
      <text>
        <r>
          <rPr>
            <sz val="11"/>
            <color theme="1"/>
            <rFont val="Calibri"/>
            <family val="2"/>
            <scheme val="minor"/>
          </rPr>
          <t>Source: 3Q25 deck, comparative column 'Q2FY25' (Fashion column, mn), converted to Rs mn</t>
        </r>
      </text>
    </comment>
    <comment ref="T108" authorId="0" shapeId="0" xr:uid="{00000000-0006-0000-0200-00009D000000}">
      <text>
        <r>
          <rPr>
            <sz val="11"/>
            <color theme="1"/>
            <rFont val="Calibri"/>
            <family val="2"/>
            <scheme val="minor"/>
          </rPr>
          <t>Source: 2Q26 deck, comparative column 'Q1FY26' (Fashion column, cr) -- Marketing &amp; S&amp;D combined by Nykaa from this quarter; entered whole into Marketing row.</t>
        </r>
      </text>
    </comment>
    <comment ref="U108" authorId="0" shapeId="0" xr:uid="{00000000-0006-0000-0200-00009E000000}">
      <text>
        <r>
          <rPr>
            <sz val="11"/>
            <color theme="1"/>
            <rFont val="Calibri"/>
            <family val="2"/>
            <scheme val="minor"/>
          </rPr>
          <t>Source: 2Q26 deck (own quarter) (Fashion column, cr) -- Marketing &amp; S&amp;D combined by Nykaa from this quarter; entered whole into Marketing row.</t>
        </r>
      </text>
    </comment>
    <comment ref="V108" authorId="0" shapeId="0" xr:uid="{00000000-0006-0000-0200-00009F000000}">
      <text>
        <r>
          <rPr>
            <sz val="11"/>
            <color theme="1"/>
            <rFont val="Calibri"/>
            <family val="2"/>
            <scheme val="minor"/>
          </rPr>
          <t>Source: 4Q26 deck, comparative column 'Q3FY26' (Fashion column, cr) -- Marketing &amp; S&amp;D combined by Nykaa from this quarter; entered whole into Marketing row.</t>
        </r>
      </text>
    </comment>
    <comment ref="W108" authorId="0" shapeId="0" xr:uid="{00000000-0006-0000-0200-0000A0000000}">
      <text>
        <r>
          <rPr>
            <sz val="11"/>
            <color theme="1"/>
            <rFont val="Calibri"/>
            <family val="2"/>
            <scheme val="minor"/>
          </rPr>
          <t>Source: 4Q26 deck (own quarter) (Fashion column, cr) -- Marketing &amp; S&amp;D combined by Nykaa from this quarter; entered whole into Marketing row.</t>
        </r>
      </text>
    </comment>
    <comment ref="L109" authorId="0" shapeId="0" xr:uid="{00000000-0006-0000-0200-0000A1000000}">
      <text>
        <r>
          <rPr>
            <sz val="11"/>
            <color theme="1"/>
            <rFont val="Calibri"/>
            <family val="2"/>
            <scheme val="minor"/>
          </rPr>
          <t>Source: 1Q25 deck, comparative column 'Q1FY24' (Fashion column, mn), converted to Rs mn</t>
        </r>
      </text>
    </comment>
    <comment ref="N109" authorId="0" shapeId="0" xr:uid="{00000000-0006-0000-0200-0000A2000000}">
      <text>
        <r>
          <rPr>
            <sz val="11"/>
            <color theme="1"/>
            <rFont val="Calibri"/>
            <family val="2"/>
            <scheme val="minor"/>
          </rPr>
          <t>Source: 3Q25 deck, comparative column 'Q3FY24' (Fashion column, mn), converted to Rs mn</t>
        </r>
      </text>
    </comment>
    <comment ref="O109" authorId="0" shapeId="0" xr:uid="{00000000-0006-0000-0200-0000A3000000}">
      <text>
        <r>
          <rPr>
            <sz val="11"/>
            <color theme="1"/>
            <rFont val="Calibri"/>
            <family val="2"/>
            <scheme val="minor"/>
          </rPr>
          <t>Source: 4Q25 deck, comparative column 'Q4FY24' (Fashion column, cr), converted to Rs mn</t>
        </r>
      </text>
    </comment>
    <comment ref="Q109" authorId="0" shapeId="0" xr:uid="{00000000-0006-0000-0200-0000A4000000}">
      <text>
        <r>
          <rPr>
            <sz val="11"/>
            <color theme="1"/>
            <rFont val="Calibri"/>
            <family val="2"/>
            <scheme val="minor"/>
          </rPr>
          <t>Source: 3Q25 deck, comparative column 'Q2FY25' (Fashion column, mn), converted to Rs mn</t>
        </r>
      </text>
    </comment>
    <comment ref="T109" authorId="0" shapeId="0" xr:uid="{00000000-0006-0000-0200-0000A5000000}">
      <text>
        <r>
          <rPr>
            <sz val="11"/>
            <color theme="1"/>
            <rFont val="Calibri"/>
            <family val="2"/>
            <scheme val="minor"/>
          </rPr>
          <t>Set to 0: Nykaa combined Marketing &amp; S&amp;D into one line from Q1FY26 onward (see Marketing row above for the combined figure).</t>
        </r>
      </text>
    </comment>
    <comment ref="U109" authorId="0" shapeId="0" xr:uid="{00000000-0006-0000-0200-0000A6000000}">
      <text>
        <r>
          <rPr>
            <sz val="11"/>
            <color theme="1"/>
            <rFont val="Calibri"/>
            <family val="2"/>
            <scheme val="minor"/>
          </rPr>
          <t>Set to 0: Nykaa combined Marketing &amp; S&amp;D into one line from Q2FY26 onward (see Marketing row above for the combined figure).</t>
        </r>
      </text>
    </comment>
    <comment ref="V109" authorId="0" shapeId="0" xr:uid="{00000000-0006-0000-0200-0000A7000000}">
      <text>
        <r>
          <rPr>
            <sz val="11"/>
            <color theme="1"/>
            <rFont val="Calibri"/>
            <family val="2"/>
            <scheme val="minor"/>
          </rPr>
          <t>Set to 0: Nykaa combined Marketing &amp; S&amp;D into one line from Q3FY26 onward (see Marketing row above for the combined figure).</t>
        </r>
      </text>
    </comment>
    <comment ref="W109" authorId="0" shapeId="0" xr:uid="{00000000-0006-0000-0200-0000A8000000}">
      <text>
        <r>
          <rPr>
            <sz val="11"/>
            <color theme="1"/>
            <rFont val="Calibri"/>
            <family val="2"/>
            <scheme val="minor"/>
          </rPr>
          <t>Set to 0: Nykaa combined Marketing &amp; S&amp;D into one line from Q4FY26 onward (see Marketing row above for the combined figure).</t>
        </r>
      </text>
    </comment>
    <comment ref="L112" authorId="0" shapeId="0" xr:uid="{00000000-0006-0000-0200-0000A9000000}">
      <text>
        <r>
          <rPr>
            <sz val="11"/>
            <color theme="1"/>
            <rFont val="Calibri"/>
            <family val="2"/>
            <scheme val="minor"/>
          </rPr>
          <t>Source: 1Q25 deck, comparative column 'Q1FY24' (Fashion column, mn), converted to Rs mn</t>
        </r>
      </text>
    </comment>
    <comment ref="N112" authorId="0" shapeId="0" xr:uid="{00000000-0006-0000-0200-0000AA000000}">
      <text>
        <r>
          <rPr>
            <sz val="11"/>
            <color theme="1"/>
            <rFont val="Calibri"/>
            <family val="2"/>
            <scheme val="minor"/>
          </rPr>
          <t>Source: 3Q25 deck, comparative column 'Q3FY24' (Fashion column, mn), converted to Rs mn</t>
        </r>
      </text>
    </comment>
    <comment ref="O112" authorId="0" shapeId="0" xr:uid="{00000000-0006-0000-0200-0000AB000000}">
      <text>
        <r>
          <rPr>
            <sz val="11"/>
            <color theme="1"/>
            <rFont val="Calibri"/>
            <family val="2"/>
            <scheme val="minor"/>
          </rPr>
          <t>Source: 4Q25 deck, comparative column 'Q4FY24' (Fashion column, cr), converted to Rs mn</t>
        </r>
      </text>
    </comment>
    <comment ref="Q112" authorId="0" shapeId="0" xr:uid="{00000000-0006-0000-0200-0000AC000000}">
      <text>
        <r>
          <rPr>
            <sz val="11"/>
            <color theme="1"/>
            <rFont val="Calibri"/>
            <family val="2"/>
            <scheme val="minor"/>
          </rPr>
          <t>Source: 3Q25 deck, comparative column 'Q2FY25' (Fashion column, mn), converted to Rs mn</t>
        </r>
      </text>
    </comment>
    <comment ref="T112" authorId="0" shapeId="0" xr:uid="{00000000-0006-0000-0200-0000AD000000}">
      <text>
        <r>
          <rPr>
            <sz val="11"/>
            <color theme="1"/>
            <rFont val="Calibri"/>
            <family val="2"/>
            <scheme val="minor"/>
          </rPr>
          <t>Source: 2Q26 deck, comparative column 'Q1FY26' (Fashion column, cr), converted to Rs mn</t>
        </r>
      </text>
    </comment>
    <comment ref="V112" authorId="0" shapeId="0" xr:uid="{00000000-0006-0000-0200-0000AE000000}">
      <text>
        <r>
          <rPr>
            <sz val="11"/>
            <color theme="1"/>
            <rFont val="Calibri"/>
            <family val="2"/>
            <scheme val="minor"/>
          </rPr>
          <t>Source: 4Q26 deck, comparative column 'Q3FY26' (Fashion column, cr), converted to Rs mn</t>
        </r>
      </text>
    </comment>
    <comment ref="A123" authorId="0" shapeId="0" xr:uid="{00000000-0006-0000-0200-0000AF000000}">
      <text>
        <r>
          <rPr>
            <sz val="11"/>
            <color theme="1"/>
            <rFont val="Calibri"/>
            <family val="2"/>
            <scheme val="minor"/>
          </rPr>
          <t>Rarely disclosed standalone -- leave blank if unavailable</t>
        </r>
      </text>
    </comment>
    <comment ref="A124" authorId="0" shapeId="0" xr:uid="{00000000-0006-0000-0200-0000B0000000}">
      <text>
        <r>
          <rPr>
            <sz val="11"/>
            <color theme="1"/>
            <rFont val="Calibri"/>
            <family val="2"/>
            <scheme val="minor"/>
          </rPr>
          <t>Rarely disclosed standalone -- leave blank if unavailable</t>
        </r>
      </text>
    </comment>
    <comment ref="A125" authorId="0" shapeId="0" xr:uid="{00000000-0006-0000-0200-0000B1000000}">
      <text>
        <r>
          <rPr>
            <sz val="11"/>
            <color theme="1"/>
            <rFont val="Calibri"/>
            <family val="2"/>
            <scheme val="minor"/>
          </rPr>
          <t>Rarely disclosed standalone -- leave blank if unavailable</t>
        </r>
      </text>
    </comment>
    <comment ref="O148" authorId="0" shapeId="0" xr:uid="{00000000-0006-0000-0200-0000B2000000}">
      <text>
        <r>
          <rPr>
            <sz val="11"/>
            <color theme="1"/>
            <rFont val="Calibri"/>
            <family val="2"/>
            <scheme val="minor"/>
          </rPr>
          <t>As first reported in the 4Q24 deck (own quarter): 1,788. Later decks (from 4Q25 onward) restate this same quarter to 1,898 as their YoY comparator, once 'Beauty' was redefined to include SuperStore. Both are shown here as the figure Nykaa disclosed at the time (1,788); the restated 1,898 is the more scope-consistent comparator to today's 'Beauty incl. SuperStore' numbers. This is the visible seam where the AOV series changes scope -- see the note above the section.</t>
        </r>
      </text>
    </comment>
    <comment ref="Q148" authorId="0" shapeId="0" xr:uid="{00000000-0006-0000-0200-0000B3000000}">
      <text>
        <r>
          <rPr>
            <sz val="11"/>
            <color theme="1"/>
            <rFont val="Calibri"/>
            <family val="2"/>
            <scheme val="minor"/>
          </rPr>
          <t>2Q25 deck itself did not publish a numeric Key Operational/Performance Metrics table for this quarter (only unlabelled bar charts). Sourced instead from the 2Q26 deck's Q2FY25 YoY-comparator column.</t>
        </r>
      </text>
    </comment>
    <comment ref="W148" authorId="0" shapeId="0" xr:uid="{00000000-0006-0000-0200-0000B4000000}">
      <text>
        <r>
          <rPr>
            <sz val="11"/>
            <color theme="1"/>
            <rFont val="Calibri"/>
            <family val="2"/>
            <scheme val="minor"/>
          </rPr>
          <t>Q4FY26 AOV was not disclosed at the quarterly grain in the 4Q26 deck -- only the FY26 full-year figure (2,068) appears. Left blank rather than backed into, to avoid implying a precision the source doesn't support.</t>
        </r>
      </text>
    </comment>
    <comment ref="Q153" authorId="0" shapeId="0" xr:uid="{00000000-0006-0000-0200-0000B5000000}">
      <text>
        <r>
          <rPr>
            <sz val="11"/>
            <color theme="1"/>
            <rFont val="Calibri"/>
            <family val="2"/>
            <scheme val="minor"/>
          </rPr>
          <t>2Q25 deck itself did not publish a numeric Key Operational/Performance Metrics table for this quarter (only unlabelled bar charts). Sourced instead from the 2Q26 deck's Q2FY25 YoY-comparator column.</t>
        </r>
      </text>
    </comment>
    <comment ref="W153" authorId="0" shapeId="0" xr:uid="{00000000-0006-0000-0200-0000B6000000}">
      <text>
        <r>
          <rPr>
            <sz val="11"/>
            <color theme="1"/>
            <rFont val="Calibri"/>
            <family val="2"/>
            <scheme val="minor"/>
          </rPr>
          <t>Q4FY26 AOV was not disclosed at the quarterly grain in the 4Q26 deck -- only the FY26 full-year figure (4,652) appears. Left blank rather than backed into, to avoid implying a precision the source doesn't support.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1" authorId="0" shapeId="0" xr:uid="{00000000-0006-0000-0300-000001000000}">
      <text>
        <r>
          <rPr>
            <sz val="11"/>
            <color theme="1"/>
            <rFont val="Calibri"/>
            <family val="2"/>
            <scheme val="minor"/>
          </rPr>
          <t>Combined COGS assumption from Projections sits here for FY27E-30E (Purchase of traded goods / Changes in inventories below are left at 0 for those years) -- split further if you build separate assumptions.</t>
        </r>
      </text>
    </comment>
    <comment ref="AK57" authorId="0" shapeId="0" xr:uid="{00000000-0006-0000-0300-000002000000}">
      <text>
        <r>
          <rPr>
            <sz val="11"/>
            <color theme="1"/>
            <rFont val="Calibri"/>
            <family val="2"/>
            <scheme val="minor"/>
          </rPr>
          <t>= Projections sheet's combined Cash plug minus Bank balance other than cash (held flat, row above) -- keeps 'Cash and cash equivalents' on the same narrow definition Nykaa itself uses in its Cash Flow Statement (row 180 in Raw Data - financials reconciles to this line alone, not the combined figure), so the Cash Flow section below ties out with no artificial jump at the FY26/FY27E boundary.</t>
        </r>
      </text>
    </comment>
    <comment ref="AL57" authorId="0" shapeId="0" xr:uid="{00000000-0006-0000-0300-000003000000}">
      <text>
        <r>
          <rPr>
            <sz val="11"/>
            <color theme="1"/>
            <rFont val="Calibri"/>
            <family val="2"/>
            <scheme val="minor"/>
          </rPr>
          <t>= Projections sheet's combined Cash plug minus Bank balance other than cash (held flat, row above) -- keeps 'Cash and cash equivalents' on the same narrow definition Nykaa itself uses in its Cash Flow Statement (row 180 in Raw Data - financials reconciles to this line alone, not the combined figure), so the Cash Flow section below ties out with no artificial jump at the FY26/FY27E boundary.</t>
        </r>
      </text>
    </comment>
    <comment ref="AM57" authorId="0" shapeId="0" xr:uid="{00000000-0006-0000-0300-000004000000}">
      <text>
        <r>
          <rPr>
            <sz val="11"/>
            <color theme="1"/>
            <rFont val="Calibri"/>
            <family val="2"/>
            <scheme val="minor"/>
          </rPr>
          <t>= Projections sheet's combined Cash plug minus Bank balance other than cash (held flat, row above) -- keeps 'Cash and cash equivalents' on the same narrow definition Nykaa itself uses in its Cash Flow Statement (row 180 in Raw Data - financials reconciles to this line alone, not the combined figure), so the Cash Flow section below ties out with no artificial jump at the FY26/FY27E boundary.</t>
        </r>
      </text>
    </comment>
    <comment ref="AN57" authorId="0" shapeId="0" xr:uid="{00000000-0006-0000-0300-000005000000}">
      <text>
        <r>
          <rPr>
            <sz val="11"/>
            <color theme="1"/>
            <rFont val="Calibri"/>
            <family val="2"/>
            <scheme val="minor"/>
          </rPr>
          <t>= Projections sheet's combined Cash plug minus Bank balance other than cash (held flat, row above) -- keeps 'Cash and cash equivalents' on the same narrow definition Nykaa itself uses in its Cash Flow Statement (row 180 in Raw Data - financials reconciles to this line alone, not the combined figure), so the Cash Flow section below ties out with no artificial jump at the FY26/FY27E boundary.</t>
        </r>
      </text>
    </comment>
    <comment ref="A103" authorId="0" shapeId="0" xr:uid="{00000000-0006-0000-0300-000006000000}">
      <text>
        <r>
          <rPr>
            <sz val="11"/>
            <color theme="1"/>
            <rFont val="Calibri"/>
            <family val="2"/>
            <scheme val="minor"/>
          </rPr>
          <t>Combines FX gain/loss, share-based expense, gratuity, compensated absences, expected credit loss, liabilities written back, loss on sale of PP&amp;E, bad debts written off, gain on lease termination -- 0 for FY27E-30E (none separately modeled).</t>
        </r>
      </text>
    </comment>
    <comment ref="A105" authorId="0" shapeId="0" xr:uid="{00000000-0006-0000-0300-000007000000}">
      <text>
        <r>
          <rPr>
            <sz val="11"/>
            <color theme="1"/>
            <rFont val="Calibri"/>
            <family val="2"/>
            <scheme val="minor"/>
          </rPr>
          <t>Historical = sum of all working-capital line items in Raw Data - financials. Projected = derived from this sheet's own Balance Sheet: -(Δ Inventories) - (Δ Receivables) - (Δ Other assets, both NC &amp; C) + (Δ Trade payables) + (Δ Other liabilities, both NC &amp; C).</t>
        </r>
      </text>
    </comment>
    <comment ref="A107" authorId="0" shapeId="0" xr:uid="{00000000-0006-0000-0300-000008000000}">
      <text>
        <r>
          <rPr>
            <sz val="11"/>
            <color theme="1"/>
            <rFont val="Calibri"/>
            <family val="2"/>
            <scheme val="minor"/>
          </rPr>
          <t>Projected = Total Tax Expense from the P&amp;L above (assumes cash tax paid equals accrued tax expense, i.e. no deferred-tax timing difference modeled).</t>
        </r>
      </text>
    </comment>
    <comment ref="A111" authorId="0" shapeId="0" xr:uid="{00000000-0006-0000-0300-000009000000}">
      <text>
        <r>
          <rPr>
            <sz val="11"/>
            <color theme="1"/>
            <rFont val="Calibri"/>
            <family val="2"/>
            <scheme val="minor"/>
          </rPr>
          <t>Projected = -(Capex), backed out from the Balance Sheet's Fixed assets roll-forward: -(this year Fixed assets - prior year Fixed assets + D&amp;A).</t>
        </r>
      </text>
    </comment>
    <comment ref="A113" authorId="0" shapeId="0" xr:uid="{00000000-0006-0000-0300-00000A000000}">
      <text>
        <r>
          <rPr>
            <sz val="11"/>
            <color theme="1"/>
            <rFont val="Calibri"/>
            <family val="2"/>
            <scheme val="minor"/>
          </rPr>
          <t>Combines sale of mutual funds, fixed deposits, bank deposits, and proceeds/purchase of investments (Raw Data rows 150,152,153,154). Projected = -(Δ Investments) = 0, since Investments are held flat on the Balance Sheet.</t>
        </r>
      </text>
    </comment>
    <comment ref="A114" authorId="0" shapeId="0" xr:uid="{00000000-0006-0000-0300-00000B000000}">
      <text>
        <r>
          <rPr>
            <sz val="11"/>
            <color theme="1"/>
            <rFont val="Calibri"/>
            <family val="2"/>
            <scheme val="minor"/>
          </rPr>
          <t>Combines rows 151, 155, 156. 0 for projected (not modeled).</t>
        </r>
      </text>
    </comment>
    <comment ref="A115" authorId="0" shapeId="0" xr:uid="{00000000-0006-0000-0300-00000C000000}">
      <text>
        <r>
          <rPr>
            <sz val="11"/>
            <color theme="1"/>
            <rFont val="Calibri"/>
            <family val="2"/>
            <scheme val="minor"/>
          </rPr>
          <t>Projected = Other income from the P&amp;L above (simplifying assumption: all Other income is cash interest received in the same period).</t>
        </r>
      </text>
    </comment>
    <comment ref="A119" authorId="0" shapeId="0" xr:uid="{00000000-0006-0000-0300-00000D000000}">
      <text>
        <r>
          <rPr>
            <sz val="11"/>
            <color theme="1"/>
            <rFont val="Calibri"/>
            <family val="2"/>
            <scheme val="minor"/>
          </rPr>
          <t>Combines rows 161-164, 166, 167. Projected = Δ Equity share capital = 0 (held flat on the Balance Sheet).</t>
        </r>
      </text>
    </comment>
    <comment ref="A120" authorId="0" shapeId="0" xr:uid="{00000000-0006-0000-0300-00000E000000}">
      <text>
        <r>
          <rPr>
            <sz val="11"/>
            <color theme="1"/>
            <rFont val="Calibri"/>
            <family val="2"/>
            <scheme val="minor"/>
          </rPr>
          <t>Combines non-current + current borrowings (rows 168,169,170,171). Projected = Δ Borrowings = 0 (held flat on the Balance Sheet).</t>
        </r>
      </text>
    </comment>
    <comment ref="A121" authorId="0" shapeId="0" xr:uid="{00000000-0006-0000-0300-00000F000000}">
      <text>
        <r>
          <rPr>
            <sz val="11"/>
            <color theme="1"/>
            <rFont val="Calibri"/>
            <family val="2"/>
            <scheme val="minor"/>
          </rPr>
          <t>Historical = Principal payment of lease liabilities (row 173) as reported. Projected = Δ Lease liabilities from the Balance Sheet (which is modeled as % of Revenue and typically grows) -- so for FY27E-30E this line reflects net new leases added, not strictly a 'repayment', since new lease signings aren't modeled separately from repayments.</t>
        </r>
      </text>
    </comment>
    <comment ref="A122" authorId="0" shapeId="0" xr:uid="{00000000-0006-0000-0300-000010000000}">
      <text>
        <r>
          <rPr>
            <sz val="11"/>
            <color theme="1"/>
            <rFont val="Calibri"/>
            <family val="2"/>
            <scheme val="minor"/>
          </rPr>
          <t>Combines interest paid on borrowings and on lease liabilities (rows 172, 174). Projected = -(Finance costs) from the P&amp;L above.</t>
        </r>
      </text>
    </comment>
  </commentList>
</comments>
</file>

<file path=xl/sharedStrings.xml><?xml version="1.0" encoding="utf-8"?>
<sst xmlns="http://schemas.openxmlformats.org/spreadsheetml/2006/main" count="1731" uniqueCount="480">
  <si>
    <t>INR Mn</t>
  </si>
  <si>
    <t>Unit</t>
  </si>
  <si>
    <t>Source</t>
  </si>
  <si>
    <t>1Q22</t>
  </si>
  <si>
    <t>2Q22</t>
  </si>
  <si>
    <t>3Q22</t>
  </si>
  <si>
    <t>4Q22</t>
  </si>
  <si>
    <t>1Q23</t>
  </si>
  <si>
    <t>2Q23</t>
  </si>
  <si>
    <t>3Q23</t>
  </si>
  <si>
    <t>4Q23</t>
  </si>
  <si>
    <t>1Q24</t>
  </si>
  <si>
    <t>2Q24</t>
  </si>
  <si>
    <t>3Q24</t>
  </si>
  <si>
    <t>4Q24</t>
  </si>
  <si>
    <t>1Q25</t>
  </si>
  <si>
    <t>2Q25</t>
  </si>
  <si>
    <t>3Q25</t>
  </si>
  <si>
    <t>4Q25</t>
  </si>
  <si>
    <t>1Q26</t>
  </si>
  <si>
    <t>2Q26</t>
  </si>
  <si>
    <t>3Q26</t>
  </si>
  <si>
    <t>4Q26</t>
  </si>
  <si>
    <t>1Q27</t>
  </si>
  <si>
    <t>2Q27</t>
  </si>
  <si>
    <t>3Q27</t>
  </si>
  <si>
    <t>4Q27</t>
  </si>
  <si>
    <t>FY19</t>
  </si>
  <si>
    <t>FY20</t>
  </si>
  <si>
    <t>FY21</t>
  </si>
  <si>
    <t>FY22</t>
  </si>
  <si>
    <t>FY23</t>
  </si>
  <si>
    <t>FY24</t>
  </si>
  <si>
    <t>FY25</t>
  </si>
  <si>
    <t>FY26</t>
  </si>
  <si>
    <t>Fiscal Year End</t>
  </si>
  <si>
    <t>All figures in INR Mn unless stated otherwise.</t>
  </si>
  <si>
    <t>PROFIT &amp; LOSS (CONSOLIDATED)</t>
  </si>
  <si>
    <t>Revenue from operations</t>
  </si>
  <si>
    <t>Company filings</t>
  </si>
  <si>
    <t>Other income</t>
  </si>
  <si>
    <t>Total Income</t>
  </si>
  <si>
    <t>Expenses</t>
  </si>
  <si>
    <t>Cost of material consumed</t>
  </si>
  <si>
    <t>Purchase of traded goods</t>
  </si>
  <si>
    <t>Changes in inventories of finished goods and stock-in-trade</t>
  </si>
  <si>
    <t>Employee benefits expense</t>
  </si>
  <si>
    <t>Finance costs</t>
  </si>
  <si>
    <t>Depreciation and amortisation expense</t>
  </si>
  <si>
    <t>Other expenses</t>
  </si>
  <si>
    <t>Total Expenses</t>
  </si>
  <si>
    <t>Profit Before Exceptional Items and Tax</t>
  </si>
  <si>
    <t>Exceptional items, net</t>
  </si>
  <si>
    <t>Profit Before Tax</t>
  </si>
  <si>
    <t>Tax expense</t>
  </si>
  <si>
    <t>Current tax</t>
  </si>
  <si>
    <t>Current tax pertaining to earlier years</t>
  </si>
  <si>
    <t>Deferred tax expense/(credit)</t>
  </si>
  <si>
    <t>Deferred tax credit for unrecognised business loss (earlier years)</t>
  </si>
  <si>
    <t>Total Tax Expense/(Income)</t>
  </si>
  <si>
    <t>Net Profit After Tax</t>
  </si>
  <si>
    <t>Share in profit/(loss) of associate</t>
  </si>
  <si>
    <t>Net Profit/(Loss) for the Period</t>
  </si>
  <si>
    <t>Attributable to:</t>
  </si>
  <si>
    <t>Equity shareholders of parent</t>
  </si>
  <si>
    <t>Non-controlling interests</t>
  </si>
  <si>
    <t>Total Other Comprehensive Income/(Loss), net of tax</t>
  </si>
  <si>
    <t>Total Comprehensive Income/(Loss)</t>
  </si>
  <si>
    <t>Basic EPS</t>
  </si>
  <si>
    <t>INR</t>
  </si>
  <si>
    <t>Diluted EPS</t>
  </si>
  <si>
    <t>Note: FY19-FY21 EPS computed on face value of Rs 10/share (Restated Ind AS statements, RHP); face value changed to Re 1/share from FY22 following share sub-division. Not directly comparable across the break.</t>
  </si>
  <si>
    <t>BALANCE SHEET (CONSOLIDATED)</t>
  </si>
  <si>
    <t>ASSETS</t>
  </si>
  <si>
    <t>Non-current assets</t>
  </si>
  <si>
    <t>Property, plant and equipment</t>
  </si>
  <si>
    <t>Capital work-in-progress</t>
  </si>
  <si>
    <t>Goodwill</t>
  </si>
  <si>
    <t>Other intangible assets</t>
  </si>
  <si>
    <t>Right of use assets</t>
  </si>
  <si>
    <t>Intangible assets under development</t>
  </si>
  <si>
    <t>Investments accounted for using equity method</t>
  </si>
  <si>
    <t>Financial assets - Investments</t>
  </si>
  <si>
    <t>Financial assets - Loans</t>
  </si>
  <si>
    <t>Financial assets - Other financial assets</t>
  </si>
  <si>
    <t>Deferred tax assets (net)</t>
  </si>
  <si>
    <t>Non-current tax assets (net)</t>
  </si>
  <si>
    <t>Other non-current assets</t>
  </si>
  <si>
    <t>Total Non-Current Assets</t>
  </si>
  <si>
    <t>Current assets</t>
  </si>
  <si>
    <t>Inventories</t>
  </si>
  <si>
    <t>Trade receivables</t>
  </si>
  <si>
    <t>Cash and cash equivalents</t>
  </si>
  <si>
    <t>Bank balance other than cash and cash equivalents</t>
  </si>
  <si>
    <t>Other financial assets (current)</t>
  </si>
  <si>
    <t>Other current assets</t>
  </si>
  <si>
    <t>Total Current Assets</t>
  </si>
  <si>
    <t>TOTAL ASSETS</t>
  </si>
  <si>
    <t>EQUITY AND LIABILITIES</t>
  </si>
  <si>
    <t>Equity</t>
  </si>
  <si>
    <t>Equity share capital</t>
  </si>
  <si>
    <t>Other equity</t>
  </si>
  <si>
    <t>Equity attributable to equity holders of the parent</t>
  </si>
  <si>
    <t>Non-controlling interest</t>
  </si>
  <si>
    <t>Total Equity</t>
  </si>
  <si>
    <t>Non-current liabilities</t>
  </si>
  <si>
    <t>Borrowings</t>
  </si>
  <si>
    <t>Lease liabilities</t>
  </si>
  <si>
    <t>Other financial liabilities</t>
  </si>
  <si>
    <t>Provisions</t>
  </si>
  <si>
    <t>Total Non-Current Liabilities</t>
  </si>
  <si>
    <t>Current liabilities</t>
  </si>
  <si>
    <t>Trade payables - micro &amp; small enterprises</t>
  </si>
  <si>
    <t>Trade payables - other creditors</t>
  </si>
  <si>
    <t>Contract liabilities</t>
  </si>
  <si>
    <t>Current tax liabilities (net)</t>
  </si>
  <si>
    <t>Other current liabilities</t>
  </si>
  <si>
    <t>Total Current Liabilities</t>
  </si>
  <si>
    <t>Total Liabilities</t>
  </si>
  <si>
    <t>TOTAL EQUITY AND LIABILITIES</t>
  </si>
  <si>
    <t>Check (Total Assets - Total Equity and Liabilities)</t>
  </si>
  <si>
    <t>CASH FLOW STATEMENT (CONSOLIDATED)</t>
  </si>
  <si>
    <t>Profit/(loss) before tax (per Statement of Profit and Loss)</t>
  </si>
  <si>
    <t>Adjustments to reconcile profit before tax to net cash flows</t>
  </si>
  <si>
    <t>Depreciation of PP&amp;E and right-of-use assets</t>
  </si>
  <si>
    <t>Amortisation of intangible assets</t>
  </si>
  <si>
    <t>Interest expense and other finance costs</t>
  </si>
  <si>
    <t>Foreign exchange (gain)/loss</t>
  </si>
  <si>
    <t>Realised gain from sale of investments</t>
  </si>
  <si>
    <t>Unrealised gain on fair valuation of investments</t>
  </si>
  <si>
    <t>Share based expense</t>
  </si>
  <si>
    <t>Gratuity expense</t>
  </si>
  <si>
    <t>Compensated absence expense</t>
  </si>
  <si>
    <t>Expected credit loss/(reversal)</t>
  </si>
  <si>
    <t>Interest income</t>
  </si>
  <si>
    <t>Liabilities no longer required, written back</t>
  </si>
  <si>
    <t>Loss on sale of property, plant and equipment</t>
  </si>
  <si>
    <t>Bad debts written off</t>
  </si>
  <si>
    <t>Gain on termination/cancellation of lease</t>
  </si>
  <si>
    <t>Operating Profit Before Working Capital Changes</t>
  </si>
  <si>
    <t>Working capital adjustments</t>
  </si>
  <si>
    <t>(Increase)/Decrease in trade receivables</t>
  </si>
  <si>
    <t>(Increase) in inventories</t>
  </si>
  <si>
    <t>(Increase)/Decrease in current financial assets</t>
  </si>
  <si>
    <t>(Increase)/Decrease in current loans</t>
  </si>
  <si>
    <t>(Increase) in non-current financial assets</t>
  </si>
  <si>
    <t>(Increase) in non-current loans</t>
  </si>
  <si>
    <t>(Increase) in other current assets</t>
  </si>
  <si>
    <t>(Increase)/Decrease in other non-current assets</t>
  </si>
  <si>
    <t>Increase/(Decrease) in trade payables</t>
  </si>
  <si>
    <t>Increase/(Decrease) in provisions (current)</t>
  </si>
  <si>
    <t>Increase in current financial liabilities</t>
  </si>
  <si>
    <t>Increase/(Decrease) in other current liabilities</t>
  </si>
  <si>
    <t>Increase/(Decrease) in long-term provisions</t>
  </si>
  <si>
    <t>Cash Flows from Operating Activities</t>
  </si>
  <si>
    <t>Payment of taxes (net)</t>
  </si>
  <si>
    <t>Net Cash Flow from Operating Activities (A)</t>
  </si>
  <si>
    <t>Investing activities</t>
  </si>
  <si>
    <t>Purchase of PP&amp;E and other intangible assets</t>
  </si>
  <si>
    <t>Proceeds from sale of property, plant and equipment</t>
  </si>
  <si>
    <t>Sale of investments in mutual funds</t>
  </si>
  <si>
    <t>Investment in subsidiary (net of cash acquired)</t>
  </si>
  <si>
    <t>Fixed deposits - placed/(redeemed), net</t>
  </si>
  <si>
    <t>Bank deposits (net)</t>
  </si>
  <si>
    <t>Proceeds from/(purchase) of investments, net</t>
  </si>
  <si>
    <t>Investment in associate</t>
  </si>
  <si>
    <t>Payment towards purchase of business (slump sale)</t>
  </si>
  <si>
    <t>Interest received</t>
  </si>
  <si>
    <t>Net Cash Flow from Investing Activities (B)</t>
  </si>
  <si>
    <t>Financing activities</t>
  </si>
  <si>
    <t>Proceeds from issue of equity shares on exercise of ESOP</t>
  </si>
  <si>
    <t>Proceeds from securities premium</t>
  </si>
  <si>
    <t>Proceeds from share application money pending allotment</t>
  </si>
  <si>
    <t>Proceeds from issue of equity shares (net)</t>
  </si>
  <si>
    <t>Proceeds from issue of preference shares</t>
  </si>
  <si>
    <t>Acquisition of non-controlling interest</t>
  </si>
  <si>
    <t>Issue of shares to non-controlling interest by subsidiary</t>
  </si>
  <si>
    <t>Proceeds from non-current borrowings</t>
  </si>
  <si>
    <t>Proceeds from sale and leaseback financing</t>
  </si>
  <si>
    <t>(Repayment)/Proceeds of non-current borrowings, net</t>
  </si>
  <si>
    <t>Proceeds from current borrowings, net</t>
  </si>
  <si>
    <t>Interest paid on borrowings</t>
  </si>
  <si>
    <t>Principal payment of lease liabilities</t>
  </si>
  <si>
    <t>Interest paid on lease liabilities</t>
  </si>
  <si>
    <t>Net Cash Flow from Financing Activities (C)</t>
  </si>
  <si>
    <t>Net Increase/(Decrease) in Cash (A+B+C)</t>
  </si>
  <si>
    <t>Net foreign exchange difference</t>
  </si>
  <si>
    <t>Cash and cash equivalents at the beginning of the year</t>
  </si>
  <si>
    <t>Cash and Cash Equivalents at the End of the Year</t>
  </si>
  <si>
    <t>OTHER DETAILS (CONSOLIDATED)</t>
  </si>
  <si>
    <t>Depreciation</t>
  </si>
  <si>
    <t>On plant, machinery &amp; equipment</t>
  </si>
  <si>
    <t>On right-of-use assets</t>
  </si>
  <si>
    <t>On intangible assets</t>
  </si>
  <si>
    <t>Finance cost</t>
  </si>
  <si>
    <t>On borrowings</t>
  </si>
  <si>
    <t>On lease liabilities</t>
  </si>
  <si>
    <t>Gross PPE</t>
  </si>
  <si>
    <t>Accumulated Depreciation on PPE</t>
  </si>
  <si>
    <t>Net PPE</t>
  </si>
  <si>
    <t>Gross RoU</t>
  </si>
  <si>
    <t>Accumulated Depreciation on RoU</t>
  </si>
  <si>
    <t>Net RoU</t>
  </si>
  <si>
    <t>Gross intangibles (ex-goodwill)</t>
  </si>
  <si>
    <t>Accumulated Depreciation on intangibles</t>
  </si>
  <si>
    <t>Net intangibles</t>
  </si>
  <si>
    <t>Source / Driver</t>
  </si>
  <si>
    <t>FY27E</t>
  </si>
  <si>
    <t>FY28E</t>
  </si>
  <si>
    <t>FY29E</t>
  </si>
  <si>
    <t>FY30E</t>
  </si>
  <si>
    <t>All figures in INR Mn unless stated otherwise. Historical quarters (1Q22-4Q26) and historical annual columns (FY19-FY26) link to the Raw Data tabs. 1Q27-4Q27 are left blank for a later quarterly-projection pass. FY27E-FY30E are annual projections, each chained off the preceding column in this sheet: red (#A20000) cells are hardcoded assumptions -- edit these to change the forecast; black cells are formulas.</t>
  </si>
  <si>
    <t>SUMMARY</t>
  </si>
  <si>
    <t>Total GMV</t>
  </si>
  <si>
    <t>Rs Mn</t>
  </si>
  <si>
    <t>Formula</t>
  </si>
  <si>
    <t xml:space="preserve">  YoY growth</t>
  </si>
  <si>
    <t>%</t>
  </si>
  <si>
    <t>Total NSV</t>
  </si>
  <si>
    <t xml:space="preserve">  NSV / GMV</t>
  </si>
  <si>
    <t>Total Revenue</t>
  </si>
  <si>
    <t>Gross Profit</t>
  </si>
  <si>
    <t xml:space="preserve">  Gross margin (% of NSV)</t>
  </si>
  <si>
    <t>EBITDA</t>
  </si>
  <si>
    <t xml:space="preserve">  EBITDA margin (% of NSV)</t>
  </si>
  <si>
    <t>PAT</t>
  </si>
  <si>
    <t xml:space="preserve">  PAT margin (% of Revenue)</t>
  </si>
  <si>
    <t>EPS (diluted)</t>
  </si>
  <si>
    <t>Rs</t>
  </si>
  <si>
    <t>Segment mix (% of Total GMV)</t>
  </si>
  <si>
    <t>Beauty</t>
  </si>
  <si>
    <t>Fashion</t>
  </si>
  <si>
    <t>New Business</t>
  </si>
  <si>
    <t>BEAUTY (incl. SuperStore)</t>
  </si>
  <si>
    <t>Definition: BPC (online + offline) + Superstore by Nykaa + Nykaa Man Grooming + House of Nykaa owned brands. NOTE: AUTC/Orders/AOV here are sourced from the deck's 'BPC Vertical' KPI table, which is a narrower scope than the GMV/NSV/Revenue lines below (GMV includes SuperStore, BPC Vertical orders don't) -- see the equivalent caveat on the Raw Data - Ops KPIs tab. AOV = GMV/Orders here is therefore a blended incl-SuperStore figure, not Nykaa's own reported BPC AOV.</t>
  </si>
  <si>
    <t>Annual transacting customers (AUTC)</t>
  </si>
  <si>
    <t>mn</t>
  </si>
  <si>
    <t>Link: Raw Data - Ops KPIs</t>
  </si>
  <si>
    <t>Assumption (edit me)</t>
  </si>
  <si>
    <t>Number of orders</t>
  </si>
  <si>
    <t xml:space="preserve">  Average order frequency</t>
  </si>
  <si>
    <t>x</t>
  </si>
  <si>
    <t>Average order value</t>
  </si>
  <si>
    <t>GMV</t>
  </si>
  <si>
    <t>NSV</t>
  </si>
  <si>
    <t>Revenue</t>
  </si>
  <si>
    <t xml:space="preserve">  Revenue / NSV</t>
  </si>
  <si>
    <t>Gross profit</t>
  </si>
  <si>
    <t>Fulfilment cost</t>
  </si>
  <si>
    <t xml:space="preserve">  Fulfilment (% of NSV)</t>
  </si>
  <si>
    <t xml:space="preserve">  o/w Marketing (historical, linked)</t>
  </si>
  <si>
    <t xml:space="preserve">  o/w Selling &amp; distribution (historical, linked)</t>
  </si>
  <si>
    <t>Marketing &amp; S&amp;D expense (combined)</t>
  </si>
  <si>
    <t xml:space="preserve">  Marketing &amp; S&amp;D (% of NSV, combined)</t>
  </si>
  <si>
    <t>Contribution profit</t>
  </si>
  <si>
    <t xml:space="preserve">  Contribution margin (% of NSV)</t>
  </si>
  <si>
    <t>Other expenses (G&amp;A + employee)</t>
  </si>
  <si>
    <t xml:space="preserve">  Other expenses (% of NSV)</t>
  </si>
  <si>
    <t>FASHION</t>
  </si>
  <si>
    <t>Definition: Nykaa Fashion + LBB + Nykaa Man Lifestyle.</t>
  </si>
  <si>
    <t>NEW BUSINESS (GCC + International)</t>
  </si>
  <si>
    <t>Beauty retail in the Gulf Cooperation Council (via Apparel Group JV) and international markets. Small, volatile, residual segment (Total - Beauty - Fashion in the Raw Data tab) -- treat these projections as indicative only.</t>
  </si>
  <si>
    <t>CONSOLIDATED BRIDGE (EBITDA TO EPS)</t>
  </si>
  <si>
    <t>Segment EBITDAs (Beauty + Fashion + New Business) roll up here, then D&amp;A / finance costs / other income / tax bring it down to PAT and EPS -- these lines aren't split by segment in Nykaa's disclosure, so they only exist at the consolidated level.</t>
  </si>
  <si>
    <t>Total EBITDA (Beauty + Fashion + New Business)</t>
  </si>
  <si>
    <t xml:space="preserve">  EBITDA margin (% of Revenue)</t>
  </si>
  <si>
    <t>Depreciation &amp; amortisation</t>
  </si>
  <si>
    <t>Link: Raw Data - financials</t>
  </si>
  <si>
    <t xml:space="preserve">  D&amp;A (% of Revenue)</t>
  </si>
  <si>
    <t>EBIT</t>
  </si>
  <si>
    <t xml:space="preserve">  Finance costs (% of Revenue)</t>
  </si>
  <si>
    <t xml:space="preserve">  Other income (% of Revenue)</t>
  </si>
  <si>
    <t xml:space="preserve">  Effective tax rate (% of PBT)</t>
  </si>
  <si>
    <t>Diluted shares outstanding</t>
  </si>
  <si>
    <t>Mn</t>
  </si>
  <si>
    <t>CONSOLIDATED P&amp;L (STATEMENT FORMAT)</t>
  </si>
  <si>
    <t>Revenue, Other income, D&amp;A, Finance costs, Tax and PAT/EPS below are the SAME figures as the Summary and Consolidated Bridge sections above (re-shown here in a standard statement layout) -- they are not re-derived. COGS and Employee benefits are new assumption-driven lines for the projected years; Other expenses is a plug for the projected years (Total Income - COGS - Employee - Finance - D&amp;A - PBT) so that PBT/PAT/EPS keep tying to the segment-built Consolidated Bridge above. For historical years, COGS/Employee/Other expenses are direct links to the Raw Data - financials actuals, so Total Expenses there matches reported Total Expenses; note historical PBT here is 'before exceptional items' (Nykaa had one-off exceptional items in FY26 e.g.) since exceptional items aren't forecast.</t>
  </si>
  <si>
    <t>Cost of goods sold</t>
  </si>
  <si>
    <t xml:space="preserve">  Cost of goods sold (% of Revenue)</t>
  </si>
  <si>
    <t xml:space="preserve">  Employee benefits (% of Revenue)</t>
  </si>
  <si>
    <t>Link: Consolidated Bridge row 105</t>
  </si>
  <si>
    <t>Link: Consolidated Bridge row 102</t>
  </si>
  <si>
    <t>Link: Consolidated Bridge row 110</t>
  </si>
  <si>
    <t>Profit After Tax</t>
  </si>
  <si>
    <t>Link: Consolidated Bridge row 114</t>
  </si>
  <si>
    <t>BALANCE SHEET (SUMMARIZED)</t>
  </si>
  <si>
    <t>Nykaa only discloses Balance Sheet figures at half-year/full-year ends (Q2 and Q4), so historical quarters here follow that same pattern -- Q1/Q3 stay blank, matching the Raw Data - financials tab. Projected years are annual only (FY27E-30E), consistent with the rest of this sheet. Each summarized line combines several Raw Data - financials rows (see column C / cell comments for exactly which). Cash and cash equivalents is the balancing plug for projected years -- it is NOT itself an assumption, it's whatever value makes Total Assets equal Total Liabilities &amp; Equity.</t>
  </si>
  <si>
    <t>Assets</t>
  </si>
  <si>
    <t>Link: row 230 (Net PPE, gross-block detail)</t>
  </si>
  <si>
    <t>Raw Data - financials row 50 (held flat if projected)</t>
  </si>
  <si>
    <t>Raw Data - financials row 51 (held flat if projected)</t>
  </si>
  <si>
    <t>Link: row 242 (Net intangibles, gross-block detail)</t>
  </si>
  <si>
    <t>Link: row 236 (Net RoU, gross-block detail)</t>
  </si>
  <si>
    <t>Raw Data - financials row 54 (held flat if projected)</t>
  </si>
  <si>
    <t>Raw Data - financials row 55 (held flat if projected)</t>
  </si>
  <si>
    <t>Raw Data - financials row 56 (held flat if projected)</t>
  </si>
  <si>
    <t>Raw Data - financials row 57</t>
  </si>
  <si>
    <t xml:space="preserve">  % of Revenue</t>
  </si>
  <si>
    <t>Raw Data - financials row 58</t>
  </si>
  <si>
    <t>Raw Data - financials row 59 (held flat if projected)</t>
  </si>
  <si>
    <t>Raw Data - financials row 60 (held flat if projected)</t>
  </si>
  <si>
    <t>Raw Data - financials row 61</t>
  </si>
  <si>
    <t>Raw Data - financials row 65</t>
  </si>
  <si>
    <t xml:space="preserve">  Days (on COGS)</t>
  </si>
  <si>
    <t>days</t>
  </si>
  <si>
    <t>Raw Data - financials row 66 (held flat if projected)</t>
  </si>
  <si>
    <t>Raw Data - financials row 67</t>
  </si>
  <si>
    <t xml:space="preserve">  Days (on Revenue)</t>
  </si>
  <si>
    <t>Balancing plug (not an assumption)</t>
  </si>
  <si>
    <t>Raw Data - financials row 69 (held flat if projected)</t>
  </si>
  <si>
    <t>Raw Data - financials row 70</t>
  </si>
  <si>
    <t>Other financial assets</t>
  </si>
  <si>
    <t>Raw Data - financials row 71</t>
  </si>
  <si>
    <t>Raw Data - financials row 72</t>
  </si>
  <si>
    <t>Raw Data - financials row 79 (held flat if projected)</t>
  </si>
  <si>
    <t>Raw Data - financials row 80</t>
  </si>
  <si>
    <t xml:space="preserve">  Dividend payout (% of PAT)</t>
  </si>
  <si>
    <t>Raw Data - financials row 82 (held flat if projected)</t>
  </si>
  <si>
    <t>Raw Data - financials row 86 (held flat if projected)</t>
  </si>
  <si>
    <t>Raw Data - financials row 87 (projected: grown at RoU growth rate, row 233)</t>
  </si>
  <si>
    <t>Raw Data - financials row 88</t>
  </si>
  <si>
    <t>Raw Data - financials row 89 (held flat if projected)</t>
  </si>
  <si>
    <t>Raw Data - financials row 93 (held flat if projected)</t>
  </si>
  <si>
    <t>Raw Data - financials row 94 (projected: grown at RoU growth rate, row 233)</t>
  </si>
  <si>
    <t>Raw Data - financials row 95 (0 for projected -- combined onto 'other creditors' below)</t>
  </si>
  <si>
    <t>Raw Data - financials row 96 (projected: combined total incl. micro &amp; small above)</t>
  </si>
  <si>
    <t xml:space="preserve">  Days (on COGS, combined incl. micro &amp; small)</t>
  </si>
  <si>
    <t>Raw Data - financials row 97</t>
  </si>
  <si>
    <t>Raw Data - financials row 98 (held flat if projected)</t>
  </si>
  <si>
    <t>Raw Data - financials row 99</t>
  </si>
  <si>
    <t>Raw Data - financials row 100 (held flat if projected)</t>
  </si>
  <si>
    <t>Raw Data - financials row 101</t>
  </si>
  <si>
    <t>Balance check (Total Assets - Total Equity and Liabilities)</t>
  </si>
  <si>
    <t>DEPRECIATION, FINANCE COST &amp; GROSS BLOCK (DETAIL)</t>
  </si>
  <si>
    <t>Links to the new 'Other Details' rows added at the bottom of Raw Data - financials (rows 185-204), currently blank pending your data entry -- these lines will populate automatically once filled in. Annual only (FY19-FY30E), consistent with the Balance Sheet section above; quarterly columns are left blank since Nykaa doesn't disclose this level of detail quarterly. Projected years (FY27E-30E) use a simple flat YoY growth assumption (red, defaulted to 0%) as a basic placeholder for each independently-driven line -- Depreciation and Finance cost totals are formulas (sum of their components below), and each Net block (PPE / RoU / Intangibles) is a formula (Gross - Accumulated Depreciation), not a separate assumption. Revisit the growth logic for these once you've decided how to project them.</t>
  </si>
  <si>
    <t>Sum of components below</t>
  </si>
  <si>
    <t xml:space="preserve">  On plant, machinery &amp; equipment</t>
  </si>
  <si>
    <t>Raw Data - financials row 186</t>
  </si>
  <si>
    <t xml:space="preserve">  On right-of-use assets</t>
  </si>
  <si>
    <t>Raw Data - financials row 187</t>
  </si>
  <si>
    <t xml:space="preserve">  On intangible assets</t>
  </si>
  <si>
    <t>Raw Data - financials row 188</t>
  </si>
  <si>
    <t xml:space="preserve">  On borrowings</t>
  </si>
  <si>
    <t>Raw Data - financials row 191</t>
  </si>
  <si>
    <t xml:space="preserve">  On lease liabilities</t>
  </si>
  <si>
    <t>Raw Data - financials row 192</t>
  </si>
  <si>
    <t>Raw Data - financials row 194</t>
  </si>
  <si>
    <t xml:space="preserve">  Accumulated Depreciation on PPE</t>
  </si>
  <si>
    <t>Raw Data - financials row 195</t>
  </si>
  <si>
    <t>Row 181 minus row 183</t>
  </si>
  <si>
    <t>Raw Data - financials row 198</t>
  </si>
  <si>
    <t xml:space="preserve">  Accumulated Depreciation on RoU</t>
  </si>
  <si>
    <t>Raw Data - financials row 199</t>
  </si>
  <si>
    <t>Row 187 minus row 189</t>
  </si>
  <si>
    <t>Raw Data - financials row 202</t>
  </si>
  <si>
    <t xml:space="preserve">  Accumulated Depreciation on intangibles</t>
  </si>
  <si>
    <t>Raw Data - financials row 203</t>
  </si>
  <si>
    <t>Row 193 minus row 195</t>
  </si>
  <si>
    <t>Metric</t>
  </si>
  <si>
    <t>Source - Deck section</t>
  </si>
  <si>
    <t>Q1FY22</t>
  </si>
  <si>
    <t>Q2FY22</t>
  </si>
  <si>
    <t>Q3FY22</t>
  </si>
  <si>
    <t>Q4FY22</t>
  </si>
  <si>
    <t>Q1FY23</t>
  </si>
  <si>
    <t>Q2FY23</t>
  </si>
  <si>
    <t>Q3FY23</t>
  </si>
  <si>
    <t>Q4FY23</t>
  </si>
  <si>
    <t>Q1FY24</t>
  </si>
  <si>
    <t>Q2FY24</t>
  </si>
  <si>
    <t>Q3FY24</t>
  </si>
  <si>
    <t>Q4FY24</t>
  </si>
  <si>
    <t>Q1FY25</t>
  </si>
  <si>
    <t>Q2FY25</t>
  </si>
  <si>
    <t>Q3FY25</t>
  </si>
  <si>
    <t>Q4FY25</t>
  </si>
  <si>
    <t>Q1FY26</t>
  </si>
  <si>
    <t>Q2FY26</t>
  </si>
  <si>
    <t>Q3FY26</t>
  </si>
  <si>
    <t>Q4FY26</t>
  </si>
  <si>
    <t>Q1FY27</t>
  </si>
  <si>
    <t>Q2FY27</t>
  </si>
  <si>
    <t>Q3FY27</t>
  </si>
  <si>
    <t>Q4FY27</t>
  </si>
  <si>
    <t>Consolidated Operating KPIs</t>
  </si>
  <si>
    <t>Number of visits</t>
  </si>
  <si>
    <t>One Nykaa Highlights</t>
  </si>
  <si>
    <t>Annual transacting customers</t>
  </si>
  <si>
    <t xml:space="preserve">  QoQ growth</t>
  </si>
  <si>
    <t>One Nykaa Highlights / Financial Performance</t>
  </si>
  <si>
    <t>Financial Performance (Total column)</t>
  </si>
  <si>
    <t>Beauty (incl. SuperStore) - Omnichannel Retail</t>
  </si>
  <si>
    <t>Definition: BPC (online + offline) + Superstore by Nykaa + Nykaa Man Grooming + House of Nykaa owned brands</t>
  </si>
  <si>
    <t>Beauty Omnichannel Retail</t>
  </si>
  <si>
    <t>Monthly average unique visitors</t>
  </si>
  <si>
    <t xml:space="preserve">  Conversion - orders/visits</t>
  </si>
  <si>
    <t xml:space="preserve">  Conversion - transacting customers/visits</t>
  </si>
  <si>
    <t xml:space="preserve">  Average order value (computed: GMV / Orders)</t>
  </si>
  <si>
    <t xml:space="preserve">  Average order value (as reported)</t>
  </si>
  <si>
    <t>Link: row 148 (Beauty AOV reconciliation)</t>
  </si>
  <si>
    <t>Beauty Omnichannel Retail / Financial Performance</t>
  </si>
  <si>
    <t>Financial Performance</t>
  </si>
  <si>
    <t>Marketing expenses</t>
  </si>
  <si>
    <t>Selling &amp; distribution expense</t>
  </si>
  <si>
    <t>BPC / Luxe store count</t>
  </si>
  <si>
    <t>#</t>
  </si>
  <si>
    <t>Number of cities (retail)</t>
  </si>
  <si>
    <t>Total retail space</t>
  </si>
  <si>
    <t>sq ft</t>
  </si>
  <si>
    <t>BPC app downloads (cumulative)</t>
  </si>
  <si>
    <t>House of Nykaa (owned brands portfolio)</t>
  </si>
  <si>
    <t>House of Nykaa - Beauty brands GMV</t>
  </si>
  <si>
    <t>House of Nykaa</t>
  </si>
  <si>
    <t xml:space="preserve">  of which: Dot &amp; Key GMV</t>
  </si>
  <si>
    <t xml:space="preserve">  of which: Kay Beauty GMV</t>
  </si>
  <si>
    <t>House of Nykaa - Fashion brands GMV</t>
  </si>
  <si>
    <t>House of Nykaa - Total owned-brand GMV</t>
  </si>
  <si>
    <t xml:space="preserve">  Share of total company GMV</t>
  </si>
  <si>
    <t>Number of owned brands (House of Nykaa)</t>
  </si>
  <si>
    <t>eB2B: Superstore by Nykaa</t>
  </si>
  <si>
    <t>B2B distribution platform selling to offline beauty retailers. Cost breakdown not separately disclosed as of this build -- Nykaa has so far only given qualitative bps commentary; revisit once/if a full P&amp;L split is disclosed.</t>
  </si>
  <si>
    <t xml:space="preserve">  Contribution to Beauty GMV</t>
  </si>
  <si>
    <t xml:space="preserve">  Beauty (ex-SuperStore) -- derived, not directly disclosed since 4Q24</t>
  </si>
  <si>
    <t xml:space="preserve">  Beauty (ex-SuperStore) GMV</t>
  </si>
  <si>
    <t xml:space="preserve">  Beauty (ex-SuperStore) NSV</t>
  </si>
  <si>
    <t>Transacting retailers</t>
  </si>
  <si>
    <t xml:space="preserve">  Activation rate (% of registered retailers)</t>
  </si>
  <si>
    <t>Cities</t>
  </si>
  <si>
    <t>Brands listed</t>
  </si>
  <si>
    <t>Orders</t>
  </si>
  <si>
    <t>'000</t>
  </si>
  <si>
    <t>Definition: Nykaa Fashion + LBB + Nykaa Man Lifestyle</t>
  </si>
  <si>
    <t>Link: row 153 (Fashion AOV reconciliation)</t>
  </si>
  <si>
    <t>Fashion / Financial Performance</t>
  </si>
  <si>
    <t>Owned-brand GMV</t>
  </si>
  <si>
    <t xml:space="preserve">  Owned-brand share of Fashion GMV</t>
  </si>
  <si>
    <t>Number of owned brands</t>
  </si>
  <si>
    <t>Fashion app downloads (cumulative)</t>
  </si>
  <si>
    <t>New Business (GCC + International)</t>
  </si>
  <si>
    <t>Beauty retail in the Gulf Cooperation Council (via Apparel Group JV) and international markets. P&amp;L lines derived as Total - Beauty - Fashion from the Financial Performance Total/Beauty/Fashion table, since New Business is rarely broken out on its own.</t>
  </si>
  <si>
    <t>Financial Performance / Segment note</t>
  </si>
  <si>
    <t>Company-wide Business &amp; Operating Data</t>
  </si>
  <si>
    <t>Number of warehouses</t>
  </si>
  <si>
    <t>Warehouse - number of cities</t>
  </si>
  <si>
    <t>Warehouse capacity</t>
  </si>
  <si>
    <t>Employee count</t>
  </si>
  <si>
    <t>Office space</t>
  </si>
  <si>
    <t>AOV RECONCILIATION: REPORTED vs COMPUTED (GMV / Orders)</t>
  </si>
  <si>
    <t>Reported AOV = Nykaa's own disclosed Average Order Value per quarter/year (deck 'Key Operational/Performance Metrics' table). Computed AOV = GMV / Orders using the GMV and Orders rows above in this sheet. The two differ because GMV and Orders are drawn from different scope definitions in Nykaa's own glossary: (1) Beauty -- GMV is 'Beauty incl. SuperStore' (broader), but Orders/AOV in the KPI table are defined on the narrower 'BPC Vertical' (excludes SuperStore by Nykaa and Nykaa Man Grooming). (2) Fashion -- GMV is 'Nykaa Fashion + LBB + Nykaa Man Lifestyle' (row 87), but the glossary defines 'Orders, with respect to Fashion Vertical' as orders on the Nykaa app/website and Fashion.com only -- it explicitly puts Nykaa Man under 'Others', not Fashion, and never mentions LBB. So Fashion GMV carries LBB and Nykaa Man Lifestyle in the numerator that Fashion Orders doesn't fully capture in the denominator. Both cases are the same underlying pattern (GMV segment scope &gt; Orders/AOV KPI-table scope), just with a different 'extra' component -- SuperStore for Beauty, LBB/Nykaa Man Lifestyle for Fashion. Neither LBB nor Nykaa Man Lifestyle GMV is separately disclosed, so the Fashion gap can't be quantified/decomposed the same way the Beauty (ex-SuperStore) row does above -- see the gap % row for the size of the residual each period. Reported AOV as shown here is 'as first disclosed that quarter' where available; a few cells are sourced from a later deck's YoY comparator column where the quarter's own deck lacked a numeric table (flagged via cell comment).</t>
  </si>
  <si>
    <t>Reported AOV</t>
  </si>
  <si>
    <t>Deck-reported</t>
  </si>
  <si>
    <t>Computed AOV (GMV / Orders)</t>
  </si>
  <si>
    <t>Link: row 38 (Beauty AOV)</t>
  </si>
  <si>
    <t xml:space="preserve">  Gap (Computed / Reported - 1)</t>
  </si>
  <si>
    <t>Link: row 95 (Fashion AOV)</t>
  </si>
  <si>
    <t>All figures in INR Mn unless stated otherwise. This sheet is a reported-format presentation, linked to the Projections sheet (KPI/PnL/BS builds) and to Raw Data - financials (for historical line-item granularity Projections doesn't carry). Where the Projections sheet only models a combined or summarized figure, the projected columns (FY27E-30E) show that combined value on ONE representative line within the group and leave the other reported sub-lines blank -- add your own split assumptions there if/when you want more granularity. Historical quarters/years are actuals, linked either from Projections (for figures already tied there) or directly from Raw Data - financials. Balance Sheet follows Nykaa's own disclosure cadence (Q2/Q4 only); Cash Flow is disclosed annually only, so both sections are annual-only in the projected columns and Q2/Q4-only historically.</t>
  </si>
  <si>
    <t>PROFIT &amp; LOSS (CONSOLIDATED, REPORTED FORMAT)</t>
  </si>
  <si>
    <t>Revenue, Other income, COGS (combined), Employee benefits, Finance costs, D&amp;A, Other expenses (plug), Tax (combined) and PAT/EPS are the SAME figures as the Projections sheet's Consolidated P&amp;L block -- linked, not re-derived. The individual reported sub-lines below each combined line (e.g. 'Purchase of traded goods', 'Current tax pertaining to earlier years') are actuals for historical periods but are not separately modeled for FY27E-30E, so they show 0 there -- the full projected value sits on the first sub-line of each group (Cost of material consumed; Current tax).</t>
  </si>
  <si>
    <t>Profit After Tax (PAT)</t>
  </si>
  <si>
    <t>BALANCE SHEET (CONSOLIDATED, REPORTED FORMAT)</t>
  </si>
  <si>
    <t>Historical quarters/years link straight to Raw Data - financials actuals (full granularity). For FY27E-30E, every reported sub-line links 1:1 to the Projections sheet's now-fully-detailed Balance Sheet (Property, plant / Right-of-use / Other intangibles link to the gross-block detail section; lease liabilities are grown at the same rate as right-of-use assets; borrowings are split non-current/current and held flat; trade payables stay one modeled total on 'other creditors', with 'micro &amp; small' shown as 0 for projected years; smaller items use either a flat hold or a %-of-Revenue assumption -- see the Projections sheet's Balance Sheet section for each line's driver). Subtotals (Total Non-Current/Current Assets etc.) are formulas here, not links, so they work for both historical and projected columns and serve as a consistency check against Projections' own subtotals.</t>
  </si>
  <si>
    <t>Financial assets - Investments (current)</t>
  </si>
  <si>
    <t>Held flat at FY26 actual</t>
  </si>
  <si>
    <t>Financial assets - Loans (current)</t>
  </si>
  <si>
    <t>CASH FLOW STATEMENT (CONSOLIDATED, ANNUAL ONLY)</t>
  </si>
  <si>
    <t>Nykaa discloses Cash Flow only annually (no quarterly breakout), so this section is annual-only, same as the Balance Sheet's projected columns. Historical years link to Raw Data - financials actuals. For FY27E-30E: the 3 major reconciling items (D&amp;A, Finance costs, Other/interest income) are modeled explicitly; every other non-cash P&amp;L adjustment (FX, share-based pay, gratuity, ECL, etc.) is combined into one 'Other non-cash adjustments' line and set to 0 for projected years. Net change in working capital, capex, investments, borrowings and lease movements are all now computed from the Balance Sheet's granular line-item deltas directly (Projections sheet, current column vs prior column) rather than a combined then re-split figure, so there's no boundary-jump risk at the FY26/FY27E transition. Right-of-use asset growth is treated as part of the capex line (paired with its offsetting lease-liability movement in financing) rather than split out separately, consistent with how this model has always tied out.</t>
  </si>
  <si>
    <t>Add: Depreciation &amp; amortisation</t>
  </si>
  <si>
    <t>Add: Finance costs</t>
  </si>
  <si>
    <t>Less: Other income</t>
  </si>
  <si>
    <t>Other non-cash adjustments (net)</t>
  </si>
  <si>
    <t>Net change in working capital</t>
  </si>
  <si>
    <t>Cash Generated from Operations</t>
  </si>
  <si>
    <t>Less: Taxes paid</t>
  </si>
  <si>
    <t>Net purchase/(sale) of investments</t>
  </si>
  <si>
    <t>Investment in subsidiary / associate / business acquisitions</t>
  </si>
  <si>
    <t>Proceeds from issue of equity shares, net</t>
  </si>
  <si>
    <t>Proceeds/(repayment) of borrowings, net</t>
  </si>
  <si>
    <t>Net movement in lease liabilities</t>
  </si>
  <si>
    <t>Interest paid</t>
  </si>
  <si>
    <t>Check (CF ending cash - Balance Sheet 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</si>
</sst>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_-* #,##0_-;\-* #,##0_-;_-* &quot;-&quot;_-;_-@_-"/>
    <numFmt numFmtId="167" formatCode="_-* #,##0.0_-;\-* #,##0.0_-;_-* &quot;-&quot;_-;_-@_-"/>
    <numFmt numFmtId="168" formatCode="_-* #,##0.00_-;\-* #,##0.00_-;_-* &quot;-&quot;_-;_-@_-"/>
    <numFmt numFmtId="169" formatCode="_-* #,##0.000_-;\-* #,##0.000_-;_-* &quot;-&quot;_-;_-@_-"/>
  </numFmts>
  <fonts count="19" x14ac:knownFonts="1">
    <font>
      <sz val="11"/>
      <color theme="1"/>
      <name val="Calibri"/>
      <family val="2"/>
      <scheme val="minor"/>
    </font>
    <font>
      <b/>
      <sz val="10"/>
      <color rgb="FF000000"/>
      <name val="Calibri"/>
    </font>
    <font>
      <i/>
      <sz val="10"/>
      <color rgb="FF000000"/>
      <name val="Calibri"/>
    </font>
    <font>
      <b/>
      <i/>
      <sz val="10"/>
      <color rgb="FF000000"/>
      <name val="Calibri"/>
    </font>
    <font>
      <b/>
      <sz val="11"/>
      <color rgb="FFFFFFFF"/>
      <name val="Calibri"/>
    </font>
    <font>
      <sz val="10"/>
      <color rgb="FF000000"/>
      <name val="Calibri"/>
    </font>
    <font>
      <i/>
      <sz val="9"/>
      <color rgb="FF000000"/>
      <name val="Calibri"/>
    </font>
    <font>
      <sz val="10"/>
      <color rgb="FF0070C0"/>
      <name val="Calibri"/>
    </font>
    <font>
      <i/>
      <sz val="9"/>
      <color rgb="FF808080"/>
      <name val="Calibri"/>
    </font>
    <font>
      <b/>
      <sz val="12"/>
      <name val="Calibri"/>
    </font>
    <font>
      <sz val="10"/>
      <name val="Calibri"/>
    </font>
    <font>
      <i/>
      <sz val="10"/>
      <color rgb="FF808080"/>
      <name val="Calibri"/>
    </font>
    <font>
      <sz val="9"/>
      <color rgb="FF808080"/>
      <name val="Calibri"/>
    </font>
    <font>
      <i/>
      <sz val="10"/>
      <color rgb="FF0070C0"/>
      <name val="Calibri"/>
    </font>
    <font>
      <sz val="10"/>
      <color rgb="FFA20000"/>
      <name val="Calibri"/>
    </font>
    <font>
      <i/>
      <sz val="9"/>
      <color rgb="FFA20000"/>
      <name val="Calibri"/>
    </font>
    <font>
      <b/>
      <sz val="10"/>
      <name val="Calibri"/>
    </font>
    <font>
      <sz val="10"/>
      <color theme="1"/>
      <name val="Calibri"/>
      <family val="2"/>
      <scheme val="minor"/>
    </font>
    <font>
      <sz val="10"/>
      <color rgb="FF0070C0"/>
      <name val="Calibri"/>
      <family val="2"/>
    </font>
  </fonts>
  <fills count="7">
    <fill>
      <patternFill patternType="none"/>
    </fill>
    <fill>
      <patternFill patternType="gray125"/>
    </fill>
    <fill>
      <patternFill patternType="solid">
        <fgColor rgb="FF1F3864"/>
        <bgColor rgb="FF1F3864"/>
      </patternFill>
    </fill>
    <fill>
      <patternFill patternType="solid">
        <fgColor rgb="FFFFF2CC"/>
        <bgColor rgb="FFFFF2CC"/>
      </patternFill>
    </fill>
    <fill>
      <patternFill patternType="solid">
        <fgColor rgb="FFFFFF00"/>
        <bgColor indexed="64"/>
      </patternFill>
    </fill>
    <fill>
      <patternFill patternType="solid">
        <fgColor rgb="FFEFEFEF"/>
        <bgColor rgb="FFEFEFEF"/>
      </patternFill>
    </fill>
    <fill>
      <patternFill patternType="solid">
        <fgColor rgb="FF1F3864"/>
      </patternFill>
    </fill>
  </fills>
  <borders count="2">
    <border>
      <left/>
      <right/>
      <top/>
      <bottom/>
      <diagonal/>
    </border>
    <border>
      <left/>
      <right/>
      <top/>
      <bottom style="thin">
        <color rgb="FFDDDDDD"/>
      </bottom>
      <diagonal/>
    </border>
  </borders>
  <cellStyleXfs count="1">
    <xf numFmtId="0" fontId="0" fillId="0" borderId="0"/>
  </cellStyleXfs>
  <cellXfs count="89">
    <xf numFmtId="0" fontId="0" fillId="0" borderId="0" xfId="0"/>
    <xf numFmtId="0" fontId="1" fillId="0" borderId="0" xfId="0" applyFont="1"/>
    <xf numFmtId="0" fontId="1" fillId="0" borderId="0" xfId="0" applyFont="1" applyAlignment="1">
      <alignment horizontal="center"/>
    </xf>
    <xf numFmtId="0" fontId="2" fillId="0" borderId="0" xfId="0" applyFont="1"/>
    <xf numFmtId="17" fontId="3" fillId="0" borderId="0" xfId="0" applyNumberFormat="1" applyFont="1" applyAlignment="1">
      <alignment horizontal="center"/>
    </xf>
    <xf numFmtId="0" fontId="4" fillId="2" borderId="0" xfId="0" applyFont="1" applyFill="1"/>
    <xf numFmtId="0" fontId="0" fillId="2" borderId="0" xfId="0" applyFill="1"/>
    <xf numFmtId="0" fontId="5" fillId="0" borderId="0" xfId="0" applyFont="1" applyAlignment="1">
      <alignment indent="1"/>
    </xf>
    <xf numFmtId="0" fontId="6" fillId="0" borderId="0" xfId="0" applyFont="1"/>
    <xf numFmtId="0" fontId="3" fillId="0" borderId="0" xfId="0" applyFont="1"/>
    <xf numFmtId="0" fontId="5" fillId="0" borderId="0" xfId="0" applyFont="1" applyAlignment="1">
      <alignment indent="2"/>
    </xf>
    <xf numFmtId="2" fontId="7" fillId="0" borderId="0" xfId="0" applyNumberFormat="1" applyFont="1"/>
    <xf numFmtId="0" fontId="5" fillId="0" borderId="0" xfId="0" applyFont="1"/>
    <xf numFmtId="2" fontId="5" fillId="0" borderId="0" xfId="0" applyNumberFormat="1" applyFont="1"/>
    <xf numFmtId="0" fontId="0" fillId="3" borderId="0" xfId="0" applyFill="1"/>
    <xf numFmtId="164" fontId="0" fillId="0" borderId="0" xfId="0" applyNumberFormat="1"/>
    <xf numFmtId="164" fontId="0" fillId="4" borderId="0" xfId="0" applyNumberFormat="1" applyFill="1"/>
    <xf numFmtId="0" fontId="8" fillId="0" borderId="0" xfId="0" applyFont="1"/>
    <xf numFmtId="0" fontId="9" fillId="0" borderId="0" xfId="0" applyFont="1"/>
    <xf numFmtId="0" fontId="0" fillId="5" borderId="0" xfId="0" applyFill="1"/>
    <xf numFmtId="0" fontId="10" fillId="0" borderId="0" xfId="0" applyFont="1"/>
    <xf numFmtId="0" fontId="11" fillId="0" borderId="0" xfId="0" applyFont="1"/>
    <xf numFmtId="0" fontId="12" fillId="0" borderId="0" xfId="0" applyFont="1"/>
    <xf numFmtId="165" fontId="2" fillId="0" borderId="1" xfId="0" applyNumberFormat="1" applyFont="1" applyBorder="1"/>
    <xf numFmtId="165" fontId="7" fillId="0" borderId="1" xfId="0" applyNumberFormat="1" applyFont="1" applyBorder="1"/>
    <xf numFmtId="4" fontId="10" fillId="0" borderId="0" xfId="0" applyNumberFormat="1" applyFont="1"/>
    <xf numFmtId="4" fontId="11" fillId="0" borderId="0" xfId="0" applyNumberFormat="1" applyFont="1"/>
    <xf numFmtId="4" fontId="12" fillId="0" borderId="0" xfId="0" applyNumberFormat="1" applyFont="1"/>
    <xf numFmtId="4" fontId="7" fillId="0" borderId="1" xfId="0" applyNumberFormat="1" applyFont="1" applyBorder="1"/>
    <xf numFmtId="4" fontId="0" fillId="5" borderId="0" xfId="0" applyNumberFormat="1" applyFill="1"/>
    <xf numFmtId="4" fontId="2" fillId="0" borderId="1" xfId="0" applyNumberFormat="1" applyFont="1" applyBorder="1"/>
    <xf numFmtId="4" fontId="0" fillId="0" borderId="0" xfId="0" applyNumberFormat="1"/>
    <xf numFmtId="164" fontId="10" fillId="0" borderId="0" xfId="0" applyNumberFormat="1" applyFont="1"/>
    <xf numFmtId="164" fontId="11" fillId="0" borderId="0" xfId="0" applyNumberFormat="1" applyFont="1"/>
    <xf numFmtId="164" fontId="12" fillId="0" borderId="0" xfId="0" applyNumberFormat="1" applyFont="1"/>
    <xf numFmtId="164" fontId="0" fillId="5" borderId="0" xfId="0" applyNumberFormat="1" applyFill="1"/>
    <xf numFmtId="164" fontId="2" fillId="0" borderId="1" xfId="0" applyNumberFormat="1" applyFont="1" applyBorder="1"/>
    <xf numFmtId="3" fontId="10" fillId="0" borderId="0" xfId="0" applyNumberFormat="1" applyFont="1"/>
    <xf numFmtId="3" fontId="11" fillId="0" borderId="0" xfId="0" applyNumberFormat="1" applyFont="1"/>
    <xf numFmtId="3" fontId="12" fillId="0" borderId="0" xfId="0" applyNumberFormat="1" applyFont="1"/>
    <xf numFmtId="3" fontId="0" fillId="5" borderId="0" xfId="0" applyNumberFormat="1" applyFill="1"/>
    <xf numFmtId="3" fontId="2" fillId="0" borderId="1" xfId="0" applyNumberFormat="1" applyFont="1" applyBorder="1"/>
    <xf numFmtId="3" fontId="0" fillId="0" borderId="0" xfId="0" applyNumberFormat="1"/>
    <xf numFmtId="0" fontId="1" fillId="5" borderId="0" xfId="0" applyFont="1" applyFill="1"/>
    <xf numFmtId="0" fontId="4" fillId="5" borderId="0" xfId="0" applyFont="1" applyFill="1"/>
    <xf numFmtId="0" fontId="8" fillId="5" borderId="0" xfId="0" applyFont="1" applyFill="1"/>
    <xf numFmtId="0" fontId="3" fillId="5" borderId="0" xfId="0" applyFont="1" applyFill="1"/>
    <xf numFmtId="17" fontId="3" fillId="0" borderId="0" xfId="0" applyNumberFormat="1" applyFont="1"/>
    <xf numFmtId="0" fontId="15" fillId="0" borderId="0" xfId="0" applyFont="1"/>
    <xf numFmtId="165" fontId="2" fillId="0" borderId="0" xfId="0" applyNumberFormat="1" applyFont="1"/>
    <xf numFmtId="165" fontId="14" fillId="0" borderId="0" xfId="0" applyNumberFormat="1" applyFont="1"/>
    <xf numFmtId="2" fontId="14" fillId="0" borderId="0" xfId="0" applyNumberFormat="1" applyFont="1"/>
    <xf numFmtId="165" fontId="5" fillId="0" borderId="0" xfId="0" applyNumberFormat="1" applyFont="1"/>
    <xf numFmtId="164" fontId="5" fillId="0" borderId="0" xfId="0" applyNumberFormat="1" applyFont="1"/>
    <xf numFmtId="2" fontId="2" fillId="0" borderId="0" xfId="0" applyNumberFormat="1" applyFont="1"/>
    <xf numFmtId="166" fontId="2" fillId="0" borderId="0" xfId="0" applyNumberFormat="1" applyFont="1"/>
    <xf numFmtId="166" fontId="5" fillId="0" borderId="0" xfId="0" applyNumberFormat="1" applyFont="1"/>
    <xf numFmtId="3" fontId="2" fillId="0" borderId="0" xfId="0" applyNumberFormat="1" applyFont="1"/>
    <xf numFmtId="3" fontId="5" fillId="0" borderId="0" xfId="0" applyNumberFormat="1" applyFont="1"/>
    <xf numFmtId="166" fontId="7" fillId="0" borderId="0" xfId="0" applyNumberFormat="1" applyFont="1"/>
    <xf numFmtId="166" fontId="1" fillId="0" borderId="0" xfId="0" applyNumberFormat="1" applyFont="1"/>
    <xf numFmtId="166" fontId="6" fillId="3" borderId="0" xfId="0" applyNumberFormat="1" applyFont="1" applyFill="1"/>
    <xf numFmtId="166" fontId="6" fillId="0" borderId="0" xfId="0" applyNumberFormat="1" applyFont="1"/>
    <xf numFmtId="164" fontId="7" fillId="0" borderId="1" xfId="0" applyNumberFormat="1" applyFont="1" applyBorder="1"/>
    <xf numFmtId="165" fontId="11" fillId="0" borderId="1" xfId="0" applyNumberFormat="1" applyFont="1" applyBorder="1"/>
    <xf numFmtId="166" fontId="7" fillId="0" borderId="1" xfId="0" applyNumberFormat="1" applyFont="1" applyBorder="1"/>
    <xf numFmtId="166" fontId="2" fillId="0" borderId="1" xfId="0" applyNumberFormat="1" applyFont="1" applyBorder="1"/>
    <xf numFmtId="164" fontId="13" fillId="0" borderId="1" xfId="0" applyNumberFormat="1" applyFont="1" applyBorder="1"/>
    <xf numFmtId="2" fontId="2" fillId="0" borderId="1" xfId="0" applyNumberFormat="1" applyFont="1" applyBorder="1"/>
    <xf numFmtId="3" fontId="7" fillId="0" borderId="1" xfId="0" applyNumberFormat="1" applyFont="1" applyBorder="1"/>
    <xf numFmtId="0" fontId="7" fillId="0" borderId="0" xfId="0" applyFont="1"/>
    <xf numFmtId="164" fontId="14" fillId="0" borderId="0" xfId="0" applyNumberFormat="1" applyFont="1"/>
    <xf numFmtId="0" fontId="16" fillId="0" borderId="0" xfId="0" applyFont="1"/>
    <xf numFmtId="166" fontId="3" fillId="0" borderId="0" xfId="0" applyNumberFormat="1" applyFont="1"/>
    <xf numFmtId="0" fontId="17" fillId="0" borderId="0" xfId="0" applyFont="1"/>
    <xf numFmtId="0" fontId="17" fillId="0" borderId="0" xfId="0" applyFont="1" applyAlignment="1">
      <alignment horizontal="left" indent="1"/>
    </xf>
    <xf numFmtId="166" fontId="0" fillId="0" borderId="0" xfId="0" applyNumberFormat="1"/>
    <xf numFmtId="166" fontId="18" fillId="0" borderId="0" xfId="0" applyNumberFormat="1" applyFont="1"/>
    <xf numFmtId="167" fontId="0" fillId="0" borderId="0" xfId="0" applyNumberFormat="1"/>
    <xf numFmtId="168" fontId="0" fillId="0" borderId="0" xfId="0" applyNumberFormat="1"/>
    <xf numFmtId="169" fontId="0" fillId="0" borderId="0" xfId="0" applyNumberFormat="1"/>
    <xf numFmtId="0" fontId="4" fillId="6" borderId="0" xfId="0" applyFont="1" applyFill="1"/>
    <xf numFmtId="3" fontId="14" fillId="0" borderId="0" xfId="0" applyNumberFormat="1" applyFont="1"/>
    <xf numFmtId="0" fontId="5" fillId="0" borderId="0" xfId="0" applyFont="1" applyAlignment="1">
      <alignment vertical="top" wrapText="1"/>
    </xf>
    <xf numFmtId="0" fontId="5" fillId="0" borderId="0" xfId="0" applyFont="1" applyFill="1"/>
    <xf numFmtId="0" fontId="4" fillId="0" borderId="0" xfId="0" applyFont="1" applyFill="1"/>
    <xf numFmtId="166" fontId="5" fillId="0" borderId="0" xfId="0" applyNumberFormat="1" applyFont="1" applyFill="1"/>
    <xf numFmtId="0" fontId="0" fillId="0" borderId="0" xfId="0" applyFill="1"/>
    <xf numFmtId="0" fontId="8"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N242"/>
  <sheetViews>
    <sheetView showGridLines="0" workbookViewId="0">
      <pane xSplit="3" ySplit="3" topLeftCell="S4" activePane="bottomRight" state="frozen"/>
      <selection pane="topRight"/>
      <selection pane="bottomLeft"/>
      <selection pane="bottomRight" activeCell="AJ226" sqref="AJ226"/>
    </sheetView>
  </sheetViews>
  <sheetFormatPr defaultRowHeight="14.4" outlineLevelRow="1" outlineLevelCol="1" x14ac:dyDescent="0.3"/>
  <cols>
    <col min="1" max="1" width="58" customWidth="1"/>
    <col min="2" max="2" width="10" customWidth="1"/>
    <col min="3" max="3" width="22" customWidth="1"/>
    <col min="4" max="15" width="11" hidden="1" customWidth="1" outlineLevel="1"/>
    <col min="16" max="16" width="11" customWidth="1" collapsed="1"/>
    <col min="17" max="27" width="11" hidden="1" customWidth="1"/>
    <col min="28" max="28" width="3" customWidth="1"/>
    <col min="29" max="33" width="12" hidden="1" customWidth="1" outlineLevel="1"/>
    <col min="34" max="34" width="12" customWidth="1" collapsed="1"/>
    <col min="35" max="40" width="12" customWidth="1"/>
  </cols>
  <sheetData>
    <row r="1" spans="1:40" x14ac:dyDescent="0.3">
      <c r="A1" s="1" t="s">
        <v>0</v>
      </c>
      <c r="B1" s="1" t="s">
        <v>1</v>
      </c>
      <c r="C1" s="1" t="s">
        <v>206</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9"/>
      <c r="AC1" s="1" t="s">
        <v>27</v>
      </c>
      <c r="AD1" s="1" t="s">
        <v>28</v>
      </c>
      <c r="AE1" s="1" t="s">
        <v>29</v>
      </c>
      <c r="AF1" s="1" t="s">
        <v>30</v>
      </c>
      <c r="AG1" s="1" t="s">
        <v>31</v>
      </c>
      <c r="AH1" s="1" t="s">
        <v>32</v>
      </c>
      <c r="AI1" s="1" t="s">
        <v>33</v>
      </c>
      <c r="AJ1" s="1" t="s">
        <v>34</v>
      </c>
      <c r="AK1" s="1" t="s">
        <v>207</v>
      </c>
      <c r="AL1" s="1" t="s">
        <v>208</v>
      </c>
      <c r="AM1" s="1" t="s">
        <v>209</v>
      </c>
      <c r="AN1" s="1" t="s">
        <v>210</v>
      </c>
    </row>
    <row r="2" spans="1:40" x14ac:dyDescent="0.3">
      <c r="A2" s="9" t="s">
        <v>35</v>
      </c>
      <c r="D2" s="47">
        <f>DATE(2021,6,30)</f>
        <v>44377</v>
      </c>
      <c r="E2" s="47">
        <f t="shared" ref="E2:AA2" si="0">EOMONTH(D2,-3)</f>
        <v>44286</v>
      </c>
      <c r="F2" s="47">
        <f t="shared" si="0"/>
        <v>44196</v>
      </c>
      <c r="G2" s="47">
        <f t="shared" si="0"/>
        <v>44104</v>
      </c>
      <c r="H2" s="47">
        <f t="shared" si="0"/>
        <v>44012</v>
      </c>
      <c r="I2" s="47">
        <f t="shared" si="0"/>
        <v>43921</v>
      </c>
      <c r="J2" s="47">
        <f t="shared" si="0"/>
        <v>43830</v>
      </c>
      <c r="K2" s="47">
        <f t="shared" si="0"/>
        <v>43738</v>
      </c>
      <c r="L2" s="47">
        <f t="shared" si="0"/>
        <v>43646</v>
      </c>
      <c r="M2" s="47">
        <f t="shared" si="0"/>
        <v>43555</v>
      </c>
      <c r="N2" s="47">
        <f t="shared" si="0"/>
        <v>43465</v>
      </c>
      <c r="O2" s="47">
        <f t="shared" si="0"/>
        <v>43373</v>
      </c>
      <c r="P2" s="47">
        <f t="shared" si="0"/>
        <v>43281</v>
      </c>
      <c r="Q2" s="47">
        <f t="shared" si="0"/>
        <v>43190</v>
      </c>
      <c r="R2" s="47">
        <f t="shared" si="0"/>
        <v>43100</v>
      </c>
      <c r="S2" s="47">
        <f t="shared" si="0"/>
        <v>43008</v>
      </c>
      <c r="T2" s="47">
        <f t="shared" si="0"/>
        <v>42916</v>
      </c>
      <c r="U2" s="47">
        <f t="shared" si="0"/>
        <v>42825</v>
      </c>
      <c r="V2" s="47">
        <f t="shared" si="0"/>
        <v>42735</v>
      </c>
      <c r="W2" s="47">
        <f t="shared" si="0"/>
        <v>42643</v>
      </c>
      <c r="X2" s="47">
        <f t="shared" si="0"/>
        <v>42551</v>
      </c>
      <c r="Y2" s="47">
        <f t="shared" si="0"/>
        <v>42460</v>
      </c>
      <c r="Z2" s="47">
        <f t="shared" si="0"/>
        <v>42369</v>
      </c>
      <c r="AA2" s="47">
        <f t="shared" si="0"/>
        <v>42277</v>
      </c>
      <c r="AB2" s="19"/>
      <c r="AC2" s="47">
        <f>DATE(2019,3,31)</f>
        <v>43555</v>
      </c>
      <c r="AD2" s="47">
        <f>DATE(2020,3,31)</f>
        <v>43921</v>
      </c>
      <c r="AE2" s="47">
        <f>DATE(2021,3,31)</f>
        <v>44286</v>
      </c>
      <c r="AF2" s="47">
        <f>DATE(2022,3,31)</f>
        <v>44651</v>
      </c>
      <c r="AG2" s="47">
        <f>DATE(2023,3,31)</f>
        <v>45016</v>
      </c>
      <c r="AH2" s="47">
        <f>DATE(2024,3,31)</f>
        <v>45382</v>
      </c>
      <c r="AI2" s="47">
        <f>DATE(2025,3,31)</f>
        <v>45747</v>
      </c>
      <c r="AJ2" s="47">
        <f>DATE(2026,3,31)</f>
        <v>46112</v>
      </c>
      <c r="AK2" s="47">
        <f>DATE(2027,3,31)</f>
        <v>46477</v>
      </c>
      <c r="AL2" s="47">
        <f>DATE(2028,3,31)</f>
        <v>46843</v>
      </c>
      <c r="AM2" s="47">
        <f>DATE(2029,3,31)</f>
        <v>47208</v>
      </c>
      <c r="AN2" s="47">
        <f>DATE(2030,3,31)</f>
        <v>47573</v>
      </c>
    </row>
    <row r="3" spans="1:40" x14ac:dyDescent="0.3">
      <c r="A3" s="17" t="s">
        <v>211</v>
      </c>
      <c r="AB3" s="19"/>
    </row>
    <row r="4" spans="1:40" collapsed="1" x14ac:dyDescent="0.3">
      <c r="A4" s="5" t="s">
        <v>212</v>
      </c>
      <c r="B4" s="5"/>
      <c r="C4" s="5"/>
      <c r="D4" s="5"/>
      <c r="E4" s="5"/>
      <c r="F4" s="5"/>
      <c r="G4" s="5"/>
      <c r="H4" s="5"/>
      <c r="I4" s="5"/>
      <c r="J4" s="5"/>
      <c r="K4" s="5"/>
      <c r="L4" s="5"/>
      <c r="M4" s="5"/>
      <c r="N4" s="5"/>
      <c r="O4" s="5"/>
      <c r="P4" s="5"/>
      <c r="Q4" s="5"/>
      <c r="R4" s="5"/>
      <c r="S4" s="5"/>
      <c r="T4" s="5"/>
      <c r="U4" s="5"/>
      <c r="V4" s="5"/>
      <c r="W4" s="5"/>
      <c r="X4" s="5"/>
      <c r="Y4" s="5"/>
      <c r="Z4" s="5"/>
      <c r="AA4" s="5"/>
      <c r="AB4" s="44"/>
      <c r="AC4" s="5"/>
      <c r="AD4" s="5"/>
      <c r="AE4" s="5"/>
      <c r="AF4" s="5"/>
      <c r="AG4" s="5"/>
      <c r="AH4" s="5"/>
      <c r="AI4" s="5"/>
      <c r="AJ4" s="5"/>
      <c r="AK4" s="5"/>
      <c r="AL4" s="5"/>
      <c r="AM4" s="5"/>
      <c r="AN4" s="5"/>
    </row>
    <row r="5" spans="1:40" hidden="1" outlineLevel="1" x14ac:dyDescent="0.3">
      <c r="A5" s="20" t="s">
        <v>213</v>
      </c>
      <c r="B5" s="17" t="s">
        <v>214</v>
      </c>
      <c r="C5" s="22" t="s">
        <v>215</v>
      </c>
      <c r="D5" s="55" t="str">
        <f>IFERROR(D32+D61+D84,"")</f>
        <v/>
      </c>
      <c r="E5" s="55" t="str">
        <f>IFERROR(E32+E61+E84,"")</f>
        <v/>
      </c>
      <c r="F5" s="55" t="str">
        <f>IFERROR(F32+F61+F84,"")</f>
        <v/>
      </c>
      <c r="G5" s="55" t="str">
        <f>IFERROR(G32+G61+G84,"")</f>
        <v/>
      </c>
      <c r="H5" s="55" t="str">
        <f>IFERROR(H32+H61+H84,"")</f>
        <v/>
      </c>
      <c r="I5" s="55" t="str">
        <f>IFERROR(I32+I61+I84,"")</f>
        <v/>
      </c>
      <c r="J5" s="55" t="str">
        <f>IFERROR(J32+J61+J84,"")</f>
        <v/>
      </c>
      <c r="K5" s="55" t="str">
        <f>IFERROR(K32+K61+K84,"")</f>
        <v/>
      </c>
      <c r="L5" s="55">
        <f>IFERROR(L32+L61+L84,"")</f>
        <v>26678</v>
      </c>
      <c r="M5" s="55">
        <f>IFERROR(M32+M61+M84,"")</f>
        <v>29435</v>
      </c>
      <c r="N5" s="55">
        <f>IFERROR(N32+N61+N84,"")</f>
        <v>36195</v>
      </c>
      <c r="O5" s="55">
        <f>IFERROR(O32+O61+O84,"")</f>
        <v>32163</v>
      </c>
      <c r="P5" s="55">
        <f>IFERROR(P32+P61+P84,"")</f>
        <v>33209</v>
      </c>
      <c r="Q5" s="55">
        <f>IFERROR(Q32+Q61+Q84,"")</f>
        <v>36525</v>
      </c>
      <c r="R5" s="55">
        <f>IFERROR(R32+R61+R84,"")</f>
        <v>45279</v>
      </c>
      <c r="S5" s="55">
        <f>IFERROR(S32+S61+S84,"")</f>
        <v>41020</v>
      </c>
      <c r="T5" s="55">
        <f>IFERROR(T32+T61+T84,"")</f>
        <v>41820</v>
      </c>
      <c r="U5" s="55">
        <f>IFERROR(U32+U61+U84,"")</f>
        <v>47440</v>
      </c>
      <c r="V5" s="55">
        <f>IFERROR(V32+V61+V84,"")</f>
        <v>57950</v>
      </c>
      <c r="W5" s="55">
        <f>IFERROR(W32+W61+W84,"")</f>
        <v>52410</v>
      </c>
      <c r="AB5" s="19"/>
      <c r="AC5" s="56">
        <f>IFERROR(AC32+AC61+AC84,"")</f>
        <v>0</v>
      </c>
      <c r="AD5" s="56">
        <f>IFERROR(AD32+AD61+AD84,"")</f>
        <v>0</v>
      </c>
      <c r="AE5" s="56">
        <f>IFERROR(AE32+AE61+AE84,"")</f>
        <v>0</v>
      </c>
      <c r="AF5" s="56" t="str">
        <f>IFERROR(AF32+AF61+AF84,"")</f>
        <v/>
      </c>
      <c r="AG5" s="56" t="str">
        <f>IFERROR(AG32+AG61+AG84,"")</f>
        <v/>
      </c>
      <c r="AH5" s="56">
        <f>IFERROR(AH32+AH61+AH84,"")</f>
        <v>124471</v>
      </c>
      <c r="AI5" s="56">
        <f>IFERROR(AI32+AI61+AI84,"")</f>
        <v>156033</v>
      </c>
      <c r="AJ5" s="56">
        <f>IFERROR(AJ32+AJ61+AJ84,"")</f>
        <v>199620</v>
      </c>
      <c r="AK5" s="56">
        <f>IFERROR(AK32+AK61+AK84,"")</f>
        <v>263017.48922741227</v>
      </c>
      <c r="AL5" s="56">
        <f>IFERROR(AL32+AL61+AL84,"")</f>
        <v>346534.19089567882</v>
      </c>
      <c r="AM5" s="56">
        <f>IFERROR(AM32+AM61+AM84,"")</f>
        <v>456596.00971825066</v>
      </c>
      <c r="AN5" s="56">
        <f>IFERROR(AN32+AN61+AN84,"")</f>
        <v>601648.57788102538</v>
      </c>
    </row>
    <row r="6" spans="1:40" hidden="1" outlineLevel="1" x14ac:dyDescent="0.3">
      <c r="A6" s="20" t="s">
        <v>216</v>
      </c>
      <c r="B6" s="17" t="s">
        <v>217</v>
      </c>
      <c r="C6" s="22" t="s">
        <v>215</v>
      </c>
      <c r="H6" s="49" t="str">
        <f t="shared" ref="H6:W6" si="1">IFERROR(H5/D5-1,"")</f>
        <v/>
      </c>
      <c r="I6" s="49" t="str">
        <f t="shared" si="1"/>
        <v/>
      </c>
      <c r="J6" s="49" t="str">
        <f t="shared" si="1"/>
        <v/>
      </c>
      <c r="K6" s="49" t="str">
        <f t="shared" si="1"/>
        <v/>
      </c>
      <c r="L6" s="49" t="str">
        <f t="shared" si="1"/>
        <v/>
      </c>
      <c r="M6" s="49" t="str">
        <f t="shared" si="1"/>
        <v/>
      </c>
      <c r="N6" s="49" t="str">
        <f t="shared" si="1"/>
        <v/>
      </c>
      <c r="O6" s="49" t="str">
        <f t="shared" si="1"/>
        <v/>
      </c>
      <c r="P6" s="49">
        <f t="shared" si="1"/>
        <v>0.24480845640602733</v>
      </c>
      <c r="Q6" s="49">
        <f t="shared" si="1"/>
        <v>0.24086971292678783</v>
      </c>
      <c r="R6" s="49">
        <f t="shared" si="1"/>
        <v>0.25097389142146698</v>
      </c>
      <c r="S6" s="49">
        <f t="shared" si="1"/>
        <v>0.27537854055902744</v>
      </c>
      <c r="T6" s="49">
        <f t="shared" si="1"/>
        <v>0.25929717847571432</v>
      </c>
      <c r="U6" s="49">
        <f t="shared" si="1"/>
        <v>0.29883641341546885</v>
      </c>
      <c r="V6" s="49">
        <f t="shared" si="1"/>
        <v>0.2798427527109697</v>
      </c>
      <c r="W6" s="49">
        <f t="shared" si="1"/>
        <v>0.27766942954656271</v>
      </c>
      <c r="AB6" s="19"/>
      <c r="AD6" s="52" t="str">
        <f t="shared" ref="AD6:AN6" si="2">IFERROR(AD5/AC5-1,"")</f>
        <v/>
      </c>
      <c r="AE6" s="52" t="str">
        <f t="shared" si="2"/>
        <v/>
      </c>
      <c r="AF6" s="52" t="str">
        <f t="shared" si="2"/>
        <v/>
      </c>
      <c r="AG6" s="52" t="str">
        <f t="shared" si="2"/>
        <v/>
      </c>
      <c r="AH6" s="52" t="str">
        <f t="shared" si="2"/>
        <v/>
      </c>
      <c r="AI6" s="52">
        <f t="shared" si="2"/>
        <v>0.25356910445003256</v>
      </c>
      <c r="AJ6" s="52">
        <f t="shared" si="2"/>
        <v>0.27934475399434744</v>
      </c>
      <c r="AK6" s="52">
        <f t="shared" si="2"/>
        <v>0.317590868787758</v>
      </c>
      <c r="AL6" s="52">
        <f t="shared" si="2"/>
        <v>0.31753288313103645</v>
      </c>
      <c r="AM6" s="52">
        <f t="shared" si="2"/>
        <v>0.31760738684427547</v>
      </c>
      <c r="AN6" s="52">
        <f t="shared" si="2"/>
        <v>0.31768251380970569</v>
      </c>
    </row>
    <row r="7" spans="1:40" hidden="1" outlineLevel="1" x14ac:dyDescent="0.3">
      <c r="A7" s="20" t="s">
        <v>218</v>
      </c>
      <c r="B7" s="17" t="s">
        <v>214</v>
      </c>
      <c r="C7" s="22" t="s">
        <v>215</v>
      </c>
      <c r="D7" s="55" t="str">
        <f>IFERROR(D34+D63+D86,"")</f>
        <v/>
      </c>
      <c r="E7" s="55" t="str">
        <f>IFERROR(E34+E63+E86,"")</f>
        <v/>
      </c>
      <c r="F7" s="55" t="str">
        <f>IFERROR(F34+F63+F86,"")</f>
        <v/>
      </c>
      <c r="G7" s="55" t="str">
        <f>IFERROR(G34+G63+G86,"")</f>
        <v/>
      </c>
      <c r="H7" s="55" t="str">
        <f>IFERROR(H34+H63+H86,"")</f>
        <v/>
      </c>
      <c r="I7" s="55" t="str">
        <f>IFERROR(I34+I63+I86,"")</f>
        <v/>
      </c>
      <c r="J7" s="55" t="str">
        <f>IFERROR(J34+J63+J86,"")</f>
        <v/>
      </c>
      <c r="K7" s="55" t="str">
        <f>IFERROR(K34+K63+K86,"")</f>
        <v/>
      </c>
      <c r="L7" s="55">
        <f>IFERROR(L34+L63+L86,"")</f>
        <v>14205</v>
      </c>
      <c r="M7" s="55">
        <f>IFERROR(M34+M63+M86,"")</f>
        <v>14982</v>
      </c>
      <c r="N7" s="55">
        <f>IFERROR(N34+N63+N86,"")</f>
        <v>17866</v>
      </c>
      <c r="O7" s="55">
        <f>IFERROR(O34+O63+O86,"")</f>
        <v>16489</v>
      </c>
      <c r="P7" s="55">
        <f>IFERROR(P34+P63+P86,"")</f>
        <v>17183</v>
      </c>
      <c r="Q7" s="55">
        <f>IFERROR(Q34+Q63+Q86,"")</f>
        <v>18432</v>
      </c>
      <c r="R7" s="55">
        <f>IFERROR(R34+R63+R86,"")</f>
        <v>22190</v>
      </c>
      <c r="S7" s="55">
        <f>IFERROR(S34+S63+S86,"")</f>
        <v>20430</v>
      </c>
      <c r="T7" s="55">
        <f>IFERROR(T34+T63+T86,"")</f>
        <v>21370</v>
      </c>
      <c r="U7" s="55">
        <f>IFERROR(U34+U63+U86,"")</f>
        <v>23400</v>
      </c>
      <c r="V7" s="55">
        <f>IFERROR(V34+V63+V86,"")</f>
        <v>28440</v>
      </c>
      <c r="W7" s="55">
        <f>IFERROR(W34+W63+W86,"")</f>
        <v>26780</v>
      </c>
      <c r="AB7" s="19"/>
      <c r="AC7" s="56">
        <f>IFERROR(AC34+AC63+AC86,"")</f>
        <v>0</v>
      </c>
      <c r="AD7" s="56">
        <f>IFERROR(AD34+AD63+AD86,"")</f>
        <v>0</v>
      </c>
      <c r="AE7" s="56">
        <f>IFERROR(AE34+AE63+AE86,"")</f>
        <v>0</v>
      </c>
      <c r="AF7" s="56" t="str">
        <f>IFERROR(AF34+AF63+AF86,"")</f>
        <v/>
      </c>
      <c r="AG7" s="56" t="str">
        <f>IFERROR(AG34+AG63+AG86,"")</f>
        <v/>
      </c>
      <c r="AH7" s="56">
        <f>IFERROR(AH34+AH63+AH86,"")</f>
        <v>63542</v>
      </c>
      <c r="AI7" s="56">
        <f>IFERROR(AI34+AI63+AI86,"")</f>
        <v>78235</v>
      </c>
      <c r="AJ7" s="56">
        <f>IFERROR(AJ34+AJ63+AJ86,"")</f>
        <v>99990</v>
      </c>
      <c r="AK7" s="56">
        <f>IFERROR(AK34+AK63+AK86,"")</f>
        <v>131534.75452388544</v>
      </c>
      <c r="AL7" s="56">
        <f>IFERROR(AL34+AL63+AL86,"")</f>
        <v>172985.26563418089</v>
      </c>
      <c r="AM7" s="56">
        <f>IFERROR(AM34+AM63+AM86,"")</f>
        <v>227506.72528401713</v>
      </c>
      <c r="AN7" s="56">
        <f>IFERROR(AN34+AN63+AN86,"")</f>
        <v>299223.77249193029</v>
      </c>
    </row>
    <row r="8" spans="1:40" hidden="1" outlineLevel="1" x14ac:dyDescent="0.3">
      <c r="A8" s="20" t="s">
        <v>219</v>
      </c>
      <c r="B8" s="17" t="s">
        <v>217</v>
      </c>
      <c r="C8" s="22" t="s">
        <v>215</v>
      </c>
      <c r="D8" s="49" t="str">
        <f t="shared" ref="D8:W8" si="3">IFERROR(D7/D5,"")</f>
        <v/>
      </c>
      <c r="E8" s="49" t="str">
        <f t="shared" si="3"/>
        <v/>
      </c>
      <c r="F8" s="49" t="str">
        <f t="shared" si="3"/>
        <v/>
      </c>
      <c r="G8" s="49" t="str">
        <f t="shared" si="3"/>
        <v/>
      </c>
      <c r="H8" s="49" t="str">
        <f t="shared" si="3"/>
        <v/>
      </c>
      <c r="I8" s="49" t="str">
        <f t="shared" si="3"/>
        <v/>
      </c>
      <c r="J8" s="49" t="str">
        <f t="shared" si="3"/>
        <v/>
      </c>
      <c r="K8" s="49" t="str">
        <f t="shared" si="3"/>
        <v/>
      </c>
      <c r="L8" s="49">
        <f t="shared" si="3"/>
        <v>0.53246120398830499</v>
      </c>
      <c r="M8" s="49">
        <f t="shared" si="3"/>
        <v>0.50898590113810094</v>
      </c>
      <c r="N8" s="49">
        <f t="shared" si="3"/>
        <v>0.49360408896256391</v>
      </c>
      <c r="O8" s="49">
        <f t="shared" si="3"/>
        <v>0.51266983801262322</v>
      </c>
      <c r="P8" s="49">
        <f t="shared" si="3"/>
        <v>0.51741997651239124</v>
      </c>
      <c r="Q8" s="49">
        <f t="shared" si="3"/>
        <v>0.50464065708418893</v>
      </c>
      <c r="R8" s="49">
        <f t="shared" si="3"/>
        <v>0.49007266061529625</v>
      </c>
      <c r="S8" s="49">
        <f t="shared" si="3"/>
        <v>0.49804973183812773</v>
      </c>
      <c r="T8" s="49">
        <f t="shared" si="3"/>
        <v>0.51099952175992347</v>
      </c>
      <c r="U8" s="49">
        <f t="shared" si="3"/>
        <v>0.49325463743676223</v>
      </c>
      <c r="V8" s="49">
        <f t="shared" si="3"/>
        <v>0.49076790336496978</v>
      </c>
      <c r="W8" s="49">
        <f t="shared" si="3"/>
        <v>0.51097118870444569</v>
      </c>
      <c r="AB8" s="19"/>
      <c r="AC8" s="52" t="str">
        <f t="shared" ref="AC8:AJ8" si="4">IFERROR(AC7/AC5,"")</f>
        <v/>
      </c>
      <c r="AD8" s="52" t="str">
        <f t="shared" si="4"/>
        <v/>
      </c>
      <c r="AE8" s="52" t="str">
        <f t="shared" si="4"/>
        <v/>
      </c>
      <c r="AF8" s="52" t="str">
        <f t="shared" si="4"/>
        <v/>
      </c>
      <c r="AG8" s="52" t="str">
        <f t="shared" si="4"/>
        <v/>
      </c>
      <c r="AH8" s="52">
        <f t="shared" si="4"/>
        <v>0.51049642085305014</v>
      </c>
      <c r="AI8" s="52">
        <f t="shared" si="4"/>
        <v>0.50140034479885665</v>
      </c>
      <c r="AJ8" s="52">
        <f t="shared" si="4"/>
        <v>0.50090171325518484</v>
      </c>
    </row>
    <row r="9" spans="1:40" hidden="1" outlineLevel="1" x14ac:dyDescent="0.3">
      <c r="A9" s="20" t="s">
        <v>220</v>
      </c>
      <c r="B9" s="17" t="s">
        <v>214</v>
      </c>
      <c r="C9" s="22" t="s">
        <v>215</v>
      </c>
      <c r="D9" s="55" t="str">
        <f>IFERROR(D36+D65+D88,"")</f>
        <v/>
      </c>
      <c r="E9" s="55" t="str">
        <f>IFERROR(E36+E65+E88,"")</f>
        <v/>
      </c>
      <c r="F9" s="55" t="str">
        <f>IFERROR(F36+F65+F88,"")</f>
        <v/>
      </c>
      <c r="G9" s="55" t="str">
        <f>IFERROR(G36+G65+G88,"")</f>
        <v/>
      </c>
      <c r="H9" s="55" t="str">
        <f>IFERROR(H36+H65+H88,"")</f>
        <v/>
      </c>
      <c r="I9" s="55" t="str">
        <f>IFERROR(I36+I65+I88,"")</f>
        <v/>
      </c>
      <c r="J9" s="55" t="str">
        <f>IFERROR(J36+J65+J88,"")</f>
        <v/>
      </c>
      <c r="K9" s="55" t="str">
        <f>IFERROR(K36+K65+K88,"")</f>
        <v/>
      </c>
      <c r="L9" s="55">
        <f>IFERROR(L36+L65+L88,"")</f>
        <v>14218.24</v>
      </c>
      <c r="M9" s="55" t="str">
        <f>IFERROR(M36+M65+M88,"")</f>
        <v/>
      </c>
      <c r="N9" s="55">
        <f>IFERROR(N36+N65+N88,"")</f>
        <v>17887.98</v>
      </c>
      <c r="O9" s="55">
        <f>IFERROR(O36+O65+O88,"")</f>
        <v>16679.8</v>
      </c>
      <c r="P9" s="55">
        <f>IFERROR(P36+P65+P88,"")</f>
        <v>17461.099999999999</v>
      </c>
      <c r="Q9" s="55">
        <f>IFERROR(Q36+Q65+Q88,"")</f>
        <v>18747.400000000001</v>
      </c>
      <c r="R9" s="55">
        <f>IFERROR(R36+R65+R88,"")</f>
        <v>22672.1</v>
      </c>
      <c r="S9" s="55">
        <f>IFERROR(S36+S65+S88,"")</f>
        <v>20617.599999999999</v>
      </c>
      <c r="T9" s="55">
        <f>IFERROR(T36+T65+T88,"")</f>
        <v>21549.4</v>
      </c>
      <c r="U9" s="55">
        <f>IFERROR(U36+U65+U88,"")</f>
        <v>23459.8</v>
      </c>
      <c r="V9" s="55">
        <f>IFERROR(V36+V65+V88,"")</f>
        <v>28732.6</v>
      </c>
      <c r="W9" s="55">
        <f>IFERROR(W36+W65+W88,"")</f>
        <v>26480</v>
      </c>
      <c r="AB9" s="19"/>
      <c r="AC9" s="56">
        <f>IFERROR(AC36+AC65+AC88,"")</f>
        <v>0</v>
      </c>
      <c r="AD9" s="56">
        <f>IFERROR(AD36+AD65+AD88,"")</f>
        <v>0</v>
      </c>
      <c r="AE9" s="56">
        <f>IFERROR(AE36+AE65+AE88,"")</f>
        <v>0</v>
      </c>
      <c r="AF9" s="56" t="str">
        <f>IFERROR(AF36+AF65+AF88,"")</f>
        <v/>
      </c>
      <c r="AG9" s="56" t="str">
        <f>IFERROR(AG36+AG65+AG88,"")</f>
        <v/>
      </c>
      <c r="AH9" s="56">
        <f>IFERROR(AH36+AH65+AH88,"")</f>
        <v>63856.259999999995</v>
      </c>
      <c r="AI9" s="56">
        <f>IFERROR(AI36+AI65+AI88,"")</f>
        <v>79498.2</v>
      </c>
      <c r="AJ9" s="56">
        <f>IFERROR(AJ36+AJ65+AJ88,"")</f>
        <v>100221.79999999999</v>
      </c>
      <c r="AK9" s="56">
        <f>IFERROR(AK36+AK65+AK88,"")</f>
        <v>131751.30830328233</v>
      </c>
      <c r="AL9" s="56">
        <f>IFERROR(AL36+AL65+AL88,"")</f>
        <v>173081.96381576173</v>
      </c>
      <c r="AM9" s="56">
        <f>IFERROR(AM36+AM65+AM88,"")</f>
        <v>227383.51597326077</v>
      </c>
      <c r="AN9" s="56">
        <f>IFERROR(AN36+AN65+AN88,"")</f>
        <v>298728.43916474486</v>
      </c>
    </row>
    <row r="10" spans="1:40" hidden="1" outlineLevel="1" x14ac:dyDescent="0.3">
      <c r="A10" s="20" t="s">
        <v>216</v>
      </c>
      <c r="B10" s="17" t="s">
        <v>217</v>
      </c>
      <c r="C10" s="22" t="s">
        <v>215</v>
      </c>
      <c r="H10" s="49" t="str">
        <f t="shared" ref="H10:W10" si="5">IFERROR(H9/D9-1,"")</f>
        <v/>
      </c>
      <c r="I10" s="49" t="str">
        <f t="shared" si="5"/>
        <v/>
      </c>
      <c r="J10" s="49" t="str">
        <f t="shared" si="5"/>
        <v/>
      </c>
      <c r="K10" s="49" t="str">
        <f t="shared" si="5"/>
        <v/>
      </c>
      <c r="L10" s="49" t="str">
        <f t="shared" si="5"/>
        <v/>
      </c>
      <c r="M10" s="49" t="str">
        <f t="shared" si="5"/>
        <v/>
      </c>
      <c r="N10" s="49" t="str">
        <f t="shared" si="5"/>
        <v/>
      </c>
      <c r="O10" s="49" t="str">
        <f t="shared" si="5"/>
        <v/>
      </c>
      <c r="P10" s="49">
        <f t="shared" si="5"/>
        <v>0.22807745543752245</v>
      </c>
      <c r="Q10" s="49" t="str">
        <f t="shared" si="5"/>
        <v/>
      </c>
      <c r="R10" s="49">
        <f t="shared" si="5"/>
        <v>0.26744886789900257</v>
      </c>
      <c r="S10" s="49">
        <f t="shared" si="5"/>
        <v>0.23608196740968124</v>
      </c>
      <c r="T10" s="49">
        <f t="shared" si="5"/>
        <v>0.23413759728768535</v>
      </c>
      <c r="U10" s="49">
        <f t="shared" si="5"/>
        <v>0.2513628556493166</v>
      </c>
      <c r="V10" s="49">
        <f t="shared" si="5"/>
        <v>0.26731092399910028</v>
      </c>
      <c r="W10" s="49">
        <f t="shared" si="5"/>
        <v>0.28433959335713177</v>
      </c>
      <c r="AB10" s="19"/>
      <c r="AD10" s="52" t="str">
        <f t="shared" ref="AD10:AN10" si="6">IFERROR(AD9/AC9-1,"")</f>
        <v/>
      </c>
      <c r="AE10" s="52" t="str">
        <f t="shared" si="6"/>
        <v/>
      </c>
      <c r="AF10" s="52" t="str">
        <f t="shared" si="6"/>
        <v/>
      </c>
      <c r="AG10" s="52" t="str">
        <f t="shared" si="6"/>
        <v/>
      </c>
      <c r="AH10" s="52" t="str">
        <f t="shared" si="6"/>
        <v/>
      </c>
      <c r="AI10" s="52">
        <f t="shared" si="6"/>
        <v>0.24495546716954619</v>
      </c>
      <c r="AJ10" s="52">
        <f t="shared" si="6"/>
        <v>0.26068011602778407</v>
      </c>
      <c r="AK10" s="52">
        <f t="shared" si="6"/>
        <v>0.31459730620765503</v>
      </c>
      <c r="AL10" s="52">
        <f t="shared" si="6"/>
        <v>0.31370205005736351</v>
      </c>
      <c r="AM10" s="52">
        <f t="shared" si="6"/>
        <v>0.31373316410542174</v>
      </c>
      <c r="AN10" s="52">
        <f t="shared" si="6"/>
        <v>0.31376471107023396</v>
      </c>
    </row>
    <row r="11" spans="1:40" hidden="1" outlineLevel="1" x14ac:dyDescent="0.3">
      <c r="A11" s="20" t="s">
        <v>221</v>
      </c>
      <c r="B11" s="17" t="s">
        <v>214</v>
      </c>
      <c r="C11" s="22" t="s">
        <v>215</v>
      </c>
      <c r="D11" s="55" t="str">
        <f>IFERROR(D38+D67+D90,"")</f>
        <v/>
      </c>
      <c r="E11" s="55" t="str">
        <f>IFERROR(E38+E67+E90,"")</f>
        <v/>
      </c>
      <c r="F11" s="55" t="str">
        <f>IFERROR(F38+F67+F90,"")</f>
        <v/>
      </c>
      <c r="G11" s="55" t="str">
        <f>IFERROR(G38+G67+G90,"")</f>
        <v/>
      </c>
      <c r="H11" s="55" t="str">
        <f>IFERROR(H38+H67+H90,"")</f>
        <v/>
      </c>
      <c r="I11" s="55" t="str">
        <f>IFERROR(I38+I67+I90,"")</f>
        <v/>
      </c>
      <c r="J11" s="55" t="str">
        <f>IFERROR(J38+J67+J90,"")</f>
        <v/>
      </c>
      <c r="K11" s="55" t="str">
        <f>IFERROR(K38+K67+K90,"")</f>
        <v/>
      </c>
      <c r="L11" s="55">
        <f>IFERROR(L38+L67+L90,"")</f>
        <v>6148.25</v>
      </c>
      <c r="M11" s="55" t="str">
        <f>IFERROR(M38+M67+M90,"")</f>
        <v/>
      </c>
      <c r="N11" s="55">
        <f>IFERROR(N38+N67+N90,"")</f>
        <v>7600.48</v>
      </c>
      <c r="O11" s="55">
        <f>IFERROR(O38+O67+O90,"")</f>
        <v>7000.43</v>
      </c>
      <c r="P11" s="55">
        <f>IFERROR(P38+P67+P90,"")</f>
        <v>7468.8</v>
      </c>
      <c r="Q11" s="55">
        <f>IFERROR(Q38+Q67+Q90,"")</f>
        <v>8176.2000000000007</v>
      </c>
      <c r="R11" s="55">
        <f>IFERROR(R38+R67+R90,"")</f>
        <v>9781.4</v>
      </c>
      <c r="S11" s="55">
        <f>IFERROR(S38+S67+S90,"")</f>
        <v>8940.2000000000007</v>
      </c>
      <c r="T11" s="55">
        <f>IFERROR(T38+T67+T90,"")</f>
        <v>9605.1</v>
      </c>
      <c r="U11" s="55">
        <f>IFERROR(U38+U67+U90,"")</f>
        <v>10495.4</v>
      </c>
      <c r="V11" s="55">
        <f>IFERROR(V38+V67+V90,"")</f>
        <v>12924.8</v>
      </c>
      <c r="W11" s="55">
        <f>IFERROR(W38+W67+W90,"")</f>
        <v>11980</v>
      </c>
      <c r="AB11" s="19"/>
      <c r="AC11" s="56">
        <f>IFERROR(AC38+AC67+AC90,"")</f>
        <v>0</v>
      </c>
      <c r="AD11" s="56">
        <f>IFERROR(AD38+AD67+AD90,"")</f>
        <v>0</v>
      </c>
      <c r="AE11" s="56">
        <f>IFERROR(AE38+AE67+AE90,"")</f>
        <v>0</v>
      </c>
      <c r="AF11" s="56" t="str">
        <f>IFERROR(AF38+AF67+AF90,"")</f>
        <v/>
      </c>
      <c r="AG11" s="56" t="str">
        <f>IFERROR(AG38+AG67+AG90,"")</f>
        <v/>
      </c>
      <c r="AH11" s="56">
        <f>IFERROR(AH38+AH67+AH90,"")</f>
        <v>24033.4</v>
      </c>
      <c r="AI11" s="56">
        <f>IFERROR(AI38+AI67+AI90,"")</f>
        <v>34366.600000000006</v>
      </c>
      <c r="AJ11" s="56">
        <f>IFERROR(AJ38+AJ67+AJ90,"")</f>
        <v>45005.3</v>
      </c>
      <c r="AK11" s="56">
        <f>IFERROR(AK38+AK67+AK90,"")</f>
        <v>59220.386503890237</v>
      </c>
      <c r="AL11" s="56">
        <f>IFERROR(AL38+AL67+AL90,"")</f>
        <v>77896.783181169783</v>
      </c>
      <c r="AM11" s="56">
        <f>IFERROR(AM38+AM67+AM90,"")</f>
        <v>102467.22966996823</v>
      </c>
      <c r="AN11" s="56">
        <f>IFERROR(AN38+AN67+AN90,"")</f>
        <v>134793.15919589336</v>
      </c>
    </row>
    <row r="12" spans="1:40" hidden="1" outlineLevel="1" x14ac:dyDescent="0.3">
      <c r="A12" s="20" t="s">
        <v>222</v>
      </c>
      <c r="B12" s="17" t="s">
        <v>217</v>
      </c>
      <c r="C12" s="22" t="s">
        <v>215</v>
      </c>
      <c r="D12" s="49" t="str">
        <f t="shared" ref="D12:W12" si="7">IFERROR(D11/D7,"")</f>
        <v/>
      </c>
      <c r="E12" s="49" t="str">
        <f t="shared" si="7"/>
        <v/>
      </c>
      <c r="F12" s="49" t="str">
        <f t="shared" si="7"/>
        <v/>
      </c>
      <c r="G12" s="49" t="str">
        <f t="shared" si="7"/>
        <v/>
      </c>
      <c r="H12" s="49" t="str">
        <f t="shared" si="7"/>
        <v/>
      </c>
      <c r="I12" s="49" t="str">
        <f t="shared" si="7"/>
        <v/>
      </c>
      <c r="J12" s="49" t="str">
        <f t="shared" si="7"/>
        <v/>
      </c>
      <c r="K12" s="49" t="str">
        <f t="shared" si="7"/>
        <v/>
      </c>
      <c r="L12" s="49">
        <f t="shared" si="7"/>
        <v>0.43282294966561069</v>
      </c>
      <c r="M12" s="49" t="str">
        <f t="shared" si="7"/>
        <v/>
      </c>
      <c r="N12" s="49">
        <f t="shared" si="7"/>
        <v>0.42541587372663159</v>
      </c>
      <c r="O12" s="49">
        <f t="shared" si="7"/>
        <v>0.42455151919461459</v>
      </c>
      <c r="P12" s="49">
        <f t="shared" si="7"/>
        <v>0.43466216609439562</v>
      </c>
      <c r="Q12" s="49">
        <f t="shared" si="7"/>
        <v>0.44358723958333335</v>
      </c>
      <c r="R12" s="49">
        <f t="shared" si="7"/>
        <v>0.44080216313654796</v>
      </c>
      <c r="S12" s="49">
        <f t="shared" si="7"/>
        <v>0.4376015663240333</v>
      </c>
      <c r="T12" s="49">
        <f t="shared" si="7"/>
        <v>0.44946654188114182</v>
      </c>
      <c r="U12" s="49">
        <f t="shared" si="7"/>
        <v>0.44852136752136751</v>
      </c>
      <c r="V12" s="49">
        <f t="shared" si="7"/>
        <v>0.45445850914205344</v>
      </c>
      <c r="W12" s="49">
        <f t="shared" si="7"/>
        <v>0.44734876773711724</v>
      </c>
      <c r="AB12" s="19"/>
      <c r="AC12" s="52" t="str">
        <f t="shared" ref="AC12:AJ12" si="8">IFERROR(AC11/AC7,"")</f>
        <v/>
      </c>
      <c r="AD12" s="52" t="str">
        <f t="shared" si="8"/>
        <v/>
      </c>
      <c r="AE12" s="52" t="str">
        <f t="shared" si="8"/>
        <v/>
      </c>
      <c r="AF12" s="52" t="str">
        <f t="shared" si="8"/>
        <v/>
      </c>
      <c r="AG12" s="52" t="str">
        <f t="shared" si="8"/>
        <v/>
      </c>
      <c r="AH12" s="52">
        <f t="shared" si="8"/>
        <v>0.37822857322715686</v>
      </c>
      <c r="AI12" s="52">
        <f t="shared" si="8"/>
        <v>0.439273982233016</v>
      </c>
      <c r="AJ12" s="52">
        <f t="shared" si="8"/>
        <v>0.45009800980098014</v>
      </c>
    </row>
    <row r="13" spans="1:40" hidden="1" outlineLevel="1" x14ac:dyDescent="0.3">
      <c r="A13" s="20" t="s">
        <v>223</v>
      </c>
      <c r="B13" s="17" t="s">
        <v>214</v>
      </c>
      <c r="C13" s="22" t="s">
        <v>215</v>
      </c>
      <c r="D13" s="55" t="str">
        <f t="shared" ref="D13:W13" si="9">D99</f>
        <v/>
      </c>
      <c r="E13" s="55" t="str">
        <f t="shared" si="9"/>
        <v/>
      </c>
      <c r="F13" s="55" t="str">
        <f t="shared" si="9"/>
        <v/>
      </c>
      <c r="G13" s="55" t="str">
        <f t="shared" si="9"/>
        <v/>
      </c>
      <c r="H13" s="55" t="str">
        <f t="shared" si="9"/>
        <v/>
      </c>
      <c r="I13" s="55" t="str">
        <f t="shared" si="9"/>
        <v/>
      </c>
      <c r="J13" s="55" t="str">
        <f t="shared" si="9"/>
        <v/>
      </c>
      <c r="K13" s="55" t="str">
        <f t="shared" si="9"/>
        <v/>
      </c>
      <c r="L13" s="55">
        <f t="shared" si="9"/>
        <v>734.65999999999985</v>
      </c>
      <c r="M13" s="55" t="str">
        <f t="shared" si="9"/>
        <v/>
      </c>
      <c r="N13" s="55">
        <f t="shared" si="9"/>
        <v>987.73999999999978</v>
      </c>
      <c r="O13" s="55">
        <f t="shared" si="9"/>
        <v>932.82000000000016</v>
      </c>
      <c r="P13" s="55">
        <f t="shared" si="9"/>
        <v>961.20000000000027</v>
      </c>
      <c r="Q13" s="55">
        <f t="shared" si="9"/>
        <v>1036.6000000000008</v>
      </c>
      <c r="R13" s="55">
        <f t="shared" si="9"/>
        <v>1407.7999999999997</v>
      </c>
      <c r="S13" s="55">
        <f t="shared" si="9"/>
        <v>1333.5000000000009</v>
      </c>
      <c r="T13" s="55">
        <f t="shared" si="9"/>
        <v>1506.8000000000002</v>
      </c>
      <c r="U13" s="55">
        <f t="shared" si="9"/>
        <v>1709.4999999999995</v>
      </c>
      <c r="V13" s="55">
        <f t="shared" si="9"/>
        <v>2517.5999999999995</v>
      </c>
      <c r="W13" s="55">
        <f t="shared" si="9"/>
        <v>2220</v>
      </c>
      <c r="AB13" s="19"/>
      <c r="AC13" s="56" t="str">
        <f t="shared" ref="AC13:AN13" si="10">AC99</f>
        <v/>
      </c>
      <c r="AD13" s="56" t="str">
        <f t="shared" si="10"/>
        <v/>
      </c>
      <c r="AE13" s="56" t="str">
        <f t="shared" si="10"/>
        <v/>
      </c>
      <c r="AF13" s="56" t="str">
        <f t="shared" si="10"/>
        <v/>
      </c>
      <c r="AG13" s="56" t="str">
        <f t="shared" si="10"/>
        <v/>
      </c>
      <c r="AH13" s="56">
        <f t="shared" si="10"/>
        <v>3461.510000000002</v>
      </c>
      <c r="AI13" s="56">
        <f t="shared" si="10"/>
        <v>4739.1000000000058</v>
      </c>
      <c r="AJ13" s="56">
        <f t="shared" si="10"/>
        <v>7953.9000000000015</v>
      </c>
      <c r="AK13" s="56">
        <f t="shared" si="10"/>
        <v>10462.832511963048</v>
      </c>
      <c r="AL13" s="56">
        <f t="shared" si="10"/>
        <v>13711.869120751831</v>
      </c>
      <c r="AM13" s="56">
        <f t="shared" si="10"/>
        <v>17969.567442999385</v>
      </c>
      <c r="AN13" s="56">
        <f t="shared" si="10"/>
        <v>23548.976014965352</v>
      </c>
    </row>
    <row r="14" spans="1:40" hidden="1" outlineLevel="1" x14ac:dyDescent="0.3">
      <c r="A14" s="20" t="s">
        <v>224</v>
      </c>
      <c r="B14" s="17" t="s">
        <v>217</v>
      </c>
      <c r="C14" s="22" t="s">
        <v>215</v>
      </c>
      <c r="D14" s="49" t="str">
        <f t="shared" ref="D14:W14" si="11">IFERROR(D13/D7,"")</f>
        <v/>
      </c>
      <c r="E14" s="49" t="str">
        <f t="shared" si="11"/>
        <v/>
      </c>
      <c r="F14" s="49" t="str">
        <f t="shared" si="11"/>
        <v/>
      </c>
      <c r="G14" s="49" t="str">
        <f t="shared" si="11"/>
        <v/>
      </c>
      <c r="H14" s="49" t="str">
        <f t="shared" si="11"/>
        <v/>
      </c>
      <c r="I14" s="49" t="str">
        <f t="shared" si="11"/>
        <v/>
      </c>
      <c r="J14" s="49" t="str">
        <f t="shared" si="11"/>
        <v/>
      </c>
      <c r="K14" s="49" t="str">
        <f t="shared" si="11"/>
        <v/>
      </c>
      <c r="L14" s="49">
        <f t="shared" si="11"/>
        <v>5.171840901091164E-2</v>
      </c>
      <c r="M14" s="49" t="str">
        <f t="shared" si="11"/>
        <v/>
      </c>
      <c r="N14" s="49">
        <f t="shared" si="11"/>
        <v>5.5286018135005027E-2</v>
      </c>
      <c r="O14" s="49">
        <f t="shared" si="11"/>
        <v>5.6572260294741959E-2</v>
      </c>
      <c r="P14" s="49">
        <f t="shared" si="11"/>
        <v>5.5939009486120017E-2</v>
      </c>
      <c r="Q14" s="49">
        <f t="shared" si="11"/>
        <v>5.6239149305555597E-2</v>
      </c>
      <c r="R14" s="49">
        <f t="shared" si="11"/>
        <v>6.3442992338891377E-2</v>
      </c>
      <c r="S14" s="49">
        <f t="shared" si="11"/>
        <v>6.5271659324522807E-2</v>
      </c>
      <c r="T14" s="49">
        <f t="shared" si="11"/>
        <v>7.051006083294338E-2</v>
      </c>
      <c r="U14" s="49">
        <f t="shared" si="11"/>
        <v>7.305555555555554E-2</v>
      </c>
      <c r="V14" s="49">
        <f t="shared" si="11"/>
        <v>8.8523206751054836E-2</v>
      </c>
      <c r="W14" s="49">
        <f t="shared" si="11"/>
        <v>8.2897684839432412E-2</v>
      </c>
      <c r="AB14" s="19"/>
      <c r="AC14" s="52" t="str">
        <f t="shared" ref="AC14:AJ14" si="12">IFERROR(AC13/AC7,"")</f>
        <v/>
      </c>
      <c r="AD14" s="52" t="str">
        <f t="shared" si="12"/>
        <v/>
      </c>
      <c r="AE14" s="52" t="str">
        <f t="shared" si="12"/>
        <v/>
      </c>
      <c r="AF14" s="52" t="str">
        <f t="shared" si="12"/>
        <v/>
      </c>
      <c r="AG14" s="52" t="str">
        <f t="shared" si="12"/>
        <v/>
      </c>
      <c r="AH14" s="52">
        <f t="shared" si="12"/>
        <v>5.4475937175411569E-2</v>
      </c>
      <c r="AI14" s="52">
        <f t="shared" si="12"/>
        <v>6.0575190132293802E-2</v>
      </c>
      <c r="AJ14" s="52">
        <f t="shared" si="12"/>
        <v>7.954695469546956E-2</v>
      </c>
    </row>
    <row r="15" spans="1:40" hidden="1" outlineLevel="1" x14ac:dyDescent="0.3">
      <c r="A15" s="20" t="s">
        <v>225</v>
      </c>
      <c r="B15" s="17" t="s">
        <v>214</v>
      </c>
      <c r="C15" s="22" t="s">
        <v>215</v>
      </c>
      <c r="D15" s="55" t="str">
        <f t="shared" ref="D15:W15" si="13">D111</f>
        <v/>
      </c>
      <c r="E15" s="55" t="str">
        <f t="shared" si="13"/>
        <v/>
      </c>
      <c r="F15" s="55" t="str">
        <f t="shared" si="13"/>
        <v/>
      </c>
      <c r="G15" s="55" t="str">
        <f t="shared" si="13"/>
        <v/>
      </c>
      <c r="H15" s="55" t="str">
        <f t="shared" si="13"/>
        <v/>
      </c>
      <c r="I15" s="55" t="str">
        <f t="shared" si="13"/>
        <v/>
      </c>
      <c r="J15" s="55" t="str">
        <f t="shared" si="13"/>
        <v/>
      </c>
      <c r="K15" s="55" t="str">
        <f t="shared" si="13"/>
        <v/>
      </c>
      <c r="L15" s="55">
        <f t="shared" si="13"/>
        <v>64.559999999999818</v>
      </c>
      <c r="M15" s="55" t="str">
        <f t="shared" si="13"/>
        <v/>
      </c>
      <c r="N15" s="55">
        <f t="shared" si="13"/>
        <v>182.3399999999998</v>
      </c>
      <c r="O15" s="55">
        <f t="shared" si="13"/>
        <v>97.370000000000175</v>
      </c>
      <c r="P15" s="55">
        <f t="shared" si="13"/>
        <v>142.4000000000002</v>
      </c>
      <c r="Q15" s="55">
        <f t="shared" si="13"/>
        <v>134.40000000000077</v>
      </c>
      <c r="R15" s="55">
        <f t="shared" si="13"/>
        <v>269.6999999999997</v>
      </c>
      <c r="S15" s="55">
        <f t="shared" si="13"/>
        <v>190.50000000000091</v>
      </c>
      <c r="T15" s="55">
        <f t="shared" si="13"/>
        <v>344.70000000000016</v>
      </c>
      <c r="U15" s="55">
        <f t="shared" si="13"/>
        <v>460.19999999999959</v>
      </c>
      <c r="V15" s="55">
        <f t="shared" si="13"/>
        <v>1060.9999999999993</v>
      </c>
      <c r="W15" s="55">
        <f t="shared" si="13"/>
        <v>778.3</v>
      </c>
      <c r="AB15" s="19"/>
      <c r="AC15" s="56" t="str">
        <f t="shared" ref="AC15:AN15" si="14">AC111</f>
        <v/>
      </c>
      <c r="AD15" s="56" t="str">
        <f t="shared" si="14"/>
        <v/>
      </c>
      <c r="AE15" s="56" t="str">
        <f t="shared" si="14"/>
        <v/>
      </c>
      <c r="AF15" s="56" t="str">
        <f t="shared" si="14"/>
        <v/>
      </c>
      <c r="AG15" s="56" t="str">
        <f t="shared" si="14"/>
        <v/>
      </c>
      <c r="AH15" s="56">
        <f t="shared" si="14"/>
        <v>437.17000000000212</v>
      </c>
      <c r="AI15" s="56">
        <f t="shared" si="14"/>
        <v>737.00000000000591</v>
      </c>
      <c r="AJ15" s="56">
        <f t="shared" si="14"/>
        <v>2644.2000000000012</v>
      </c>
      <c r="AK15" s="56">
        <f t="shared" si="14"/>
        <v>3174.513195860849</v>
      </c>
      <c r="AL15" s="56">
        <f t="shared" si="14"/>
        <v>4149.8753665307067</v>
      </c>
      <c r="AM15" s="56">
        <f t="shared" si="14"/>
        <v>5424.5496504069515</v>
      </c>
      <c r="AN15" s="56">
        <f t="shared" si="14"/>
        <v>7090.2623521054838</v>
      </c>
    </row>
    <row r="16" spans="1:40" hidden="1" outlineLevel="1" x14ac:dyDescent="0.3">
      <c r="A16" s="20" t="s">
        <v>226</v>
      </c>
      <c r="B16" s="17" t="s">
        <v>217</v>
      </c>
      <c r="C16" s="22" t="s">
        <v>215</v>
      </c>
      <c r="D16" s="49" t="str">
        <f t="shared" ref="D16:W16" si="15">IFERROR(D15/D9,"")</f>
        <v/>
      </c>
      <c r="E16" s="49" t="str">
        <f t="shared" si="15"/>
        <v/>
      </c>
      <c r="F16" s="49" t="str">
        <f t="shared" si="15"/>
        <v/>
      </c>
      <c r="G16" s="49" t="str">
        <f t="shared" si="15"/>
        <v/>
      </c>
      <c r="H16" s="49" t="str">
        <f t="shared" si="15"/>
        <v/>
      </c>
      <c r="I16" s="49" t="str">
        <f t="shared" si="15"/>
        <v/>
      </c>
      <c r="J16" s="49" t="str">
        <f t="shared" si="15"/>
        <v/>
      </c>
      <c r="K16" s="49" t="str">
        <f t="shared" si="15"/>
        <v/>
      </c>
      <c r="L16" s="49">
        <f t="shared" si="15"/>
        <v>4.5406463809866638E-3</v>
      </c>
      <c r="M16" s="49" t="str">
        <f t="shared" si="15"/>
        <v/>
      </c>
      <c r="N16" s="49">
        <f t="shared" si="15"/>
        <v>1.0193437157241891E-2</v>
      </c>
      <c r="O16" s="49">
        <f t="shared" si="15"/>
        <v>5.8375999712226871E-3</v>
      </c>
      <c r="P16" s="49">
        <f t="shared" si="15"/>
        <v>8.1552708592242309E-3</v>
      </c>
      <c r="Q16" s="49">
        <f t="shared" si="15"/>
        <v>7.1689941005153119E-3</v>
      </c>
      <c r="R16" s="49">
        <f t="shared" si="15"/>
        <v>1.1895677947786032E-2</v>
      </c>
      <c r="S16" s="49">
        <f t="shared" si="15"/>
        <v>9.2396787210927041E-3</v>
      </c>
      <c r="T16" s="49">
        <f t="shared" si="15"/>
        <v>1.5995804987609871E-2</v>
      </c>
      <c r="U16" s="49">
        <f t="shared" si="15"/>
        <v>1.9616535520336899E-2</v>
      </c>
      <c r="V16" s="49">
        <f t="shared" si="15"/>
        <v>3.6926696505015184E-2</v>
      </c>
      <c r="W16" s="49">
        <f t="shared" si="15"/>
        <v>2.9391993957703925E-2</v>
      </c>
      <c r="AB16" s="19"/>
      <c r="AC16" s="52" t="str">
        <f t="shared" ref="AC16:AJ16" si="16">IFERROR(AC15/AC9,"")</f>
        <v/>
      </c>
      <c r="AD16" s="52" t="str">
        <f t="shared" si="16"/>
        <v/>
      </c>
      <c r="AE16" s="52" t="str">
        <f t="shared" si="16"/>
        <v/>
      </c>
      <c r="AF16" s="52" t="str">
        <f t="shared" si="16"/>
        <v/>
      </c>
      <c r="AG16" s="52" t="str">
        <f t="shared" si="16"/>
        <v/>
      </c>
      <c r="AH16" s="52">
        <f t="shared" si="16"/>
        <v>6.8461572913916689E-3</v>
      </c>
      <c r="AI16" s="52">
        <f t="shared" si="16"/>
        <v>9.2706501530853015E-3</v>
      </c>
      <c r="AJ16" s="52">
        <f t="shared" si="16"/>
        <v>2.6383481438170153E-2</v>
      </c>
    </row>
    <row r="17" spans="1:40" hidden="1" outlineLevel="1" x14ac:dyDescent="0.3">
      <c r="A17" s="20" t="s">
        <v>227</v>
      </c>
      <c r="B17" s="17" t="s">
        <v>228</v>
      </c>
      <c r="C17" s="22" t="s">
        <v>215</v>
      </c>
      <c r="D17" s="54">
        <f t="shared" ref="D17:W17" si="17">D113</f>
        <v>7.0000000000000007E-2</v>
      </c>
      <c r="E17" s="54">
        <f t="shared" si="17"/>
        <v>0.03</v>
      </c>
      <c r="F17" s="54">
        <f t="shared" si="17"/>
        <v>0.6</v>
      </c>
      <c r="G17" s="54">
        <f t="shared" si="17"/>
        <v>0.18</v>
      </c>
      <c r="H17" s="54">
        <f t="shared" si="17"/>
        <v>0</v>
      </c>
      <c r="I17" s="54">
        <f t="shared" si="17"/>
        <v>0.01</v>
      </c>
      <c r="J17" s="54">
        <f t="shared" si="17"/>
        <v>0.03</v>
      </c>
      <c r="K17" s="54">
        <f t="shared" si="17"/>
        <v>0.01</v>
      </c>
      <c r="L17" s="54">
        <f t="shared" si="17"/>
        <v>0.02</v>
      </c>
      <c r="M17" s="54">
        <f t="shared" si="17"/>
        <v>0.02</v>
      </c>
      <c r="N17" s="54">
        <f t="shared" si="17"/>
        <v>0.06</v>
      </c>
      <c r="O17" s="54">
        <f t="shared" si="17"/>
        <v>0.02</v>
      </c>
      <c r="P17" s="54">
        <f t="shared" si="17"/>
        <v>0.03</v>
      </c>
      <c r="Q17" s="54">
        <f t="shared" si="17"/>
        <v>0.04</v>
      </c>
      <c r="R17" s="54">
        <f t="shared" si="17"/>
        <v>0.09</v>
      </c>
      <c r="S17" s="54">
        <f t="shared" si="17"/>
        <v>7.0000000000000007E-2</v>
      </c>
      <c r="T17" s="54">
        <f t="shared" si="17"/>
        <v>0.08</v>
      </c>
      <c r="U17" s="54">
        <f t="shared" si="17"/>
        <v>0.12</v>
      </c>
      <c r="V17" s="54">
        <f t="shared" si="17"/>
        <v>0.22</v>
      </c>
      <c r="W17" s="54">
        <f t="shared" si="17"/>
        <v>0.27</v>
      </c>
      <c r="AB17" s="19"/>
      <c r="AC17" s="13">
        <f t="shared" ref="AC17:AN17" si="18">AC113</f>
        <v>-17.7</v>
      </c>
      <c r="AD17" s="13">
        <f t="shared" si="18"/>
        <v>-11.63</v>
      </c>
      <c r="AE17" s="13">
        <f t="shared" si="18"/>
        <v>40.07</v>
      </c>
      <c r="AF17" s="13">
        <f t="shared" si="18"/>
        <v>0.87</v>
      </c>
      <c r="AG17" s="13">
        <f t="shared" si="18"/>
        <v>7.0000000000000007E-2</v>
      </c>
      <c r="AH17" s="13">
        <f t="shared" si="18"/>
        <v>0.11</v>
      </c>
      <c r="AI17" s="13">
        <f t="shared" si="18"/>
        <v>0.23</v>
      </c>
      <c r="AJ17" s="13">
        <f t="shared" si="18"/>
        <v>0.7</v>
      </c>
      <c r="AK17" s="13">
        <f t="shared" si="18"/>
        <v>1.114255246002404</v>
      </c>
      <c r="AL17" s="13">
        <f t="shared" si="18"/>
        <v>1.4566077102599884</v>
      </c>
      <c r="AM17" s="13">
        <f t="shared" si="18"/>
        <v>1.9040188313116713</v>
      </c>
      <c r="AN17" s="13">
        <f t="shared" si="18"/>
        <v>2.488684574273599</v>
      </c>
    </row>
    <row r="18" spans="1:40" hidden="1" outlineLevel="1" x14ac:dyDescent="0.3">
      <c r="AB18" s="19"/>
    </row>
    <row r="19" spans="1:40" hidden="1" outlineLevel="1" x14ac:dyDescent="0.3">
      <c r="A19" s="9" t="s">
        <v>229</v>
      </c>
      <c r="B19" s="9"/>
      <c r="C19" s="9"/>
      <c r="D19" s="9"/>
      <c r="E19" s="9"/>
      <c r="F19" s="9"/>
      <c r="G19" s="9"/>
      <c r="H19" s="9"/>
      <c r="I19" s="9"/>
      <c r="J19" s="9"/>
      <c r="K19" s="9"/>
      <c r="L19" s="9"/>
      <c r="M19" s="9"/>
      <c r="N19" s="9"/>
      <c r="O19" s="9"/>
      <c r="P19" s="9"/>
      <c r="Q19" s="9"/>
      <c r="R19" s="9"/>
      <c r="S19" s="9"/>
      <c r="T19" s="9"/>
      <c r="U19" s="9"/>
      <c r="V19" s="9"/>
      <c r="W19" s="9"/>
      <c r="X19" s="9"/>
      <c r="Y19" s="9"/>
      <c r="Z19" s="9"/>
      <c r="AA19" s="9"/>
      <c r="AB19" s="46"/>
      <c r="AC19" s="9"/>
      <c r="AD19" s="9"/>
      <c r="AE19" s="9"/>
      <c r="AF19" s="9"/>
      <c r="AG19" s="9"/>
      <c r="AH19" s="9"/>
      <c r="AI19" s="9"/>
      <c r="AJ19" s="9"/>
      <c r="AK19" s="9"/>
      <c r="AL19" s="9"/>
      <c r="AM19" s="9"/>
      <c r="AN19" s="9"/>
    </row>
    <row r="20" spans="1:40" hidden="1" outlineLevel="1" x14ac:dyDescent="0.3">
      <c r="A20" s="20" t="s">
        <v>230</v>
      </c>
      <c r="B20" s="17" t="s">
        <v>217</v>
      </c>
      <c r="C20" s="22" t="s">
        <v>215</v>
      </c>
      <c r="D20" s="49" t="str">
        <f t="shared" ref="D20:W20" si="19">IFERROR(D32/D5,"")</f>
        <v/>
      </c>
      <c r="E20" s="49" t="str">
        <f t="shared" si="19"/>
        <v/>
      </c>
      <c r="F20" s="49" t="str">
        <f t="shared" si="19"/>
        <v/>
      </c>
      <c r="G20" s="49" t="str">
        <f t="shared" si="19"/>
        <v/>
      </c>
      <c r="H20" s="49" t="str">
        <f t="shared" si="19"/>
        <v/>
      </c>
      <c r="I20" s="49" t="str">
        <f t="shared" si="19"/>
        <v/>
      </c>
      <c r="J20" s="49" t="str">
        <f t="shared" si="19"/>
        <v/>
      </c>
      <c r="K20" s="49" t="str">
        <f t="shared" si="19"/>
        <v/>
      </c>
      <c r="L20" s="49">
        <f t="shared" si="19"/>
        <v>0.74623285103830872</v>
      </c>
      <c r="M20" s="49">
        <f t="shared" si="19"/>
        <v>0.73242738236792937</v>
      </c>
      <c r="N20" s="49">
        <f t="shared" si="19"/>
        <v>0.70993231109269239</v>
      </c>
      <c r="O20" s="49">
        <f t="shared" si="19"/>
        <v>0.72723315611105932</v>
      </c>
      <c r="P20" s="49">
        <f t="shared" si="19"/>
        <v>0.76572615857147164</v>
      </c>
      <c r="Q20" s="49">
        <f t="shared" si="19"/>
        <v>0.76202600958247779</v>
      </c>
      <c r="R20" s="49">
        <f t="shared" si="19"/>
        <v>0.74866936107246185</v>
      </c>
      <c r="S20" s="49">
        <f t="shared" si="19"/>
        <v>0.74549000487567041</v>
      </c>
      <c r="T20" s="49">
        <f t="shared" si="19"/>
        <v>0.76709708273553323</v>
      </c>
      <c r="U20" s="49">
        <f t="shared" si="19"/>
        <v>0.74852445193929174</v>
      </c>
      <c r="V20" s="49">
        <f t="shared" si="19"/>
        <v>0.74236410698878341</v>
      </c>
      <c r="W20" s="49">
        <f t="shared" si="19"/>
        <v>0.74260637282961262</v>
      </c>
      <c r="AB20" s="19"/>
      <c r="AC20" s="52" t="str">
        <f t="shared" ref="AC20:AN20" si="20">IFERROR(AC32/AC5,"")</f>
        <v/>
      </c>
      <c r="AD20" s="52" t="str">
        <f t="shared" si="20"/>
        <v/>
      </c>
      <c r="AE20" s="52" t="str">
        <f t="shared" si="20"/>
        <v/>
      </c>
      <c r="AF20" s="52" t="str">
        <f t="shared" si="20"/>
        <v/>
      </c>
      <c r="AG20" s="52" t="str">
        <f t="shared" si="20"/>
        <v/>
      </c>
      <c r="AH20" s="52">
        <f t="shared" si="20"/>
        <v>0.72750279181496091</v>
      </c>
      <c r="AI20" s="52">
        <f t="shared" si="20"/>
        <v>0.7545903751129569</v>
      </c>
      <c r="AJ20" s="52">
        <f t="shared" si="20"/>
        <v>0.74907323915439339</v>
      </c>
      <c r="AK20" s="52">
        <f t="shared" si="20"/>
        <v>0.74578337579428622</v>
      </c>
      <c r="AL20" s="52">
        <f t="shared" si="20"/>
        <v>0.74256320989157176</v>
      </c>
      <c r="AM20" s="52">
        <f t="shared" si="20"/>
        <v>0.739315141401927</v>
      </c>
      <c r="AN20" s="52">
        <f t="shared" si="20"/>
        <v>0.73603931310674853</v>
      </c>
    </row>
    <row r="21" spans="1:40" hidden="1" outlineLevel="1" x14ac:dyDescent="0.3">
      <c r="A21" s="20" t="s">
        <v>231</v>
      </c>
      <c r="B21" s="17" t="s">
        <v>217</v>
      </c>
      <c r="C21" s="22" t="s">
        <v>215</v>
      </c>
      <c r="D21" s="49" t="str">
        <f>IFERROR(D61/D5,"")</f>
        <v/>
      </c>
      <c r="E21" s="49" t="str">
        <f>IFERROR(E61/E5,"")</f>
        <v/>
      </c>
      <c r="F21" s="49" t="str">
        <f>IFERROR(F61/F5,"")</f>
        <v/>
      </c>
      <c r="G21" s="49" t="str">
        <f>IFERROR(G61/G5,"")</f>
        <v/>
      </c>
      <c r="H21" s="49" t="str">
        <f>IFERROR(H61/H5,"")</f>
        <v/>
      </c>
      <c r="I21" s="49" t="str">
        <f>IFERROR(I61/I5,"")</f>
        <v/>
      </c>
      <c r="J21" s="49" t="str">
        <f>IFERROR(J61/J5,"")</f>
        <v/>
      </c>
      <c r="K21" s="49" t="str">
        <f>IFERROR(K61/K5,"")</f>
        <v/>
      </c>
      <c r="L21" s="49">
        <f>IFERROR(L61/L5,"")</f>
        <v>0.25331734013044455</v>
      </c>
      <c r="M21" s="49">
        <f>IFERROR(M61/M5,"")</f>
        <v>0.26743672498726007</v>
      </c>
      <c r="N21" s="49">
        <f>IFERROR(N61/N5,"")</f>
        <v>0.28912833264263021</v>
      </c>
      <c r="O21" s="49">
        <f>IFERROR(O61/O5,"")</f>
        <v>0.27236265273761778</v>
      </c>
      <c r="P21" s="49">
        <f>IFERROR(P61/P5,"")</f>
        <v>0.2330994609894908</v>
      </c>
      <c r="Q21" s="49">
        <f>IFERROR(Q61/Q5,"")</f>
        <v>0.2363586584531143</v>
      </c>
      <c r="R21" s="49">
        <f>IFERROR(R61/R5,"")</f>
        <v>0.24954173016188519</v>
      </c>
      <c r="S21" s="49">
        <f>IFERROR(S61/S5,"")</f>
        <v>0.2528035104826914</v>
      </c>
      <c r="T21" s="49">
        <f>IFERROR(T61/T5,"")</f>
        <v>0.23051171688187469</v>
      </c>
      <c r="U21" s="49">
        <f>IFERROR(U61/U5,"")</f>
        <v>0.24873524451939291</v>
      </c>
      <c r="V21" s="49">
        <f>IFERROR(V61/V5,"")</f>
        <v>0.25470232959447797</v>
      </c>
      <c r="W21" s="49">
        <f>IFERROR(W61/W5,"")</f>
        <v>0.25453157794314063</v>
      </c>
      <c r="AB21" s="19"/>
      <c r="AC21" s="52" t="str">
        <f>IFERROR(AC61/AC5,"")</f>
        <v/>
      </c>
      <c r="AD21" s="52" t="str">
        <f>IFERROR(AD61/AD5,"")</f>
        <v/>
      </c>
      <c r="AE21" s="52" t="str">
        <f>IFERROR(AE61/AE5,"")</f>
        <v/>
      </c>
      <c r="AF21" s="52" t="str">
        <f>IFERROR(AF61/AF5,"")</f>
        <v/>
      </c>
      <c r="AG21" s="52" t="str">
        <f>IFERROR(AG61/AG5,"")</f>
        <v/>
      </c>
      <c r="AH21" s="52">
        <f>IFERROR(AH61/AH5,"")</f>
        <v>0.2719910661921251</v>
      </c>
      <c r="AI21" s="52">
        <f>IFERROR(AI61/AI5,"")</f>
        <v>0.24381380861740787</v>
      </c>
      <c r="AJ21" s="52">
        <f>IFERROR(AJ61/AJ5,"")</f>
        <v>0.24817152589920849</v>
      </c>
      <c r="AK21" s="52">
        <f>IFERROR(AK61/AK5,"")</f>
        <v>0.25149817380114092</v>
      </c>
      <c r="AL21" s="52">
        <f>IFERROR(AL61/AL5,"")</f>
        <v>0.25475451509943836</v>
      </c>
      <c r="AM21" s="52">
        <f>IFERROR(AM61/AM5,"")</f>
        <v>0.25803842723581555</v>
      </c>
      <c r="AN21" s="52">
        <f>IFERROR(AN61/AN5,"")</f>
        <v>0.26134976906222712</v>
      </c>
    </row>
    <row r="22" spans="1:40" hidden="1" outlineLevel="1" x14ac:dyDescent="0.3">
      <c r="A22" s="20" t="s">
        <v>232</v>
      </c>
      <c r="B22" s="17" t="s">
        <v>217</v>
      </c>
      <c r="C22" s="22" t="s">
        <v>215</v>
      </c>
      <c r="D22" s="49" t="str">
        <f>IFERROR(D84/D5,"")</f>
        <v/>
      </c>
      <c r="E22" s="49" t="str">
        <f>IFERROR(E84/E5,"")</f>
        <v/>
      </c>
      <c r="F22" s="49" t="str">
        <f>IFERROR(F84/F5,"")</f>
        <v/>
      </c>
      <c r="G22" s="49" t="str">
        <f>IFERROR(G84/G5,"")</f>
        <v/>
      </c>
      <c r="H22" s="49" t="str">
        <f>IFERROR(H84/H5,"")</f>
        <v/>
      </c>
      <c r="I22" s="49" t="str">
        <f>IFERROR(I84/I5,"")</f>
        <v/>
      </c>
      <c r="J22" s="49" t="str">
        <f>IFERROR(J84/J5,"")</f>
        <v/>
      </c>
      <c r="K22" s="49" t="str">
        <f>IFERROR(K84/K5,"")</f>
        <v/>
      </c>
      <c r="L22" s="49">
        <f>IFERROR(L84/L5,"")</f>
        <v>4.4980883124672017E-4</v>
      </c>
      <c r="M22" s="49">
        <f>IFERROR(M84/M5,"")</f>
        <v>1.3589264481059961E-4</v>
      </c>
      <c r="N22" s="49">
        <f>IFERROR(N84/N5,"")</f>
        <v>9.3935626467744166E-4</v>
      </c>
      <c r="O22" s="49">
        <f>IFERROR(O84/O5,"")</f>
        <v>4.0419115132294873E-4</v>
      </c>
      <c r="P22" s="49">
        <f>IFERROR(P84/P5,"")</f>
        <v>1.1743804390376103E-3</v>
      </c>
      <c r="Q22" s="49">
        <f>IFERROR(Q84/Q5,"")</f>
        <v>1.6153319644079398E-3</v>
      </c>
      <c r="R22" s="49">
        <f>IFERROR(R84/R5,"")</f>
        <v>1.7889087656529517E-3</v>
      </c>
      <c r="S22" s="49">
        <f>IFERROR(S84/S5,"")</f>
        <v>1.7064846416382253E-3</v>
      </c>
      <c r="T22" s="49">
        <f>IFERROR(T84/T5,"")</f>
        <v>2.3912003825920613E-3</v>
      </c>
      <c r="U22" s="49">
        <f>IFERROR(U84/U5,"")</f>
        <v>2.7403035413153458E-3</v>
      </c>
      <c r="V22" s="49">
        <f>IFERROR(V84/V5,"")</f>
        <v>2.9335634167385678E-3</v>
      </c>
      <c r="W22" s="49">
        <f>IFERROR(W84/W5,"")</f>
        <v>2.8620492272467086E-3</v>
      </c>
      <c r="AB22" s="19"/>
      <c r="AC22" s="52" t="str">
        <f>IFERROR(AC84/AC5,"")</f>
        <v/>
      </c>
      <c r="AD22" s="52" t="str">
        <f>IFERROR(AD84/AD5,"")</f>
        <v/>
      </c>
      <c r="AE22" s="52" t="str">
        <f>IFERROR(AE84/AE5,"")</f>
        <v/>
      </c>
      <c r="AF22" s="52" t="str">
        <f>IFERROR(AF84/AF5,"")</f>
        <v/>
      </c>
      <c r="AG22" s="52" t="str">
        <f>IFERROR(AG84/AG5,"")</f>
        <v/>
      </c>
      <c r="AH22" s="52">
        <f>IFERROR(AH84/AH5,"")</f>
        <v>5.0614199291401207E-4</v>
      </c>
      <c r="AI22" s="52">
        <f>IFERROR(AI84/AI5,"")</f>
        <v>1.5958162696352695E-3</v>
      </c>
      <c r="AJ22" s="52">
        <f>IFERROR(AJ84/AJ5,"")</f>
        <v>2.7552349463981565E-3</v>
      </c>
      <c r="AK22" s="52">
        <f>IFERROR(AK84/AK5,"")</f>
        <v>2.7184504045728725E-3</v>
      </c>
      <c r="AL22" s="52">
        <f>IFERROR(AL84/AL5,"")</f>
        <v>2.6822750089898579E-3</v>
      </c>
      <c r="AM22" s="52">
        <f>IFERROR(AM84/AM5,"")</f>
        <v>2.6464313622574808E-3</v>
      </c>
      <c r="AN22" s="52">
        <f>IFERROR(AN84/AN5,"")</f>
        <v>2.6109178310243313E-3</v>
      </c>
    </row>
    <row r="23" spans="1:40" x14ac:dyDescent="0.3">
      <c r="AB23" s="19"/>
    </row>
    <row r="24" spans="1:40" collapsed="1" x14ac:dyDescent="0.3">
      <c r="A24" s="5" t="s">
        <v>233</v>
      </c>
      <c r="B24" s="5"/>
      <c r="C24" s="5"/>
      <c r="D24" s="5"/>
      <c r="E24" s="5"/>
      <c r="F24" s="5"/>
      <c r="G24" s="5"/>
      <c r="H24" s="5"/>
      <c r="I24" s="5"/>
      <c r="J24" s="5"/>
      <c r="K24" s="5"/>
      <c r="L24" s="5"/>
      <c r="M24" s="5"/>
      <c r="N24" s="5"/>
      <c r="O24" s="5"/>
      <c r="P24" s="5"/>
      <c r="Q24" s="5"/>
      <c r="R24" s="5"/>
      <c r="S24" s="5"/>
      <c r="T24" s="5"/>
      <c r="U24" s="5"/>
      <c r="V24" s="5"/>
      <c r="W24" s="5"/>
      <c r="X24" s="5"/>
      <c r="Y24" s="5"/>
      <c r="Z24" s="5"/>
      <c r="AA24" s="5"/>
      <c r="AB24" s="44"/>
      <c r="AC24" s="5"/>
      <c r="AD24" s="5"/>
      <c r="AE24" s="5"/>
      <c r="AF24" s="5"/>
      <c r="AG24" s="5"/>
      <c r="AH24" s="5"/>
      <c r="AI24" s="5"/>
      <c r="AJ24" s="5"/>
      <c r="AK24" s="5"/>
      <c r="AL24" s="5"/>
      <c r="AM24" s="5"/>
      <c r="AN24" s="5"/>
    </row>
    <row r="25" spans="1:40" hidden="1" outlineLevel="1" x14ac:dyDescent="0.3">
      <c r="A25" s="17" t="s">
        <v>234</v>
      </c>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45"/>
      <c r="AC25" s="17"/>
      <c r="AD25" s="17"/>
      <c r="AE25" s="17"/>
      <c r="AF25" s="17"/>
      <c r="AG25" s="17"/>
      <c r="AH25" s="17"/>
      <c r="AI25" s="17"/>
      <c r="AJ25" s="17"/>
      <c r="AK25" s="17"/>
      <c r="AL25" s="17"/>
      <c r="AM25" s="17"/>
      <c r="AN25" s="17"/>
    </row>
    <row r="26" spans="1:40" hidden="1" outlineLevel="1" x14ac:dyDescent="0.3">
      <c r="A26" s="20" t="s">
        <v>235</v>
      </c>
      <c r="B26" s="17" t="s">
        <v>236</v>
      </c>
      <c r="C26" s="22" t="s">
        <v>237</v>
      </c>
      <c r="D26" s="53">
        <f>'Raw Data - Ops KPIs'!D35</f>
        <v>6.5</v>
      </c>
      <c r="E26" s="53">
        <f>'Raw Data - Ops KPIs'!E35</f>
        <v>7</v>
      </c>
      <c r="F26" s="53">
        <f>'Raw Data - Ops KPIs'!F35</f>
        <v>7.5</v>
      </c>
      <c r="G26" s="53">
        <f>'Raw Data - Ops KPIs'!G35</f>
        <v>8</v>
      </c>
      <c r="H26" s="53">
        <f>'Raw Data - Ops KPIs'!H35</f>
        <v>8.6</v>
      </c>
      <c r="I26" s="53">
        <f>'Raw Data - Ops KPIs'!I35</f>
        <v>9.1</v>
      </c>
      <c r="J26" s="53">
        <f>'Raw Data - Ops KPIs'!J35</f>
        <v>9.6</v>
      </c>
      <c r="K26" s="53">
        <f>'Raw Data - Ops KPIs'!K35</f>
        <v>10</v>
      </c>
      <c r="L26" s="53">
        <f>'Raw Data - Ops KPIs'!L35</f>
        <v>10.9</v>
      </c>
      <c r="M26" s="53">
        <f>'Raw Data - Ops KPIs'!M35</f>
        <v>10.7</v>
      </c>
      <c r="N26" s="53">
        <f>'Raw Data - Ops KPIs'!N35</f>
        <v>11.7</v>
      </c>
      <c r="O26" s="53">
        <f>'Raw Data - Ops KPIs'!O35</f>
        <v>12.4</v>
      </c>
      <c r="P26" s="53">
        <f>'Raw Data - Ops KPIs'!P35</f>
        <v>13.1</v>
      </c>
      <c r="Q26" s="53">
        <f>'Raw Data - Ops KPIs'!Q35</f>
        <v>13.7</v>
      </c>
      <c r="R26" s="53">
        <f>'Raw Data - Ops KPIs'!R35</f>
        <v>14.8</v>
      </c>
      <c r="S26" s="53">
        <f>'Raw Data - Ops KPIs'!S35</f>
        <v>15.8</v>
      </c>
      <c r="T26" s="53">
        <f>'Raw Data - Ops KPIs'!T35</f>
        <v>16.5</v>
      </c>
      <c r="U26" s="53">
        <f>'Raw Data - Ops KPIs'!U35</f>
        <v>17.5</v>
      </c>
      <c r="V26" s="53">
        <f>'Raw Data - Ops KPIs'!V35</f>
        <v>18.7</v>
      </c>
      <c r="W26" s="53">
        <f>'Raw Data - Ops KPIs'!W35</f>
        <v>19.7</v>
      </c>
      <c r="AB26" s="19"/>
      <c r="AF26" s="53">
        <f>'Raw Data - Ops KPIs'!AF35</f>
        <v>8</v>
      </c>
      <c r="AG26" s="53">
        <f>'Raw Data - Ops KPIs'!AG35</f>
        <v>10</v>
      </c>
      <c r="AH26" s="53">
        <f>'Raw Data - Ops KPIs'!AH35</f>
        <v>12.4</v>
      </c>
      <c r="AI26" s="53">
        <f>'Raw Data - Ops KPIs'!AI35</f>
        <v>15.8</v>
      </c>
      <c r="AJ26" s="53">
        <f>'Raw Data - Ops KPIs'!AJ35</f>
        <v>19.7</v>
      </c>
      <c r="AK26" s="53">
        <f>AJ26*(1+AK27)</f>
        <v>24.565899999999996</v>
      </c>
      <c r="AL26" s="53">
        <f>AK26*(1+AL27)</f>
        <v>30.633677299999992</v>
      </c>
      <c r="AM26" s="53">
        <f>AL26*(1+AM27)</f>
        <v>38.200195593099984</v>
      </c>
      <c r="AN26" s="53">
        <f>AM26*(1+AN27)</f>
        <v>47.635643904595675</v>
      </c>
    </row>
    <row r="27" spans="1:40" hidden="1" outlineLevel="1" x14ac:dyDescent="0.3">
      <c r="A27" s="20" t="s">
        <v>216</v>
      </c>
      <c r="B27" s="17" t="s">
        <v>217</v>
      </c>
      <c r="C27" s="48" t="s">
        <v>238</v>
      </c>
      <c r="H27" s="49">
        <f t="shared" ref="H27:W27" si="21">IFERROR(H26/D26-1,"")</f>
        <v>0.32307692307692304</v>
      </c>
      <c r="I27" s="49">
        <f t="shared" si="21"/>
        <v>0.30000000000000004</v>
      </c>
      <c r="J27" s="49">
        <f t="shared" si="21"/>
        <v>0.28000000000000003</v>
      </c>
      <c r="K27" s="49">
        <f t="shared" si="21"/>
        <v>0.25</v>
      </c>
      <c r="L27" s="49">
        <f t="shared" si="21"/>
        <v>0.26744186046511631</v>
      </c>
      <c r="M27" s="49">
        <f t="shared" si="21"/>
        <v>0.17582417582417587</v>
      </c>
      <c r="N27" s="49">
        <f t="shared" si="21"/>
        <v>0.21875</v>
      </c>
      <c r="O27" s="49">
        <f t="shared" si="21"/>
        <v>0.24</v>
      </c>
      <c r="P27" s="49">
        <f t="shared" si="21"/>
        <v>0.201834862385321</v>
      </c>
      <c r="Q27" s="49">
        <f t="shared" si="21"/>
        <v>0.28037383177570097</v>
      </c>
      <c r="R27" s="49">
        <f t="shared" si="21"/>
        <v>0.26495726495726513</v>
      </c>
      <c r="S27" s="49">
        <f t="shared" si="21"/>
        <v>0.27419354838709675</v>
      </c>
      <c r="T27" s="49">
        <f t="shared" si="21"/>
        <v>0.25954198473282442</v>
      </c>
      <c r="U27" s="49">
        <f t="shared" si="21"/>
        <v>0.27737226277372273</v>
      </c>
      <c r="V27" s="49">
        <f t="shared" si="21"/>
        <v>0.26351351351351338</v>
      </c>
      <c r="W27" s="49">
        <f t="shared" si="21"/>
        <v>0.24683544303797467</v>
      </c>
      <c r="AB27" s="19"/>
      <c r="AD27" s="52" t="str">
        <f t="shared" ref="AD27:AJ27" si="22">IFERROR(AD26/AC26-1,"")</f>
        <v/>
      </c>
      <c r="AE27" s="52" t="str">
        <f t="shared" si="22"/>
        <v/>
      </c>
      <c r="AF27" s="52" t="str">
        <f t="shared" si="22"/>
        <v/>
      </c>
      <c r="AG27" s="52">
        <f t="shared" si="22"/>
        <v>0.25</v>
      </c>
      <c r="AH27" s="52">
        <f t="shared" si="22"/>
        <v>0.24</v>
      </c>
      <c r="AI27" s="52">
        <f t="shared" si="22"/>
        <v>0.27419354838709675</v>
      </c>
      <c r="AJ27" s="52">
        <f t="shared" si="22"/>
        <v>0.24683544303797467</v>
      </c>
      <c r="AK27" s="50">
        <v>0.247</v>
      </c>
      <c r="AL27" s="50">
        <v>0.247</v>
      </c>
      <c r="AM27" s="50">
        <v>0.247</v>
      </c>
      <c r="AN27" s="50">
        <v>0.247</v>
      </c>
    </row>
    <row r="28" spans="1:40" hidden="1" outlineLevel="1" x14ac:dyDescent="0.3">
      <c r="A28" s="20" t="s">
        <v>239</v>
      </c>
      <c r="B28" s="17" t="s">
        <v>236</v>
      </c>
      <c r="C28" s="22" t="s">
        <v>237</v>
      </c>
      <c r="D28" s="53">
        <f>'Raw Data - Ops KPIs'!D37</f>
        <v>5.8</v>
      </c>
      <c r="E28" s="53">
        <f>'Raw Data - Ops KPIs'!E37</f>
        <v>6</v>
      </c>
      <c r="F28" s="53">
        <f>'Raw Data - Ops KPIs'!F37</f>
        <v>7.5</v>
      </c>
      <c r="G28" s="53">
        <f>'Raw Data - Ops KPIs'!G37</f>
        <v>7.2</v>
      </c>
      <c r="H28" s="53">
        <f>'Raw Data - Ops KPIs'!H37</f>
        <v>8.1</v>
      </c>
      <c r="I28" s="53">
        <f>'Raw Data - Ops KPIs'!I37</f>
        <v>8.4</v>
      </c>
      <c r="J28" s="53">
        <f>'Raw Data - Ops KPIs'!J37</f>
        <v>9.5</v>
      </c>
      <c r="K28" s="53">
        <f>'Raw Data - Ops KPIs'!K37</f>
        <v>8.8000000000000007</v>
      </c>
      <c r="L28" s="53">
        <f>'Raw Data - Ops KPIs'!L37</f>
        <v>9.9</v>
      </c>
      <c r="M28" s="53">
        <f>'Raw Data - Ops KPIs'!M37</f>
        <v>10.5</v>
      </c>
      <c r="N28" s="53">
        <f>'Raw Data - Ops KPIs'!N37</f>
        <v>11.6</v>
      </c>
      <c r="O28" s="53">
        <f>'Raw Data - Ops KPIs'!O37</f>
        <v>11.7</v>
      </c>
      <c r="P28" s="53">
        <f>'Raw Data - Ops KPIs'!P37</f>
        <v>12.4</v>
      </c>
      <c r="Q28" s="53">
        <f>'Raw Data - Ops KPIs'!Q37</f>
        <v>12.9</v>
      </c>
      <c r="R28" s="53">
        <f>'Raw Data - Ops KPIs'!R37</f>
        <v>15</v>
      </c>
      <c r="S28" s="53">
        <f>'Raw Data - Ops KPIs'!S37</f>
        <v>14.2</v>
      </c>
      <c r="T28" s="53">
        <f>'Raw Data - Ops KPIs'!T37</f>
        <v>14.5</v>
      </c>
      <c r="U28" s="53">
        <f>'Raw Data - Ops KPIs'!U37</f>
        <v>15.7</v>
      </c>
      <c r="V28" s="53">
        <f>'Raw Data - Ops KPIs'!V37</f>
        <v>18.100000000000001</v>
      </c>
      <c r="W28" s="53">
        <f>'Raw Data - Ops KPIs'!W37</f>
        <v>17.5</v>
      </c>
      <c r="AB28" s="19"/>
      <c r="AF28" s="53">
        <f>'Raw Data - Ops KPIs'!AF37</f>
        <v>26.5</v>
      </c>
      <c r="AG28" s="53">
        <f>'Raw Data - Ops KPIs'!AG37</f>
        <v>34.799999999999997</v>
      </c>
      <c r="AH28" s="53">
        <f>'Raw Data - Ops KPIs'!AH37</f>
        <v>43.7</v>
      </c>
      <c r="AI28" s="53">
        <f>'Raw Data - Ops KPIs'!AI37</f>
        <v>54.5</v>
      </c>
      <c r="AJ28" s="53">
        <f>'Raw Data - Ops KPIs'!AJ37</f>
        <v>65.8</v>
      </c>
      <c r="AK28" s="53">
        <f>AK26*AK29</f>
        <v>82.050105999999985</v>
      </c>
      <c r="AL28" s="53">
        <f>AL26*AL29</f>
        <v>102.31648218199997</v>
      </c>
      <c r="AM28" s="53">
        <f>AM26*AM29</f>
        <v>127.58865328095393</v>
      </c>
      <c r="AN28" s="53">
        <f>AN26*AN29</f>
        <v>159.10305064134954</v>
      </c>
    </row>
    <row r="29" spans="1:40" hidden="1" outlineLevel="1" x14ac:dyDescent="0.3">
      <c r="A29" s="20" t="s">
        <v>240</v>
      </c>
      <c r="B29" s="17" t="s">
        <v>241</v>
      </c>
      <c r="C29" s="48" t="s">
        <v>238</v>
      </c>
      <c r="D29" s="54">
        <f t="shared" ref="D29:W29" si="23">IFERROR(D28/D26,"")</f>
        <v>0.89230769230769225</v>
      </c>
      <c r="E29" s="54">
        <f t="shared" si="23"/>
        <v>0.8571428571428571</v>
      </c>
      <c r="F29" s="54">
        <f t="shared" si="23"/>
        <v>1</v>
      </c>
      <c r="G29" s="54">
        <f t="shared" si="23"/>
        <v>0.9</v>
      </c>
      <c r="H29" s="54">
        <f t="shared" si="23"/>
        <v>0.94186046511627908</v>
      </c>
      <c r="I29" s="54">
        <f t="shared" si="23"/>
        <v>0.92307692307692313</v>
      </c>
      <c r="J29" s="54">
        <f t="shared" si="23"/>
        <v>0.98958333333333337</v>
      </c>
      <c r="K29" s="54">
        <f t="shared" si="23"/>
        <v>0.88000000000000012</v>
      </c>
      <c r="L29" s="54">
        <f t="shared" si="23"/>
        <v>0.90825688073394495</v>
      </c>
      <c r="M29" s="54">
        <f t="shared" si="23"/>
        <v>0.98130841121495338</v>
      </c>
      <c r="N29" s="54">
        <f t="shared" si="23"/>
        <v>0.99145299145299148</v>
      </c>
      <c r="O29" s="54">
        <f t="shared" si="23"/>
        <v>0.94354838709677413</v>
      </c>
      <c r="P29" s="54">
        <f t="shared" si="23"/>
        <v>0.94656488549618323</v>
      </c>
      <c r="Q29" s="54">
        <f t="shared" si="23"/>
        <v>0.94160583941605847</v>
      </c>
      <c r="R29" s="54">
        <f t="shared" si="23"/>
        <v>1.0135135135135134</v>
      </c>
      <c r="S29" s="54">
        <f t="shared" si="23"/>
        <v>0.89873417721518978</v>
      </c>
      <c r="T29" s="54">
        <f t="shared" si="23"/>
        <v>0.87878787878787878</v>
      </c>
      <c r="U29" s="54">
        <f t="shared" si="23"/>
        <v>0.89714285714285713</v>
      </c>
      <c r="V29" s="54">
        <f t="shared" si="23"/>
        <v>0.96791443850267389</v>
      </c>
      <c r="W29" s="54">
        <f t="shared" si="23"/>
        <v>0.8883248730964467</v>
      </c>
      <c r="AB29" s="19"/>
      <c r="AC29" s="13" t="str">
        <f t="shared" ref="AC29:AJ29" si="24">IFERROR(AC28/AC26,"")</f>
        <v/>
      </c>
      <c r="AD29" s="13" t="str">
        <f t="shared" si="24"/>
        <v/>
      </c>
      <c r="AE29" s="13" t="str">
        <f t="shared" si="24"/>
        <v/>
      </c>
      <c r="AF29" s="13">
        <f t="shared" si="24"/>
        <v>3.3125</v>
      </c>
      <c r="AG29" s="13">
        <f t="shared" si="24"/>
        <v>3.4799999999999995</v>
      </c>
      <c r="AH29" s="13">
        <f t="shared" si="24"/>
        <v>3.524193548387097</v>
      </c>
      <c r="AI29" s="13">
        <f t="shared" si="24"/>
        <v>3.4493670886075947</v>
      </c>
      <c r="AJ29" s="13">
        <f t="shared" si="24"/>
        <v>3.3401015228426396</v>
      </c>
      <c r="AK29" s="51">
        <v>3.34</v>
      </c>
      <c r="AL29" s="51">
        <v>3.34</v>
      </c>
      <c r="AM29" s="51">
        <v>3.34</v>
      </c>
      <c r="AN29" s="51">
        <v>3.34</v>
      </c>
    </row>
    <row r="30" spans="1:40" hidden="1" outlineLevel="1" x14ac:dyDescent="0.3">
      <c r="A30" s="20" t="s">
        <v>242</v>
      </c>
      <c r="B30" s="17" t="s">
        <v>228</v>
      </c>
      <c r="C30" s="22" t="s">
        <v>215</v>
      </c>
      <c r="D30" s="55">
        <f t="shared" ref="D30:W30" si="25">IFERROR(D32/D28,"")</f>
        <v>0</v>
      </c>
      <c r="E30" s="55">
        <f t="shared" si="25"/>
        <v>0</v>
      </c>
      <c r="F30" s="55">
        <f t="shared" si="25"/>
        <v>0</v>
      </c>
      <c r="G30" s="55">
        <f t="shared" si="25"/>
        <v>0</v>
      </c>
      <c r="H30" s="55">
        <f t="shared" si="25"/>
        <v>0</v>
      </c>
      <c r="I30" s="55">
        <f t="shared" si="25"/>
        <v>0</v>
      </c>
      <c r="J30" s="55">
        <f t="shared" si="25"/>
        <v>0</v>
      </c>
      <c r="K30" s="55">
        <f t="shared" si="25"/>
        <v>0</v>
      </c>
      <c r="L30" s="55">
        <f t="shared" si="25"/>
        <v>2010.9090909090908</v>
      </c>
      <c r="M30" s="55">
        <f t="shared" si="25"/>
        <v>2053.2380952380954</v>
      </c>
      <c r="N30" s="55">
        <f t="shared" si="25"/>
        <v>2215.1724137931037</v>
      </c>
      <c r="O30" s="55">
        <f t="shared" si="25"/>
        <v>1999.1452991452993</v>
      </c>
      <c r="P30" s="55">
        <f t="shared" si="25"/>
        <v>2050.7258064516127</v>
      </c>
      <c r="Q30" s="55">
        <f t="shared" si="25"/>
        <v>2157.5968992248063</v>
      </c>
      <c r="R30" s="55">
        <f t="shared" si="25"/>
        <v>2259.9333333333334</v>
      </c>
      <c r="S30" s="55">
        <f t="shared" si="25"/>
        <v>2153.5211267605637</v>
      </c>
      <c r="T30" s="55">
        <f t="shared" si="25"/>
        <v>2212.4137931034484</v>
      </c>
      <c r="U30" s="55">
        <f t="shared" si="25"/>
        <v>2261.7834394904457</v>
      </c>
      <c r="V30" s="55">
        <f t="shared" si="25"/>
        <v>2376.7955801104972</v>
      </c>
      <c r="W30" s="55">
        <f t="shared" si="25"/>
        <v>2224</v>
      </c>
      <c r="AB30" s="19"/>
      <c r="AC30" s="56" t="str">
        <f t="shared" ref="AC30:AJ30" si="26">IFERROR(AC32/AC28,"")</f>
        <v/>
      </c>
      <c r="AD30" s="56" t="str">
        <f t="shared" si="26"/>
        <v/>
      </c>
      <c r="AE30" s="56" t="str">
        <f t="shared" si="26"/>
        <v/>
      </c>
      <c r="AF30" s="56" t="str">
        <f t="shared" si="26"/>
        <v/>
      </c>
      <c r="AG30" s="56" t="str">
        <f t="shared" si="26"/>
        <v/>
      </c>
      <c r="AH30" s="56">
        <f t="shared" si="26"/>
        <v>2072.1510297482837</v>
      </c>
      <c r="AI30" s="56">
        <f t="shared" si="26"/>
        <v>2160.3853211009173</v>
      </c>
      <c r="AJ30" s="56">
        <f t="shared" si="26"/>
        <v>2272.4924012158058</v>
      </c>
      <c r="AK30" s="56">
        <f>AJ30*(1+AK31)</f>
        <v>2390.6620060790278</v>
      </c>
      <c r="AL30" s="56">
        <f>AK30*(1+AL31)</f>
        <v>2514.9764303951374</v>
      </c>
      <c r="AM30" s="56">
        <f>AL30*(1+AM31)</f>
        <v>2645.7552047756849</v>
      </c>
      <c r="AN30" s="56">
        <f>AM30*(1+AN31)</f>
        <v>2783.3344754240206</v>
      </c>
    </row>
    <row r="31" spans="1:40" hidden="1" outlineLevel="1" x14ac:dyDescent="0.3">
      <c r="A31" s="20" t="s">
        <v>216</v>
      </c>
      <c r="B31" s="17" t="s">
        <v>217</v>
      </c>
      <c r="C31" s="48" t="s">
        <v>238</v>
      </c>
      <c r="AB31" s="19"/>
      <c r="AK31" s="50">
        <v>5.1999999999999998E-2</v>
      </c>
      <c r="AL31" s="50">
        <v>5.1999999999999998E-2</v>
      </c>
      <c r="AM31" s="50">
        <v>5.1999999999999998E-2</v>
      </c>
      <c r="AN31" s="50">
        <v>5.1999999999999998E-2</v>
      </c>
    </row>
    <row r="32" spans="1:40" hidden="1" outlineLevel="1" x14ac:dyDescent="0.3">
      <c r="A32" s="20" t="s">
        <v>243</v>
      </c>
      <c r="B32" s="17" t="s">
        <v>214</v>
      </c>
      <c r="C32" s="22" t="s">
        <v>237</v>
      </c>
      <c r="D32" s="56">
        <f>'Raw Data - Ops KPIs'!D40</f>
        <v>0</v>
      </c>
      <c r="E32" s="56">
        <f>'Raw Data - Ops KPIs'!E40</f>
        <v>0</v>
      </c>
      <c r="F32" s="56">
        <f>'Raw Data - Ops KPIs'!F40</f>
        <v>0</v>
      </c>
      <c r="G32" s="56">
        <f>'Raw Data - Ops KPIs'!G40</f>
        <v>0</v>
      </c>
      <c r="H32" s="56">
        <f>'Raw Data - Ops KPIs'!H40</f>
        <v>0</v>
      </c>
      <c r="I32" s="56">
        <f>'Raw Data - Ops KPIs'!I40</f>
        <v>0</v>
      </c>
      <c r="J32" s="56">
        <f>'Raw Data - Ops KPIs'!J40</f>
        <v>0</v>
      </c>
      <c r="K32" s="56">
        <f>'Raw Data - Ops KPIs'!K40</f>
        <v>0</v>
      </c>
      <c r="L32" s="56">
        <f>'Raw Data - Ops KPIs'!L40</f>
        <v>19908</v>
      </c>
      <c r="M32" s="56">
        <f>'Raw Data - Ops KPIs'!M40</f>
        <v>21559</v>
      </c>
      <c r="N32" s="56">
        <f>'Raw Data - Ops KPIs'!N40</f>
        <v>25696</v>
      </c>
      <c r="O32" s="56">
        <f>'Raw Data - Ops KPIs'!O40</f>
        <v>23390</v>
      </c>
      <c r="P32" s="56">
        <f>'Raw Data - Ops KPIs'!P40</f>
        <v>25429</v>
      </c>
      <c r="Q32" s="56">
        <f>'Raw Data - Ops KPIs'!Q40</f>
        <v>27833</v>
      </c>
      <c r="R32" s="56">
        <f>'Raw Data - Ops KPIs'!R40</f>
        <v>33899</v>
      </c>
      <c r="S32" s="56">
        <f>'Raw Data - Ops KPIs'!S40</f>
        <v>30580</v>
      </c>
      <c r="T32" s="56">
        <f>'Raw Data - Ops KPIs'!T40</f>
        <v>32080</v>
      </c>
      <c r="U32" s="56">
        <f>'Raw Data - Ops KPIs'!U40</f>
        <v>35510</v>
      </c>
      <c r="V32" s="56">
        <f>'Raw Data - Ops KPIs'!V40</f>
        <v>43020</v>
      </c>
      <c r="W32" s="56">
        <f>'Raw Data - Ops KPIs'!W40</f>
        <v>38920</v>
      </c>
      <c r="AB32" s="19"/>
      <c r="AF32" s="56" t="str">
        <f>'Raw Data - Ops KPIs'!AF40</f>
        <v/>
      </c>
      <c r="AG32" s="56" t="str">
        <f>'Raw Data - Ops KPIs'!AG40</f>
        <v/>
      </c>
      <c r="AH32" s="56">
        <f>'Raw Data - Ops KPIs'!AH40</f>
        <v>90553</v>
      </c>
      <c r="AI32" s="56">
        <f>'Raw Data - Ops KPIs'!AI40</f>
        <v>117741</v>
      </c>
      <c r="AJ32" s="56">
        <f>'Raw Data - Ops KPIs'!AJ40</f>
        <v>149530</v>
      </c>
      <c r="AK32" s="56">
        <f>AK28*AK30</f>
        <v>196154.07100895685</v>
      </c>
      <c r="AL32" s="56">
        <f>AL28*AL30</f>
        <v>257323.54112867397</v>
      </c>
      <c r="AM32" s="56">
        <f>AM28*AM30</f>
        <v>337568.34348840412</v>
      </c>
      <c r="AN32" s="56">
        <f>AN28*AN30</f>
        <v>442837.00599520199</v>
      </c>
    </row>
    <row r="33" spans="1:40" hidden="1" outlineLevel="1" x14ac:dyDescent="0.3">
      <c r="A33" s="20" t="s">
        <v>216</v>
      </c>
      <c r="B33" s="17" t="s">
        <v>217</v>
      </c>
      <c r="C33" s="22" t="s">
        <v>215</v>
      </c>
      <c r="H33" s="49" t="str">
        <f t="shared" ref="H33:W33" si="27">IFERROR(H32/D32-1,"")</f>
        <v/>
      </c>
      <c r="I33" s="49" t="str">
        <f t="shared" si="27"/>
        <v/>
      </c>
      <c r="J33" s="49" t="str">
        <f t="shared" si="27"/>
        <v/>
      </c>
      <c r="K33" s="49" t="str">
        <f t="shared" si="27"/>
        <v/>
      </c>
      <c r="L33" s="49" t="str">
        <f t="shared" si="27"/>
        <v/>
      </c>
      <c r="M33" s="49" t="str">
        <f t="shared" si="27"/>
        <v/>
      </c>
      <c r="N33" s="49" t="str">
        <f t="shared" si="27"/>
        <v/>
      </c>
      <c r="O33" s="49" t="str">
        <f t="shared" si="27"/>
        <v/>
      </c>
      <c r="P33" s="49">
        <f t="shared" si="27"/>
        <v>0.27732569821177422</v>
      </c>
      <c r="Q33" s="49">
        <f t="shared" si="27"/>
        <v>0.29101535321675409</v>
      </c>
      <c r="R33" s="49">
        <f t="shared" si="27"/>
        <v>0.31923256537982558</v>
      </c>
      <c r="S33" s="49">
        <f t="shared" si="27"/>
        <v>0.30739632321504917</v>
      </c>
      <c r="T33" s="49">
        <f t="shared" si="27"/>
        <v>0.26155177159935517</v>
      </c>
      <c r="U33" s="49">
        <f t="shared" si="27"/>
        <v>0.27582366255883306</v>
      </c>
      <c r="V33" s="49">
        <f t="shared" si="27"/>
        <v>0.26906398418832422</v>
      </c>
      <c r="W33" s="49">
        <f t="shared" si="27"/>
        <v>0.27272727272727271</v>
      </c>
      <c r="AB33" s="19"/>
      <c r="AD33" s="52" t="str">
        <f t="shared" ref="AD33:AN33" si="28">IFERROR(AD32/AC32-1,"")</f>
        <v/>
      </c>
      <c r="AE33" s="52" t="str">
        <f t="shared" si="28"/>
        <v/>
      </c>
      <c r="AF33" s="52" t="str">
        <f t="shared" si="28"/>
        <v/>
      </c>
      <c r="AG33" s="52" t="str">
        <f t="shared" si="28"/>
        <v/>
      </c>
      <c r="AH33" s="52" t="str">
        <f t="shared" si="28"/>
        <v/>
      </c>
      <c r="AI33" s="52">
        <f t="shared" si="28"/>
        <v>0.3002440559672237</v>
      </c>
      <c r="AJ33" s="52">
        <f t="shared" si="28"/>
        <v>0.26999091225656313</v>
      </c>
      <c r="AK33" s="52">
        <f t="shared" si="28"/>
        <v>0.31180412632218846</v>
      </c>
      <c r="AL33" s="52">
        <f t="shared" si="28"/>
        <v>0.31184400000000001</v>
      </c>
      <c r="AM33" s="52">
        <f t="shared" si="28"/>
        <v>0.31184399999999979</v>
      </c>
      <c r="AN33" s="52">
        <f t="shared" si="28"/>
        <v>0.31184400000000001</v>
      </c>
    </row>
    <row r="34" spans="1:40" hidden="1" outlineLevel="1" x14ac:dyDescent="0.3">
      <c r="A34" s="20" t="s">
        <v>244</v>
      </c>
      <c r="B34" s="17" t="s">
        <v>214</v>
      </c>
      <c r="C34" s="22" t="s">
        <v>237</v>
      </c>
      <c r="D34" s="56">
        <f>'Raw Data - Ops KPIs'!D43</f>
        <v>0</v>
      </c>
      <c r="E34" s="56">
        <f>'Raw Data - Ops KPIs'!E43</f>
        <v>0</v>
      </c>
      <c r="F34" s="56">
        <f>'Raw Data - Ops KPIs'!F43</f>
        <v>0</v>
      </c>
      <c r="G34" s="56">
        <f>'Raw Data - Ops KPIs'!G43</f>
        <v>0</v>
      </c>
      <c r="H34" s="56">
        <f>'Raw Data - Ops KPIs'!H43</f>
        <v>0</v>
      </c>
      <c r="I34" s="56">
        <f>'Raw Data - Ops KPIs'!I43</f>
        <v>0</v>
      </c>
      <c r="J34" s="56">
        <f>'Raw Data - Ops KPIs'!J43</f>
        <v>0</v>
      </c>
      <c r="K34" s="56">
        <f>'Raw Data - Ops KPIs'!K43</f>
        <v>0</v>
      </c>
      <c r="L34" s="56">
        <f>'Raw Data - Ops KPIs'!L43</f>
        <v>12121</v>
      </c>
      <c r="M34" s="56">
        <f>'Raw Data - Ops KPIs'!M43</f>
        <v>12566</v>
      </c>
      <c r="N34" s="56">
        <f>'Raw Data - Ops KPIs'!N43</f>
        <v>14954</v>
      </c>
      <c r="O34" s="56">
        <f>'Raw Data - Ops KPIs'!O43</f>
        <v>13979</v>
      </c>
      <c r="P34" s="56">
        <f>'Raw Data - Ops KPIs'!P43</f>
        <v>14695</v>
      </c>
      <c r="Q34" s="56">
        <f>'Raw Data - Ops KPIs'!Q43</f>
        <v>15661</v>
      </c>
      <c r="R34" s="56">
        <f>'Raw Data - Ops KPIs'!R43</f>
        <v>18817</v>
      </c>
      <c r="S34" s="56">
        <f>'Raw Data - Ops KPIs'!S43</f>
        <v>17570</v>
      </c>
      <c r="T34" s="56">
        <f>'Raw Data - Ops KPIs'!T43</f>
        <v>18340</v>
      </c>
      <c r="U34" s="56">
        <f>'Raw Data - Ops KPIs'!U43</f>
        <v>19810</v>
      </c>
      <c r="V34" s="56">
        <f>'Raw Data - Ops KPIs'!V43</f>
        <v>24210</v>
      </c>
      <c r="W34" s="56">
        <f>'Raw Data - Ops KPIs'!W43</f>
        <v>22690</v>
      </c>
      <c r="AB34" s="19"/>
      <c r="AF34" s="56" t="str">
        <f>'Raw Data - Ops KPIs'!AF43</f>
        <v/>
      </c>
      <c r="AG34" s="56" t="str">
        <f>'Raw Data - Ops KPIs'!AG43</f>
        <v/>
      </c>
      <c r="AH34" s="56">
        <f>'Raw Data - Ops KPIs'!AH43</f>
        <v>53620</v>
      </c>
      <c r="AI34" s="56">
        <f>'Raw Data - Ops KPIs'!AI43</f>
        <v>66743</v>
      </c>
      <c r="AJ34" s="56">
        <f>'Raw Data - Ops KPIs'!AJ43</f>
        <v>85050</v>
      </c>
      <c r="AK34" s="56">
        <f>AK32*AK35</f>
        <v>111611.66640409644</v>
      </c>
      <c r="AL34" s="56">
        <f>AL32*AL35</f>
        <v>146417.09490221547</v>
      </c>
      <c r="AM34" s="56">
        <f>AM32*AM35</f>
        <v>192076.38744490192</v>
      </c>
      <c r="AN34" s="56">
        <f>AN32*AN35</f>
        <v>251974.25641126992</v>
      </c>
    </row>
    <row r="35" spans="1:40" hidden="1" outlineLevel="1" x14ac:dyDescent="0.3">
      <c r="A35" s="20" t="s">
        <v>219</v>
      </c>
      <c r="B35" s="17" t="s">
        <v>217</v>
      </c>
      <c r="C35" s="48" t="s">
        <v>238</v>
      </c>
      <c r="D35" s="49" t="str">
        <f t="shared" ref="D35:W35" si="29">IFERROR(D34/D32,"")</f>
        <v/>
      </c>
      <c r="E35" s="49" t="str">
        <f t="shared" si="29"/>
        <v/>
      </c>
      <c r="F35" s="49" t="str">
        <f t="shared" si="29"/>
        <v/>
      </c>
      <c r="G35" s="49" t="str">
        <f t="shared" si="29"/>
        <v/>
      </c>
      <c r="H35" s="49" t="str">
        <f t="shared" si="29"/>
        <v/>
      </c>
      <c r="I35" s="49" t="str">
        <f t="shared" si="29"/>
        <v/>
      </c>
      <c r="J35" s="49" t="str">
        <f t="shared" si="29"/>
        <v/>
      </c>
      <c r="K35" s="49" t="str">
        <f t="shared" si="29"/>
        <v/>
      </c>
      <c r="L35" s="49">
        <f t="shared" si="29"/>
        <v>0.60885071328109308</v>
      </c>
      <c r="M35" s="49">
        <f t="shared" si="29"/>
        <v>0.58286562456514679</v>
      </c>
      <c r="N35" s="49">
        <f t="shared" si="29"/>
        <v>0.58195828144458284</v>
      </c>
      <c r="O35" s="49">
        <f t="shared" si="29"/>
        <v>0.59764856776400166</v>
      </c>
      <c r="P35" s="49">
        <f t="shared" si="29"/>
        <v>0.57788351881709854</v>
      </c>
      <c r="Q35" s="49">
        <f t="shared" si="29"/>
        <v>0.56267739733409983</v>
      </c>
      <c r="R35" s="49">
        <f t="shared" si="29"/>
        <v>0.55509012065252661</v>
      </c>
      <c r="S35" s="49">
        <f t="shared" si="29"/>
        <v>0.57455853499018972</v>
      </c>
      <c r="T35" s="49">
        <f t="shared" si="29"/>
        <v>0.57169576059850369</v>
      </c>
      <c r="U35" s="49">
        <f t="shared" si="29"/>
        <v>0.55787102224725427</v>
      </c>
      <c r="V35" s="49">
        <f t="shared" si="29"/>
        <v>0.56276150627615062</v>
      </c>
      <c r="W35" s="49">
        <f t="shared" si="29"/>
        <v>0.58299075025693736</v>
      </c>
      <c r="AB35" s="19"/>
      <c r="AC35" s="52" t="str">
        <f t="shared" ref="AC35:AJ35" si="30">IFERROR(AC34/AC32,"")</f>
        <v/>
      </c>
      <c r="AD35" s="52" t="str">
        <f t="shared" si="30"/>
        <v/>
      </c>
      <c r="AE35" s="52" t="str">
        <f t="shared" si="30"/>
        <v/>
      </c>
      <c r="AF35" s="52" t="str">
        <f t="shared" si="30"/>
        <v/>
      </c>
      <c r="AG35" s="52" t="str">
        <f t="shared" si="30"/>
        <v/>
      </c>
      <c r="AH35" s="52">
        <f t="shared" si="30"/>
        <v>0.5921394100692412</v>
      </c>
      <c r="AI35" s="52">
        <f t="shared" si="30"/>
        <v>0.56686286000628494</v>
      </c>
      <c r="AJ35" s="52">
        <f t="shared" si="30"/>
        <v>0.56878218417708826</v>
      </c>
      <c r="AK35" s="50">
        <v>0.56899999999999995</v>
      </c>
      <c r="AL35" s="50">
        <v>0.56899999999999995</v>
      </c>
      <c r="AM35" s="50">
        <v>0.56899999999999995</v>
      </c>
      <c r="AN35" s="50">
        <v>0.56899999999999995</v>
      </c>
    </row>
    <row r="36" spans="1:40" hidden="1" outlineLevel="1" x14ac:dyDescent="0.3">
      <c r="A36" s="20" t="s">
        <v>245</v>
      </c>
      <c r="B36" s="17" t="s">
        <v>214</v>
      </c>
      <c r="C36" s="22" t="s">
        <v>237</v>
      </c>
      <c r="D36" s="56">
        <f>'Raw Data - Ops KPIs'!D45</f>
        <v>0</v>
      </c>
      <c r="E36" s="56">
        <f>'Raw Data - Ops KPIs'!E45</f>
        <v>0</v>
      </c>
      <c r="F36" s="56">
        <f>'Raw Data - Ops KPIs'!F45</f>
        <v>0</v>
      </c>
      <c r="G36" s="56">
        <f>'Raw Data - Ops KPIs'!G45</f>
        <v>0</v>
      </c>
      <c r="H36" s="56">
        <f>'Raw Data - Ops KPIs'!H45</f>
        <v>0</v>
      </c>
      <c r="I36" s="56">
        <f>'Raw Data - Ops KPIs'!I45</f>
        <v>0</v>
      </c>
      <c r="J36" s="56">
        <f>'Raw Data - Ops KPIs'!J45</f>
        <v>0</v>
      </c>
      <c r="K36" s="56">
        <f>'Raw Data - Ops KPIs'!K45</f>
        <v>0</v>
      </c>
      <c r="L36" s="56">
        <f>'Raw Data - Ops KPIs'!L45</f>
        <v>12984</v>
      </c>
      <c r="M36" s="56">
        <f>'Raw Data - Ops KPIs'!M45</f>
        <v>0</v>
      </c>
      <c r="N36" s="56">
        <f>'Raw Data - Ops KPIs'!N45</f>
        <v>16227</v>
      </c>
      <c r="O36" s="56">
        <f>'Raw Data - Ops KPIs'!O45</f>
        <v>15190</v>
      </c>
      <c r="P36" s="56">
        <f>'Raw Data - Ops KPIs'!P45</f>
        <v>15935</v>
      </c>
      <c r="Q36" s="56">
        <f>'Raw Data - Ops KPIs'!Q45</f>
        <v>17029</v>
      </c>
      <c r="R36" s="56">
        <f>'Raw Data - Ops KPIs'!R45</f>
        <v>20601</v>
      </c>
      <c r="S36" s="56">
        <f>'Raw Data - Ops KPIs'!S45</f>
        <v>18950</v>
      </c>
      <c r="T36" s="56">
        <f>'Raw Data - Ops KPIs'!T45</f>
        <v>19750</v>
      </c>
      <c r="U36" s="56">
        <f>'Raw Data - Ops KPIs'!U45</f>
        <v>21320</v>
      </c>
      <c r="V36" s="56">
        <f>'Raw Data - Ops KPIs'!V45</f>
        <v>26220</v>
      </c>
      <c r="W36" s="56">
        <f>'Raw Data - Ops KPIs'!W45</f>
        <v>24100</v>
      </c>
      <c r="AB36" s="19"/>
      <c r="AF36" s="56" t="str">
        <f>'Raw Data - Ops KPIs'!AF45</f>
        <v/>
      </c>
      <c r="AG36" s="56" t="str">
        <f>'Raw Data - Ops KPIs'!AG45</f>
        <v/>
      </c>
      <c r="AH36" s="56">
        <f>'Raw Data - Ops KPIs'!AH45</f>
        <v>44401</v>
      </c>
      <c r="AI36" s="56">
        <f>'Raw Data - Ops KPIs'!AI45</f>
        <v>72515</v>
      </c>
      <c r="AJ36" s="56">
        <f>'Raw Data - Ops KPIs'!AJ45</f>
        <v>91390</v>
      </c>
      <c r="AK36" s="56">
        <f>AK34*AK37</f>
        <v>119982.54138440367</v>
      </c>
      <c r="AL36" s="56">
        <f>AL34*AL37</f>
        <v>157398.37701988162</v>
      </c>
      <c r="AM36" s="56">
        <f>AM34*AM37</f>
        <v>206482.11650326956</v>
      </c>
      <c r="AN36" s="56">
        <f>AN34*AN37</f>
        <v>270872.32564211515</v>
      </c>
    </row>
    <row r="37" spans="1:40" hidden="1" outlineLevel="1" x14ac:dyDescent="0.3">
      <c r="A37" s="20" t="s">
        <v>246</v>
      </c>
      <c r="B37" s="17" t="s">
        <v>217</v>
      </c>
      <c r="C37" s="48" t="s">
        <v>238</v>
      </c>
      <c r="D37" s="49" t="str">
        <f t="shared" ref="D37:W37" si="31">IFERROR(D36/D34,"")</f>
        <v/>
      </c>
      <c r="E37" s="49" t="str">
        <f t="shared" si="31"/>
        <v/>
      </c>
      <c r="F37" s="49" t="str">
        <f t="shared" si="31"/>
        <v/>
      </c>
      <c r="G37" s="49" t="str">
        <f t="shared" si="31"/>
        <v/>
      </c>
      <c r="H37" s="49" t="str">
        <f t="shared" si="31"/>
        <v/>
      </c>
      <c r="I37" s="49" t="str">
        <f t="shared" si="31"/>
        <v/>
      </c>
      <c r="J37" s="49" t="str">
        <f t="shared" si="31"/>
        <v/>
      </c>
      <c r="K37" s="49" t="str">
        <f t="shared" si="31"/>
        <v/>
      </c>
      <c r="L37" s="49">
        <f t="shared" si="31"/>
        <v>1.0711987459780545</v>
      </c>
      <c r="M37" s="49">
        <f t="shared" si="31"/>
        <v>0</v>
      </c>
      <c r="N37" s="49">
        <f t="shared" si="31"/>
        <v>1.085127725023405</v>
      </c>
      <c r="O37" s="49">
        <f t="shared" si="31"/>
        <v>1.086629944917376</v>
      </c>
      <c r="P37" s="49">
        <f t="shared" si="31"/>
        <v>1.0843824430078257</v>
      </c>
      <c r="Q37" s="49">
        <f t="shared" si="31"/>
        <v>1.0873507438860865</v>
      </c>
      <c r="R37" s="49">
        <f t="shared" si="31"/>
        <v>1.0948078864856248</v>
      </c>
      <c r="S37" s="49">
        <f t="shared" si="31"/>
        <v>1.0785429709732499</v>
      </c>
      <c r="T37" s="49">
        <f t="shared" si="31"/>
        <v>1.0768811341330424</v>
      </c>
      <c r="U37" s="49">
        <f t="shared" si="31"/>
        <v>1.0762241292276629</v>
      </c>
      <c r="V37" s="49">
        <f t="shared" si="31"/>
        <v>1.0830235439900868</v>
      </c>
      <c r="W37" s="49">
        <f t="shared" si="31"/>
        <v>1.0621419127368885</v>
      </c>
      <c r="AB37" s="19"/>
      <c r="AC37" s="52" t="str">
        <f t="shared" ref="AC37:AJ37" si="32">IFERROR(AC36/AC34,"")</f>
        <v/>
      </c>
      <c r="AD37" s="52" t="str">
        <f t="shared" si="32"/>
        <v/>
      </c>
      <c r="AE37" s="52" t="str">
        <f t="shared" si="32"/>
        <v/>
      </c>
      <c r="AF37" s="52" t="str">
        <f t="shared" si="32"/>
        <v/>
      </c>
      <c r="AG37" s="52" t="str">
        <f t="shared" si="32"/>
        <v/>
      </c>
      <c r="AH37" s="52">
        <f t="shared" si="32"/>
        <v>0.82806788511749352</v>
      </c>
      <c r="AI37" s="52">
        <f t="shared" si="32"/>
        <v>1.0864809792787258</v>
      </c>
      <c r="AJ37" s="52">
        <f t="shared" si="32"/>
        <v>1.0745443856554968</v>
      </c>
      <c r="AK37" s="50">
        <v>1.075</v>
      </c>
      <c r="AL37" s="50">
        <v>1.075</v>
      </c>
      <c r="AM37" s="50">
        <v>1.075</v>
      </c>
      <c r="AN37" s="50">
        <v>1.075</v>
      </c>
    </row>
    <row r="38" spans="1:40" hidden="1" outlineLevel="1" x14ac:dyDescent="0.3">
      <c r="A38" s="20" t="s">
        <v>247</v>
      </c>
      <c r="B38" s="17" t="s">
        <v>214</v>
      </c>
      <c r="C38" s="22" t="s">
        <v>237</v>
      </c>
      <c r="D38" s="56">
        <f>'Raw Data - Ops KPIs'!D47</f>
        <v>0</v>
      </c>
      <c r="E38" s="56">
        <f>'Raw Data - Ops KPIs'!E47</f>
        <v>0</v>
      </c>
      <c r="F38" s="56">
        <f>'Raw Data - Ops KPIs'!F47</f>
        <v>0</v>
      </c>
      <c r="G38" s="56">
        <f>'Raw Data - Ops KPIs'!G47</f>
        <v>0</v>
      </c>
      <c r="H38" s="56">
        <f>'Raw Data - Ops KPIs'!H47</f>
        <v>0</v>
      </c>
      <c r="I38" s="56">
        <f>'Raw Data - Ops KPIs'!I47</f>
        <v>0</v>
      </c>
      <c r="J38" s="56">
        <f>'Raw Data - Ops KPIs'!J47</f>
        <v>0</v>
      </c>
      <c r="K38" s="56">
        <f>'Raw Data - Ops KPIs'!K47</f>
        <v>0</v>
      </c>
      <c r="L38" s="56">
        <f>'Raw Data - Ops KPIs'!L47</f>
        <v>5223</v>
      </c>
      <c r="M38" s="56">
        <f>'Raw Data - Ops KPIs'!M47</f>
        <v>0</v>
      </c>
      <c r="N38" s="56">
        <f>'Raw Data - Ops KPIs'!N47</f>
        <v>6317</v>
      </c>
      <c r="O38" s="56">
        <f>'Raw Data - Ops KPIs'!O47</f>
        <v>5950</v>
      </c>
      <c r="P38" s="56">
        <f>'Raw Data - Ops KPIs'!P47</f>
        <v>6328</v>
      </c>
      <c r="Q38" s="56">
        <f>'Raw Data - Ops KPIs'!Q47</f>
        <v>6828</v>
      </c>
      <c r="R38" s="56">
        <f>'Raw Data - Ops KPIs'!R47</f>
        <v>8175</v>
      </c>
      <c r="S38" s="56">
        <f>'Raw Data - Ops KPIs'!S47</f>
        <v>7790</v>
      </c>
      <c r="T38" s="56">
        <f>'Raw Data - Ops KPIs'!T47</f>
        <v>8190</v>
      </c>
      <c r="U38" s="56">
        <f>'Raw Data - Ops KPIs'!U47</f>
        <v>8840</v>
      </c>
      <c r="V38" s="56">
        <f>'Raw Data - Ops KPIs'!V47</f>
        <v>10850</v>
      </c>
      <c r="W38" s="56">
        <f>'Raw Data - Ops KPIs'!W47</f>
        <v>10130</v>
      </c>
      <c r="AB38" s="19"/>
      <c r="AF38" s="56" t="str">
        <f>'Raw Data - Ops KPIs'!AF47</f>
        <v/>
      </c>
      <c r="AG38" s="56" t="str">
        <f>'Raw Data - Ops KPIs'!AG47</f>
        <v/>
      </c>
      <c r="AH38" s="56">
        <f>'Raw Data - Ops KPIs'!AH47</f>
        <v>17490</v>
      </c>
      <c r="AI38" s="56">
        <f>'Raw Data - Ops KPIs'!AI47</f>
        <v>29121</v>
      </c>
      <c r="AJ38" s="56">
        <f>'Raw Data - Ops KPIs'!AJ47</f>
        <v>38010</v>
      </c>
      <c r="AK38" s="56">
        <f>AK34*AK39</f>
        <v>49890.414882631107</v>
      </c>
      <c r="AL38" s="56">
        <f>AL34*AL39</f>
        <v>65448.441421290314</v>
      </c>
      <c r="AM38" s="56">
        <f>AM34*AM39</f>
        <v>85858.145187871167</v>
      </c>
      <c r="AN38" s="56">
        <f>AN34*AN39</f>
        <v>112632.49261583766</v>
      </c>
    </row>
    <row r="39" spans="1:40" hidden="1" outlineLevel="1" x14ac:dyDescent="0.3">
      <c r="A39" s="20" t="s">
        <v>222</v>
      </c>
      <c r="B39" s="17" t="s">
        <v>217</v>
      </c>
      <c r="C39" s="48" t="s">
        <v>238</v>
      </c>
      <c r="D39" s="49" t="str">
        <f t="shared" ref="D39:W39" si="33">IFERROR(D38/D34,"")</f>
        <v/>
      </c>
      <c r="E39" s="49" t="str">
        <f t="shared" si="33"/>
        <v/>
      </c>
      <c r="F39" s="49" t="str">
        <f t="shared" si="33"/>
        <v/>
      </c>
      <c r="G39" s="49" t="str">
        <f t="shared" si="33"/>
        <v/>
      </c>
      <c r="H39" s="49" t="str">
        <f t="shared" si="33"/>
        <v/>
      </c>
      <c r="I39" s="49" t="str">
        <f t="shared" si="33"/>
        <v/>
      </c>
      <c r="J39" s="49" t="str">
        <f t="shared" si="33"/>
        <v/>
      </c>
      <c r="K39" s="49" t="str">
        <f t="shared" si="33"/>
        <v/>
      </c>
      <c r="L39" s="49">
        <f t="shared" si="33"/>
        <v>0.43090504083821468</v>
      </c>
      <c r="M39" s="49">
        <f t="shared" si="33"/>
        <v>0</v>
      </c>
      <c r="N39" s="49">
        <f t="shared" si="33"/>
        <v>0.42242878159689717</v>
      </c>
      <c r="O39" s="49">
        <f t="shared" si="33"/>
        <v>0.4256384576865298</v>
      </c>
      <c r="P39" s="49">
        <f t="shared" si="33"/>
        <v>0.43062266076896905</v>
      </c>
      <c r="Q39" s="49">
        <f t="shared" si="33"/>
        <v>0.43598748483494032</v>
      </c>
      <c r="R39" s="49">
        <f t="shared" si="33"/>
        <v>0.43444757400223205</v>
      </c>
      <c r="S39" s="49">
        <f t="shared" si="33"/>
        <v>0.44336937962435968</v>
      </c>
      <c r="T39" s="49">
        <f t="shared" si="33"/>
        <v>0.44656488549618323</v>
      </c>
      <c r="U39" s="49">
        <f t="shared" si="33"/>
        <v>0.44623927309439676</v>
      </c>
      <c r="V39" s="49">
        <f t="shared" si="33"/>
        <v>0.44816191656340354</v>
      </c>
      <c r="W39" s="49">
        <f t="shared" si="33"/>
        <v>0.4464521815777876</v>
      </c>
      <c r="AB39" s="19"/>
      <c r="AC39" s="52" t="str">
        <f t="shared" ref="AC39:AJ39" si="34">IFERROR(AC38/AC34,"")</f>
        <v/>
      </c>
      <c r="AD39" s="52" t="str">
        <f t="shared" si="34"/>
        <v/>
      </c>
      <c r="AE39" s="52" t="str">
        <f t="shared" si="34"/>
        <v/>
      </c>
      <c r="AF39" s="52" t="str">
        <f t="shared" si="34"/>
        <v/>
      </c>
      <c r="AG39" s="52" t="str">
        <f t="shared" si="34"/>
        <v/>
      </c>
      <c r="AH39" s="52">
        <f t="shared" si="34"/>
        <v>0.32618425960462516</v>
      </c>
      <c r="AI39" s="52">
        <f t="shared" si="34"/>
        <v>0.43631541884542197</v>
      </c>
      <c r="AJ39" s="52">
        <f t="shared" si="34"/>
        <v>0.44691358024691358</v>
      </c>
      <c r="AK39" s="50">
        <v>0.44700000000000001</v>
      </c>
      <c r="AL39" s="50">
        <v>0.44700000000000001</v>
      </c>
      <c r="AM39" s="50">
        <v>0.44700000000000001</v>
      </c>
      <c r="AN39" s="50">
        <v>0.44700000000000001</v>
      </c>
    </row>
    <row r="40" spans="1:40" hidden="1" outlineLevel="1" x14ac:dyDescent="0.3">
      <c r="A40" s="20" t="s">
        <v>248</v>
      </c>
      <c r="B40" s="17" t="s">
        <v>214</v>
      </c>
      <c r="C40" s="22" t="s">
        <v>237</v>
      </c>
      <c r="D40" s="56">
        <f>'Raw Data - Ops KPIs'!D49</f>
        <v>0</v>
      </c>
      <c r="E40" s="56">
        <f>'Raw Data - Ops KPIs'!E49</f>
        <v>0</v>
      </c>
      <c r="F40" s="56">
        <f>'Raw Data - Ops KPIs'!F49</f>
        <v>0</v>
      </c>
      <c r="G40" s="56">
        <f>'Raw Data - Ops KPIs'!G49</f>
        <v>0</v>
      </c>
      <c r="H40" s="56">
        <f>'Raw Data - Ops KPIs'!H49</f>
        <v>0</v>
      </c>
      <c r="I40" s="56">
        <f>'Raw Data - Ops KPIs'!I49</f>
        <v>0</v>
      </c>
      <c r="J40" s="56">
        <f>'Raw Data - Ops KPIs'!J49</f>
        <v>0</v>
      </c>
      <c r="K40" s="56">
        <f>'Raw Data - Ops KPIs'!K49</f>
        <v>0</v>
      </c>
      <c r="L40" s="56">
        <f>'Raw Data - Ops KPIs'!L49</f>
        <v>1114</v>
      </c>
      <c r="M40" s="56">
        <f>'Raw Data - Ops KPIs'!M49</f>
        <v>0</v>
      </c>
      <c r="N40" s="56">
        <f>'Raw Data - Ops KPIs'!N49</f>
        <v>1396</v>
      </c>
      <c r="O40" s="56">
        <f>'Raw Data - Ops KPIs'!O49</f>
        <v>1280</v>
      </c>
      <c r="P40" s="56">
        <f>'Raw Data - Ops KPIs'!P49</f>
        <v>1417</v>
      </c>
      <c r="Q40" s="56">
        <f>'Raw Data - Ops KPIs'!Q49</f>
        <v>1488</v>
      </c>
      <c r="R40" s="56">
        <f>'Raw Data - Ops KPIs'!R49</f>
        <v>1749</v>
      </c>
      <c r="S40" s="56">
        <f>'Raw Data - Ops KPIs'!S49</f>
        <v>1630</v>
      </c>
      <c r="T40" s="56">
        <f>'Raw Data - Ops KPIs'!T49</f>
        <v>1700</v>
      </c>
      <c r="U40" s="56">
        <f>'Raw Data - Ops KPIs'!U49</f>
        <v>1870</v>
      </c>
      <c r="V40" s="56">
        <f>'Raw Data - Ops KPIs'!V49</f>
        <v>2220</v>
      </c>
      <c r="W40" s="56">
        <f>'Raw Data - Ops KPIs'!W49</f>
        <v>2150</v>
      </c>
      <c r="AB40" s="19"/>
      <c r="AF40" s="56" t="str">
        <f>'Raw Data - Ops KPIs'!AF49</f>
        <v/>
      </c>
      <c r="AG40" s="56" t="str">
        <f>'Raw Data - Ops KPIs'!AG49</f>
        <v/>
      </c>
      <c r="AH40" s="56">
        <f>'Raw Data - Ops KPIs'!AH49</f>
        <v>3790</v>
      </c>
      <c r="AI40" s="56">
        <f>'Raw Data - Ops KPIs'!AI49</f>
        <v>6284</v>
      </c>
      <c r="AJ40" s="56">
        <f>'Raw Data - Ops KPIs'!AJ49</f>
        <v>7940</v>
      </c>
      <c r="AK40" s="56">
        <f>AK34*AK41</f>
        <v>10379.884975580968</v>
      </c>
      <c r="AL40" s="56">
        <f>AL34*AL41</f>
        <v>13616.789825906038</v>
      </c>
      <c r="AM40" s="56">
        <f>AM34*AM41</f>
        <v>17863.104032375879</v>
      </c>
      <c r="AN40" s="56">
        <f>AN34*AN41</f>
        <v>23433.605846248101</v>
      </c>
    </row>
    <row r="41" spans="1:40" hidden="1" outlineLevel="1" x14ac:dyDescent="0.3">
      <c r="A41" s="20" t="s">
        <v>249</v>
      </c>
      <c r="B41" s="17" t="s">
        <v>217</v>
      </c>
      <c r="C41" s="48" t="s">
        <v>238</v>
      </c>
      <c r="D41" s="49" t="str">
        <f t="shared" ref="D41:W41" si="35">IFERROR(D40/D34,"")</f>
        <v/>
      </c>
      <c r="E41" s="49" t="str">
        <f t="shared" si="35"/>
        <v/>
      </c>
      <c r="F41" s="49" t="str">
        <f t="shared" si="35"/>
        <v/>
      </c>
      <c r="G41" s="49" t="str">
        <f t="shared" si="35"/>
        <v/>
      </c>
      <c r="H41" s="49" t="str">
        <f t="shared" si="35"/>
        <v/>
      </c>
      <c r="I41" s="49" t="str">
        <f t="shared" si="35"/>
        <v/>
      </c>
      <c r="J41" s="49" t="str">
        <f t="shared" si="35"/>
        <v/>
      </c>
      <c r="K41" s="49" t="str">
        <f t="shared" si="35"/>
        <v/>
      </c>
      <c r="L41" s="49">
        <f t="shared" si="35"/>
        <v>9.1906608365646403E-2</v>
      </c>
      <c r="M41" s="49">
        <f t="shared" si="35"/>
        <v>0</v>
      </c>
      <c r="N41" s="49">
        <f t="shared" si="35"/>
        <v>9.3352949043734118E-2</v>
      </c>
      <c r="O41" s="49">
        <f t="shared" si="35"/>
        <v>9.1565920309034987E-2</v>
      </c>
      <c r="P41" s="49">
        <f t="shared" si="35"/>
        <v>9.6427356243620282E-2</v>
      </c>
      <c r="Q41" s="49">
        <f t="shared" si="35"/>
        <v>9.5013089841006315E-2</v>
      </c>
      <c r="R41" s="49">
        <f t="shared" si="35"/>
        <v>9.294786629111973E-2</v>
      </c>
      <c r="S41" s="49">
        <f t="shared" si="35"/>
        <v>9.2771770062606715E-2</v>
      </c>
      <c r="T41" s="49">
        <f t="shared" si="35"/>
        <v>9.2693565976008724E-2</v>
      </c>
      <c r="U41" s="49">
        <f t="shared" si="35"/>
        <v>9.4396769308430092E-2</v>
      </c>
      <c r="V41" s="49">
        <f t="shared" si="35"/>
        <v>9.169764560099132E-2</v>
      </c>
      <c r="W41" s="49">
        <f t="shared" si="35"/>
        <v>9.4755398854120765E-2</v>
      </c>
      <c r="AB41" s="19"/>
      <c r="AC41" s="52" t="str">
        <f t="shared" ref="AC41:AJ41" si="36">IFERROR(AC40/AC34,"")</f>
        <v/>
      </c>
      <c r="AD41" s="52" t="str">
        <f t="shared" si="36"/>
        <v/>
      </c>
      <c r="AE41" s="52" t="str">
        <f t="shared" si="36"/>
        <v/>
      </c>
      <c r="AF41" s="52" t="str">
        <f t="shared" si="36"/>
        <v/>
      </c>
      <c r="AG41" s="52" t="str">
        <f t="shared" si="36"/>
        <v/>
      </c>
      <c r="AH41" s="52">
        <f t="shared" si="36"/>
        <v>7.0682581126445362E-2</v>
      </c>
      <c r="AI41" s="52">
        <f t="shared" si="36"/>
        <v>9.4152195735882419E-2</v>
      </c>
      <c r="AJ41" s="52">
        <f t="shared" si="36"/>
        <v>9.3356848912404464E-2</v>
      </c>
      <c r="AK41" s="50">
        <v>9.2999999999999999E-2</v>
      </c>
      <c r="AL41" s="50">
        <v>9.2999999999999999E-2</v>
      </c>
      <c r="AM41" s="50">
        <v>9.2999999999999999E-2</v>
      </c>
      <c r="AN41" s="50">
        <v>9.2999999999999999E-2</v>
      </c>
    </row>
    <row r="42" spans="1:40" hidden="1" outlineLevel="1" x14ac:dyDescent="0.3">
      <c r="A42" s="20" t="s">
        <v>252</v>
      </c>
      <c r="B42" s="17" t="s">
        <v>214</v>
      </c>
      <c r="C42" s="22" t="s">
        <v>215</v>
      </c>
      <c r="D42" s="55">
        <f>IF(AND(D44="",D45=""),"",IF(D44="",0,D44)+IF(D45="",0,D45))</f>
        <v>0</v>
      </c>
      <c r="E42" s="55">
        <f>IF(AND(E44="",E45=""),"",IF(E44="",0,E44)+IF(E45="",0,E45))</f>
        <v>0</v>
      </c>
      <c r="F42" s="55">
        <f>IF(AND(F44="",F45=""),"",IF(F44="",0,F44)+IF(F45="",0,F45))</f>
        <v>0</v>
      </c>
      <c r="G42" s="55">
        <f>IF(AND(G44="",G45=""),"",IF(G44="",0,G44)+IF(G45="",0,G45))</f>
        <v>0</v>
      </c>
      <c r="H42" s="55">
        <f>IF(AND(H44="",H45=""),"",IF(H44="",0,H44)+IF(H45="",0,H45))</f>
        <v>0</v>
      </c>
      <c r="I42" s="55">
        <f>IF(AND(I44="",I45=""),"",IF(I44="",0,I44)+IF(I45="",0,I45))</f>
        <v>0</v>
      </c>
      <c r="J42" s="55">
        <f>IF(AND(J44="",J45=""),"",IF(J44="",0,J44)+IF(J45="",0,J45))</f>
        <v>0</v>
      </c>
      <c r="K42" s="55">
        <f>IF(AND(K44="",K45=""),"",IF(K44="",0,K44)+IF(K45="",0,K45))</f>
        <v>0</v>
      </c>
      <c r="L42" s="55">
        <f>IF(AND(L44="",L45=""),"",IF(L44="",0,L44)+IF(L45="",0,L45))</f>
        <v>1256</v>
      </c>
      <c r="M42" s="55">
        <f>IF(AND(M44="",M45=""),"",IF(M44="",0,M44)+IF(M45="",0,M45))</f>
        <v>0</v>
      </c>
      <c r="N42" s="55">
        <f>IF(AND(N44="",N45=""),"",IF(N44="",0,N44)+IF(N45="",0,N45))</f>
        <v>1799</v>
      </c>
      <c r="O42" s="55">
        <f>IF(AND(O44="",O45=""),"",IF(O44="",0,O44)+IF(O45="",0,O45))</f>
        <v>1610</v>
      </c>
      <c r="P42" s="55">
        <f>IF(AND(P44="",P45=""),"",IF(P44="",0,P44)+IF(P45="",0,P45))</f>
        <v>1681</v>
      </c>
      <c r="Q42" s="55">
        <f>IF(AND(Q44="",Q45=""),"",IF(Q44="",0,Q44)+IF(Q45="",0,Q45))</f>
        <v>1901</v>
      </c>
      <c r="R42" s="55">
        <f>IF(AND(R44="",R45=""),"",IF(R44="",0,R44)+IF(R45="",0,R45))</f>
        <v>2429</v>
      </c>
      <c r="S42" s="55">
        <f>IF(AND(S44="",S45=""),"",IF(S44="",0,S44)+IF(S45="",0,S45))</f>
        <v>2120</v>
      </c>
      <c r="T42" s="55">
        <f>IF(AND(T44="",T45=""),"",IF(T44="",0,T44)+IF(T45="",0,T45))</f>
        <v>2340</v>
      </c>
      <c r="U42" s="55">
        <f>IF(AND(U44="",U45=""),"",IF(U44="",0,U44)+IF(U45="",0,U45))</f>
        <v>2600</v>
      </c>
      <c r="V42" s="55">
        <f>IF(AND(V44="",V45=""),"",IF(V44="",0,V44)+IF(V45="",0,V45))</f>
        <v>3190</v>
      </c>
      <c r="W42" s="55">
        <f>IF(AND(W44="",W45=""),"",IF(W44="",0,W44)+IF(W45="",0,W45))</f>
        <v>2780</v>
      </c>
      <c r="AB42" s="19"/>
      <c r="AC42" s="56" t="str">
        <f>IF(AND(AC44="",AC45=""),"",IF(AC44="",0,AC44)+IF(AC45="",0,AC45))</f>
        <v/>
      </c>
      <c r="AD42" s="56" t="str">
        <f>IF(AND(AD44="",AD45=""),"",IF(AD44="",0,AD44)+IF(AD45="",0,AD45))</f>
        <v/>
      </c>
      <c r="AE42" s="56" t="str">
        <f>IF(AND(AE44="",AE45=""),"",IF(AE44="",0,AE44)+IF(AE45="",0,AE45))</f>
        <v/>
      </c>
      <c r="AF42" s="56" t="str">
        <f>IF(AND(AF44="",AF45=""),"",IF(AF44="",0,AF44)+IF(AF45="",0,AF45))</f>
        <v/>
      </c>
      <c r="AG42" s="56" t="str">
        <f>IF(AND(AG44="",AG45=""),"",IF(AG44="",0,AG44)+IF(AG45="",0,AG45))</f>
        <v/>
      </c>
      <c r="AH42" s="56">
        <f>IF(AND(AH44="",AH45=""),"",IF(AH44="",0,AH44)+IF(AH45="",0,AH45))</f>
        <v>4665</v>
      </c>
      <c r="AI42" s="56">
        <f>IF(AND(AI44="",AI45=""),"",IF(AI44="",0,AI44)+IF(AI45="",0,AI45))</f>
        <v>8131</v>
      </c>
      <c r="AJ42" s="56">
        <f>IF(AND(AJ44="",AJ45=""),"",IF(AJ44="",0,AJ44)+IF(AJ45="",0,AJ45))</f>
        <v>10910</v>
      </c>
      <c r="AK42" s="56">
        <f>AK34*AK43</f>
        <v>14286.293299724344</v>
      </c>
      <c r="AL42" s="56">
        <f>AL34*AL43</f>
        <v>18741.38814748358</v>
      </c>
      <c r="AM42" s="56">
        <f>AM34*AM43</f>
        <v>24585.777592947445</v>
      </c>
      <c r="AN42" s="56">
        <f>AN34*AN43</f>
        <v>32252.70482064255</v>
      </c>
    </row>
    <row r="43" spans="1:40" hidden="1" outlineLevel="1" x14ac:dyDescent="0.3">
      <c r="A43" s="20" t="s">
        <v>253</v>
      </c>
      <c r="B43" s="17" t="s">
        <v>217</v>
      </c>
      <c r="C43" s="48" t="s">
        <v>238</v>
      </c>
      <c r="D43" s="49" t="str">
        <f>IFERROR(D42/D34,"")</f>
        <v/>
      </c>
      <c r="E43" s="49" t="str">
        <f>IFERROR(E42/E34,"")</f>
        <v/>
      </c>
      <c r="F43" s="49" t="str">
        <f>IFERROR(F42/F34,"")</f>
        <v/>
      </c>
      <c r="G43" s="49" t="str">
        <f>IFERROR(G42/G34,"")</f>
        <v/>
      </c>
      <c r="H43" s="49" t="str">
        <f>IFERROR(H42/H34,"")</f>
        <v/>
      </c>
      <c r="I43" s="49" t="str">
        <f>IFERROR(I42/I34,"")</f>
        <v/>
      </c>
      <c r="J43" s="49" t="str">
        <f>IFERROR(J42/J34,"")</f>
        <v/>
      </c>
      <c r="K43" s="49" t="str">
        <f>IFERROR(K42/K34,"")</f>
        <v/>
      </c>
      <c r="L43" s="49">
        <f>IFERROR(L42/L34,"")</f>
        <v>0.10362181338173418</v>
      </c>
      <c r="M43" s="49">
        <f>IFERROR(M42/M34,"")</f>
        <v>0</v>
      </c>
      <c r="N43" s="49">
        <f>IFERROR(N42/N34,"")</f>
        <v>0.1203022602648121</v>
      </c>
      <c r="O43" s="49">
        <f>IFERROR(O42/O34,"")</f>
        <v>0.11517275913870806</v>
      </c>
      <c r="P43" s="49">
        <f>IFERROR(P42/P34,"")</f>
        <v>0.11439265056141545</v>
      </c>
      <c r="Q43" s="49">
        <f>IFERROR(Q42/Q34,"")</f>
        <v>0.12138433050252219</v>
      </c>
      <c r="R43" s="49">
        <f>IFERROR(R42/R34,"")</f>
        <v>0.12908540149864484</v>
      </c>
      <c r="S43" s="49">
        <f>IFERROR(S42/S34,"")</f>
        <v>0.12066021627774616</v>
      </c>
      <c r="T43" s="49">
        <f>IFERROR(T42/T34,"")</f>
        <v>0.12758996728462377</v>
      </c>
      <c r="U43" s="49">
        <f>IFERROR(U42/U34,"")</f>
        <v>0.13124684502776376</v>
      </c>
      <c r="V43" s="49">
        <f>IFERROR(V42/V34,"")</f>
        <v>0.13176373399421726</v>
      </c>
      <c r="W43" s="49">
        <f>IFERROR(W42/W34,"")</f>
        <v>0.12252093433230499</v>
      </c>
      <c r="AB43" s="19"/>
      <c r="AC43" s="52" t="str">
        <f>IFERROR(AC42/AC34,"")</f>
        <v/>
      </c>
      <c r="AD43" s="52" t="str">
        <f>IFERROR(AD42/AD34,"")</f>
        <v/>
      </c>
      <c r="AE43" s="52" t="str">
        <f>IFERROR(AE42/AE34,"")</f>
        <v/>
      </c>
      <c r="AF43" s="52" t="str">
        <f>IFERROR(AF42/AF34,"")</f>
        <v/>
      </c>
      <c r="AG43" s="52" t="str">
        <f>IFERROR(AG42/AG34,"")</f>
        <v/>
      </c>
      <c r="AH43" s="52">
        <f>IFERROR(AH42/AH34,"")</f>
        <v>8.7001118985453194E-2</v>
      </c>
      <c r="AI43" s="52">
        <f>IFERROR(AI42/AI34,"")</f>
        <v>0.12182550979128898</v>
      </c>
      <c r="AJ43" s="52">
        <f>IFERROR(AJ42/AJ34,"")</f>
        <v>0.12827748383303939</v>
      </c>
      <c r="AK43" s="50">
        <v>0.128</v>
      </c>
      <c r="AL43" s="50">
        <v>0.128</v>
      </c>
      <c r="AM43" s="50">
        <v>0.128</v>
      </c>
      <c r="AN43" s="50">
        <v>0.128</v>
      </c>
    </row>
    <row r="44" spans="1:40" hidden="1" outlineLevel="1" x14ac:dyDescent="0.3">
      <c r="A44" s="20" t="s">
        <v>250</v>
      </c>
      <c r="B44" s="17" t="s">
        <v>214</v>
      </c>
      <c r="C44" s="22" t="s">
        <v>237</v>
      </c>
      <c r="D44" s="56">
        <f>'Raw Data - Ops KPIs'!D50</f>
        <v>0</v>
      </c>
      <c r="E44" s="56">
        <f>'Raw Data - Ops KPIs'!E50</f>
        <v>0</v>
      </c>
      <c r="F44" s="56">
        <f>'Raw Data - Ops KPIs'!F50</f>
        <v>0</v>
      </c>
      <c r="G44" s="56">
        <f>'Raw Data - Ops KPIs'!G50</f>
        <v>0</v>
      </c>
      <c r="H44" s="56">
        <f>'Raw Data - Ops KPIs'!H50</f>
        <v>0</v>
      </c>
      <c r="I44" s="56">
        <f>'Raw Data - Ops KPIs'!I50</f>
        <v>0</v>
      </c>
      <c r="J44" s="56">
        <f>'Raw Data - Ops KPIs'!J50</f>
        <v>0</v>
      </c>
      <c r="K44" s="56">
        <f>'Raw Data - Ops KPIs'!K50</f>
        <v>0</v>
      </c>
      <c r="L44" s="56">
        <f>'Raw Data - Ops KPIs'!L50</f>
        <v>971</v>
      </c>
      <c r="M44" s="56">
        <f>'Raw Data - Ops KPIs'!M50</f>
        <v>0</v>
      </c>
      <c r="N44" s="56">
        <f>'Raw Data - Ops KPIs'!N50</f>
        <v>1414</v>
      </c>
      <c r="O44" s="56">
        <f>'Raw Data - Ops KPIs'!O50</f>
        <v>1210</v>
      </c>
      <c r="P44" s="56">
        <f>'Raw Data - Ops KPIs'!P50</f>
        <v>1268</v>
      </c>
      <c r="Q44" s="56">
        <f>'Raw Data - Ops KPIs'!Q50</f>
        <v>1462</v>
      </c>
      <c r="R44" s="56">
        <f>'Raw Data - Ops KPIs'!R50</f>
        <v>1897</v>
      </c>
      <c r="S44" s="56">
        <f>'Raw Data - Ops KPIs'!S50</f>
        <v>1570</v>
      </c>
      <c r="T44" s="56">
        <f>'Raw Data - Ops KPIs'!T50</f>
        <v>2340</v>
      </c>
      <c r="U44" s="56">
        <f>'Raw Data - Ops KPIs'!U50</f>
        <v>2600</v>
      </c>
      <c r="V44" s="56">
        <f>'Raw Data - Ops KPIs'!V50</f>
        <v>3190</v>
      </c>
      <c r="W44" s="56">
        <f>'Raw Data - Ops KPIs'!W50</f>
        <v>2780</v>
      </c>
      <c r="AB44" s="19"/>
      <c r="AF44" s="56" t="str">
        <f>'Raw Data - Ops KPIs'!AF50</f>
        <v/>
      </c>
      <c r="AG44" s="56" t="str">
        <f>'Raw Data - Ops KPIs'!AG50</f>
        <v/>
      </c>
      <c r="AH44" s="56">
        <f>'Raw Data - Ops KPIs'!AH50</f>
        <v>3595</v>
      </c>
      <c r="AI44" s="56">
        <f>'Raw Data - Ops KPIs'!AI50</f>
        <v>6197</v>
      </c>
      <c r="AJ44" s="56">
        <f>'Raw Data - Ops KPIs'!AJ50</f>
        <v>10910</v>
      </c>
    </row>
    <row r="45" spans="1:40" hidden="1" outlineLevel="1" x14ac:dyDescent="0.3">
      <c r="A45" s="20" t="s">
        <v>251</v>
      </c>
      <c r="B45" s="17" t="s">
        <v>214</v>
      </c>
      <c r="C45" s="22" t="s">
        <v>237</v>
      </c>
      <c r="D45" s="56">
        <f>'Raw Data - Ops KPIs'!D51</f>
        <v>0</v>
      </c>
      <c r="E45" s="56">
        <f>'Raw Data - Ops KPIs'!E51</f>
        <v>0</v>
      </c>
      <c r="F45" s="56">
        <f>'Raw Data - Ops KPIs'!F51</f>
        <v>0</v>
      </c>
      <c r="G45" s="56">
        <f>'Raw Data - Ops KPIs'!G51</f>
        <v>0</v>
      </c>
      <c r="H45" s="56">
        <f>'Raw Data - Ops KPIs'!H51</f>
        <v>0</v>
      </c>
      <c r="I45" s="56">
        <f>'Raw Data - Ops KPIs'!I51</f>
        <v>0</v>
      </c>
      <c r="J45" s="56">
        <f>'Raw Data - Ops KPIs'!J51</f>
        <v>0</v>
      </c>
      <c r="K45" s="56">
        <f>'Raw Data - Ops KPIs'!K51</f>
        <v>0</v>
      </c>
      <c r="L45" s="56">
        <f>'Raw Data - Ops KPIs'!L51</f>
        <v>285</v>
      </c>
      <c r="M45" s="56">
        <f>'Raw Data - Ops KPIs'!M51</f>
        <v>0</v>
      </c>
      <c r="N45" s="56">
        <f>'Raw Data - Ops KPIs'!N51</f>
        <v>385</v>
      </c>
      <c r="O45" s="56">
        <f>'Raw Data - Ops KPIs'!O51</f>
        <v>400</v>
      </c>
      <c r="P45" s="56">
        <f>'Raw Data - Ops KPIs'!P51</f>
        <v>413</v>
      </c>
      <c r="Q45" s="56">
        <f>'Raw Data - Ops KPIs'!Q51</f>
        <v>439</v>
      </c>
      <c r="R45" s="56">
        <f>'Raw Data - Ops KPIs'!R51</f>
        <v>532</v>
      </c>
      <c r="S45" s="56">
        <f>'Raw Data - Ops KPIs'!S51</f>
        <v>550</v>
      </c>
      <c r="T45" s="56">
        <f>'Raw Data - Ops KPIs'!T51</f>
        <v>0</v>
      </c>
      <c r="U45" s="56">
        <f>'Raw Data - Ops KPIs'!U51</f>
        <v>0</v>
      </c>
      <c r="V45" s="56">
        <f>'Raw Data - Ops KPIs'!V51</f>
        <v>0</v>
      </c>
      <c r="W45" s="56">
        <f>'Raw Data - Ops KPIs'!W51</f>
        <v>0</v>
      </c>
      <c r="AB45" s="19"/>
      <c r="AF45" s="56" t="str">
        <f>'Raw Data - Ops KPIs'!AF51</f>
        <v/>
      </c>
      <c r="AG45" s="56" t="str">
        <f>'Raw Data - Ops KPIs'!AG51</f>
        <v/>
      </c>
      <c r="AH45" s="56">
        <f>'Raw Data - Ops KPIs'!AH51</f>
        <v>1070</v>
      </c>
      <c r="AI45" s="56">
        <f>'Raw Data - Ops KPIs'!AI51</f>
        <v>1934</v>
      </c>
      <c r="AJ45" s="56">
        <f>'Raw Data - Ops KPIs'!AJ51</f>
        <v>0</v>
      </c>
    </row>
    <row r="46" spans="1:40" hidden="1" outlineLevel="1" x14ac:dyDescent="0.3">
      <c r="A46" s="20" t="s">
        <v>254</v>
      </c>
      <c r="B46" s="17" t="s">
        <v>214</v>
      </c>
      <c r="C46" s="22" t="s">
        <v>215</v>
      </c>
      <c r="D46" s="55">
        <f>IFERROR(D38-D40-D42,"")</f>
        <v>0</v>
      </c>
      <c r="E46" s="55">
        <f>IFERROR(E38-E40-E42,"")</f>
        <v>0</v>
      </c>
      <c r="F46" s="55">
        <f>IFERROR(F38-F40-F42,"")</f>
        <v>0</v>
      </c>
      <c r="G46" s="55">
        <f>IFERROR(G38-G40-G42,"")</f>
        <v>0</v>
      </c>
      <c r="H46" s="55">
        <f>IFERROR(H38-H40-H42,"")</f>
        <v>0</v>
      </c>
      <c r="I46" s="55">
        <f>IFERROR(I38-I40-I42,"")</f>
        <v>0</v>
      </c>
      <c r="J46" s="55">
        <f>IFERROR(J38-J40-J42,"")</f>
        <v>0</v>
      </c>
      <c r="K46" s="55">
        <f>IFERROR(K38-K40-K42,"")</f>
        <v>0</v>
      </c>
      <c r="L46" s="55">
        <f>IFERROR(L38-L40-L42,"")</f>
        <v>2853</v>
      </c>
      <c r="M46" s="55">
        <f>IFERROR(M38-M40-M42,"")</f>
        <v>0</v>
      </c>
      <c r="N46" s="55">
        <f>IFERROR(N38-N40-N42,"")</f>
        <v>3122</v>
      </c>
      <c r="O46" s="55">
        <f>IFERROR(O38-O40-O42,"")</f>
        <v>3060</v>
      </c>
      <c r="P46" s="55">
        <f>IFERROR(P38-P40-P42,"")</f>
        <v>3230</v>
      </c>
      <c r="Q46" s="55">
        <f>IFERROR(Q38-Q40-Q42,"")</f>
        <v>3439</v>
      </c>
      <c r="R46" s="55">
        <f>IFERROR(R38-R40-R42,"")</f>
        <v>3997</v>
      </c>
      <c r="S46" s="55">
        <f>IFERROR(S38-S40-S42,"")</f>
        <v>4040</v>
      </c>
      <c r="T46" s="55">
        <f>IFERROR(T38-T40-T42,"")</f>
        <v>4150</v>
      </c>
      <c r="U46" s="55">
        <f>IFERROR(U38-U40-U42,"")</f>
        <v>4370</v>
      </c>
      <c r="V46" s="55">
        <f>IFERROR(V38-V40-V42,"")</f>
        <v>5440</v>
      </c>
      <c r="W46" s="55">
        <f>IFERROR(W38-W40-W42,"")</f>
        <v>5200</v>
      </c>
      <c r="AB46" s="19"/>
      <c r="AC46" s="56" t="str">
        <f>IFERROR(AC38-AC40-AC42,"")</f>
        <v/>
      </c>
      <c r="AD46" s="56" t="str">
        <f>IFERROR(AD38-AD40-AD42,"")</f>
        <v/>
      </c>
      <c r="AE46" s="56" t="str">
        <f>IFERROR(AE38-AE40-AE42,"")</f>
        <v/>
      </c>
      <c r="AF46" s="56" t="str">
        <f>IFERROR(AF38-AF40-AF42,"")</f>
        <v/>
      </c>
      <c r="AG46" s="56" t="str">
        <f>IFERROR(AG38-AG40-AG42,"")</f>
        <v/>
      </c>
      <c r="AH46" s="56">
        <f>IFERROR(AH38-AH40-AH42,"")</f>
        <v>9035</v>
      </c>
      <c r="AI46" s="56">
        <f>IFERROR(AI38-AI40-AI42,"")</f>
        <v>14706</v>
      </c>
      <c r="AJ46" s="56">
        <f>IFERROR(AJ38-AJ40-AJ42,"")</f>
        <v>19160</v>
      </c>
      <c r="AK46" s="56">
        <f>IFERROR(AK38-AK40-AK42,"")</f>
        <v>25224.236607325791</v>
      </c>
      <c r="AL46" s="56">
        <f>IFERROR(AL38-AL40-AL42,"")</f>
        <v>33090.263447900696</v>
      </c>
      <c r="AM46" s="56">
        <f>IFERROR(AM38-AM40-AM42,"")</f>
        <v>43409.263562547843</v>
      </c>
      <c r="AN46" s="56">
        <f>IFERROR(AN38-AN40-AN42,"")</f>
        <v>56946.181948947007</v>
      </c>
    </row>
    <row r="47" spans="1:40" hidden="1" outlineLevel="1" x14ac:dyDescent="0.3">
      <c r="A47" s="20" t="s">
        <v>255</v>
      </c>
      <c r="B47" s="17" t="s">
        <v>217</v>
      </c>
      <c r="C47" s="22" t="s">
        <v>215</v>
      </c>
      <c r="D47" s="49" t="str">
        <f>IFERROR(D46/D34,"")</f>
        <v/>
      </c>
      <c r="E47" s="49" t="str">
        <f>IFERROR(E46/E34,"")</f>
        <v/>
      </c>
      <c r="F47" s="49" t="str">
        <f>IFERROR(F46/F34,"")</f>
        <v/>
      </c>
      <c r="G47" s="49" t="str">
        <f>IFERROR(G46/G34,"")</f>
        <v/>
      </c>
      <c r="H47" s="49" t="str">
        <f>IFERROR(H46/H34,"")</f>
        <v/>
      </c>
      <c r="I47" s="49" t="str">
        <f>IFERROR(I46/I34,"")</f>
        <v/>
      </c>
      <c r="J47" s="49" t="str">
        <f>IFERROR(J46/J34,"")</f>
        <v/>
      </c>
      <c r="K47" s="49" t="str">
        <f>IFERROR(K46/K34,"")</f>
        <v/>
      </c>
      <c r="L47" s="49">
        <f>IFERROR(L46/L34,"")</f>
        <v>0.2353766190908341</v>
      </c>
      <c r="M47" s="49">
        <f>IFERROR(M46/M34,"")</f>
        <v>0</v>
      </c>
      <c r="N47" s="49">
        <f>IFERROR(N46/N34,"")</f>
        <v>0.20877357228835094</v>
      </c>
      <c r="O47" s="49">
        <f>IFERROR(O46/O34,"")</f>
        <v>0.21889977823878676</v>
      </c>
      <c r="P47" s="49">
        <f>IFERROR(P46/P34,"")</f>
        <v>0.21980265396393331</v>
      </c>
      <c r="Q47" s="49">
        <f>IFERROR(Q46/Q34,"")</f>
        <v>0.21959006449141177</v>
      </c>
      <c r="R47" s="49">
        <f>IFERROR(R46/R34,"")</f>
        <v>0.21241430621246746</v>
      </c>
      <c r="S47" s="49">
        <f>IFERROR(S46/S34,"")</f>
        <v>0.22993739328400684</v>
      </c>
      <c r="T47" s="49">
        <f>IFERROR(T46/T34,"")</f>
        <v>0.22628135223555071</v>
      </c>
      <c r="U47" s="49">
        <f>IFERROR(U46/U34,"")</f>
        <v>0.22059565875820292</v>
      </c>
      <c r="V47" s="49">
        <f>IFERROR(V46/V34,"")</f>
        <v>0.22470053696819495</v>
      </c>
      <c r="W47" s="49">
        <f>IFERROR(W46/W34,"")</f>
        <v>0.22917584839136185</v>
      </c>
      <c r="AB47" s="19"/>
      <c r="AC47" s="52" t="str">
        <f>IFERROR(AC46/AC34,"")</f>
        <v/>
      </c>
      <c r="AD47" s="52" t="str">
        <f>IFERROR(AD46/AD34,"")</f>
        <v/>
      </c>
      <c r="AE47" s="52" t="str">
        <f>IFERROR(AE46/AE34,"")</f>
        <v/>
      </c>
      <c r="AF47" s="52" t="str">
        <f>IFERROR(AF46/AF34,"")</f>
        <v/>
      </c>
      <c r="AG47" s="52" t="str">
        <f>IFERROR(AG46/AG34,"")</f>
        <v/>
      </c>
      <c r="AH47" s="52">
        <f>IFERROR(AH46/AH34,"")</f>
        <v>0.1685005594927266</v>
      </c>
      <c r="AI47" s="52">
        <f>IFERROR(AI46/AI34,"")</f>
        <v>0.22033771331825061</v>
      </c>
      <c r="AJ47" s="52">
        <f>IFERROR(AJ46/AJ34,"")</f>
        <v>0.22527924750146971</v>
      </c>
      <c r="AK47" s="52">
        <f>IFERROR(AK46/AK34,"")</f>
        <v>0.22599999999999995</v>
      </c>
      <c r="AL47" s="52">
        <f>IFERROR(AL46/AL34,"")</f>
        <v>0.22600000000000001</v>
      </c>
      <c r="AM47" s="52">
        <f>IFERROR(AM46/AM34,"")</f>
        <v>0.22600000000000006</v>
      </c>
      <c r="AN47" s="52">
        <f>IFERROR(AN46/AN34,"")</f>
        <v>0.22600000000000003</v>
      </c>
    </row>
    <row r="48" spans="1:40" hidden="1" outlineLevel="1" x14ac:dyDescent="0.3">
      <c r="A48" s="20" t="s">
        <v>256</v>
      </c>
      <c r="B48" s="17" t="s">
        <v>214</v>
      </c>
      <c r="C48" s="22" t="s">
        <v>237</v>
      </c>
      <c r="D48" s="56">
        <f>'Raw Data - Ops KPIs'!D54</f>
        <v>0</v>
      </c>
      <c r="E48" s="56">
        <f>'Raw Data - Ops KPIs'!E54</f>
        <v>0</v>
      </c>
      <c r="F48" s="56">
        <f>'Raw Data - Ops KPIs'!F54</f>
        <v>0</v>
      </c>
      <c r="G48" s="56">
        <f>'Raw Data - Ops KPIs'!G54</f>
        <v>0</v>
      </c>
      <c r="H48" s="56">
        <f>'Raw Data - Ops KPIs'!H54</f>
        <v>0</v>
      </c>
      <c r="I48" s="56">
        <f>'Raw Data - Ops KPIs'!I54</f>
        <v>0</v>
      </c>
      <c r="J48" s="56">
        <f>'Raw Data - Ops KPIs'!J54</f>
        <v>0</v>
      </c>
      <c r="K48" s="56">
        <f>'Raw Data - Ops KPIs'!K54</f>
        <v>0</v>
      </c>
      <c r="L48" s="56">
        <f>'Raw Data - Ops KPIs'!L54</f>
        <v>1800</v>
      </c>
      <c r="M48" s="56">
        <f>'Raw Data - Ops KPIs'!M54</f>
        <v>0</v>
      </c>
      <c r="N48" s="56">
        <f>'Raw Data - Ops KPIs'!N54</f>
        <v>1890</v>
      </c>
      <c r="O48" s="56">
        <f>'Raw Data - Ops KPIs'!O54</f>
        <v>1790</v>
      </c>
      <c r="P48" s="56">
        <f>'Raw Data - Ops KPIs'!P54</f>
        <v>1975</v>
      </c>
      <c r="Q48" s="56">
        <f>'Raw Data - Ops KPIs'!Q54</f>
        <v>2095</v>
      </c>
      <c r="R48" s="56">
        <f>'Raw Data - Ops KPIs'!R54</f>
        <v>2345</v>
      </c>
      <c r="S48" s="56">
        <f>'Raw Data - Ops KPIs'!S54</f>
        <v>2360</v>
      </c>
      <c r="T48" s="56">
        <f>'Raw Data - Ops KPIs'!T54</f>
        <v>2500</v>
      </c>
      <c r="U48" s="56">
        <f>'Raw Data - Ops KPIs'!U54</f>
        <v>2590</v>
      </c>
      <c r="V48" s="56">
        <f>'Raw Data - Ops KPIs'!V54</f>
        <v>2990</v>
      </c>
      <c r="W48" s="56">
        <f>'Raw Data - Ops KPIs'!W54</f>
        <v>2870</v>
      </c>
      <c r="AB48" s="19"/>
      <c r="AF48" s="56" t="str">
        <f>'Raw Data - Ops KPIs'!AF54</f>
        <v/>
      </c>
      <c r="AG48" s="56" t="str">
        <f>'Raw Data - Ops KPIs'!AG54</f>
        <v/>
      </c>
      <c r="AH48" s="56">
        <f>'Raw Data - Ops KPIs'!AH54</f>
        <v>5480</v>
      </c>
      <c r="AI48" s="56">
        <f>'Raw Data - Ops KPIs'!AI54</f>
        <v>8775</v>
      </c>
      <c r="AJ48" s="56">
        <f>'Raw Data - Ops KPIs'!AJ54</f>
        <v>10950</v>
      </c>
      <c r="AK48" s="56">
        <f>AK34*AK49</f>
        <v>14397.904966128441</v>
      </c>
      <c r="AL48" s="56">
        <f>AL34*AL49</f>
        <v>18887.805242385795</v>
      </c>
      <c r="AM48" s="56">
        <f>AM34*AM49</f>
        <v>24777.853980392349</v>
      </c>
      <c r="AN48" s="56">
        <f>AN34*AN49</f>
        <v>32504.679077053821</v>
      </c>
    </row>
    <row r="49" spans="1:40" hidden="1" outlineLevel="1" x14ac:dyDescent="0.3">
      <c r="A49" s="20" t="s">
        <v>257</v>
      </c>
      <c r="B49" s="17" t="s">
        <v>217</v>
      </c>
      <c r="C49" s="48" t="s">
        <v>238</v>
      </c>
      <c r="D49" s="49" t="str">
        <f>IFERROR(D48/D34,"")</f>
        <v/>
      </c>
      <c r="E49" s="49" t="str">
        <f>IFERROR(E48/E34,"")</f>
        <v/>
      </c>
      <c r="F49" s="49" t="str">
        <f>IFERROR(F48/F34,"")</f>
        <v/>
      </c>
      <c r="G49" s="49" t="str">
        <f>IFERROR(G48/G34,"")</f>
        <v/>
      </c>
      <c r="H49" s="49" t="str">
        <f>IFERROR(H48/H34,"")</f>
        <v/>
      </c>
      <c r="I49" s="49" t="str">
        <f>IFERROR(I48/I34,"")</f>
        <v/>
      </c>
      <c r="J49" s="49" t="str">
        <f>IFERROR(J48/J34,"")</f>
        <v/>
      </c>
      <c r="K49" s="49" t="str">
        <f>IFERROR(K48/K34,"")</f>
        <v/>
      </c>
      <c r="L49" s="49">
        <f>IFERROR(L48/L34,"")</f>
        <v>0.14850259879547892</v>
      </c>
      <c r="M49" s="49">
        <f>IFERROR(M48/M34,"")</f>
        <v>0</v>
      </c>
      <c r="N49" s="49">
        <f>IFERROR(N48/N34,"")</f>
        <v>0.1263875886050555</v>
      </c>
      <c r="O49" s="49">
        <f>IFERROR(O48/O34,"")</f>
        <v>0.12804921668216609</v>
      </c>
      <c r="P49" s="49">
        <f>IFERROR(P48/P34,"")</f>
        <v>0.13439945559714189</v>
      </c>
      <c r="Q49" s="49">
        <f>IFERROR(Q48/Q34,"")</f>
        <v>0.1337717897963093</v>
      </c>
      <c r="R49" s="49">
        <f>IFERROR(R48/R34,"")</f>
        <v>0.12462135303183292</v>
      </c>
      <c r="S49" s="49">
        <f>IFERROR(S48/S34,"")</f>
        <v>0.13431986340352875</v>
      </c>
      <c r="T49" s="49">
        <f>IFERROR(T48/T34,"")</f>
        <v>0.13631406761177753</v>
      </c>
      <c r="U49" s="49">
        <f>IFERROR(U48/U34,"")</f>
        <v>0.13074204946996468</v>
      </c>
      <c r="V49" s="49">
        <f>IFERROR(V48/V34,"")</f>
        <v>0.12350268484097481</v>
      </c>
      <c r="W49" s="49">
        <f>IFERROR(W48/W34,"")</f>
        <v>0.12648743940061702</v>
      </c>
      <c r="AB49" s="19"/>
      <c r="AC49" s="52" t="str">
        <f>IFERROR(AC48/AC34,"")</f>
        <v/>
      </c>
      <c r="AD49" s="52" t="str">
        <f>IFERROR(AD48/AD34,"")</f>
        <v/>
      </c>
      <c r="AE49" s="52" t="str">
        <f>IFERROR(AE48/AE34,"")</f>
        <v/>
      </c>
      <c r="AF49" s="52" t="str">
        <f>IFERROR(AF48/AF34,"")</f>
        <v/>
      </c>
      <c r="AG49" s="52" t="str">
        <f>IFERROR(AG48/AG34,"")</f>
        <v/>
      </c>
      <c r="AH49" s="52">
        <f>IFERROR(AH48/AH34,"")</f>
        <v>0.10220067139127191</v>
      </c>
      <c r="AI49" s="52">
        <f>IFERROR(AI48/AI34,"")</f>
        <v>0.1314744617413062</v>
      </c>
      <c r="AJ49" s="52">
        <f>IFERROR(AJ48/AJ34,"")</f>
        <v>0.12874779541446207</v>
      </c>
      <c r="AK49" s="50">
        <v>0.129</v>
      </c>
      <c r="AL49" s="50">
        <v>0.129</v>
      </c>
      <c r="AM49" s="50">
        <v>0.129</v>
      </c>
      <c r="AN49" s="50">
        <v>0.129</v>
      </c>
    </row>
    <row r="50" spans="1:40" hidden="1" outlineLevel="1" x14ac:dyDescent="0.3">
      <c r="A50" s="20" t="s">
        <v>223</v>
      </c>
      <c r="B50" s="17" t="s">
        <v>214</v>
      </c>
      <c r="C50" s="22" t="s">
        <v>215</v>
      </c>
      <c r="D50" s="55">
        <f t="shared" ref="D50:W50" si="37">IFERROR(D46-D48,"")</f>
        <v>0</v>
      </c>
      <c r="E50" s="55">
        <f t="shared" si="37"/>
        <v>0</v>
      </c>
      <c r="F50" s="55">
        <f t="shared" si="37"/>
        <v>0</v>
      </c>
      <c r="G50" s="55">
        <f t="shared" si="37"/>
        <v>0</v>
      </c>
      <c r="H50" s="55">
        <f t="shared" si="37"/>
        <v>0</v>
      </c>
      <c r="I50" s="55">
        <f t="shared" si="37"/>
        <v>0</v>
      </c>
      <c r="J50" s="55">
        <f t="shared" si="37"/>
        <v>0</v>
      </c>
      <c r="K50" s="55">
        <f t="shared" si="37"/>
        <v>0</v>
      </c>
      <c r="L50" s="55">
        <f t="shared" si="37"/>
        <v>1053</v>
      </c>
      <c r="M50" s="55">
        <f t="shared" si="37"/>
        <v>0</v>
      </c>
      <c r="N50" s="55">
        <f t="shared" si="37"/>
        <v>1232</v>
      </c>
      <c r="O50" s="55">
        <f t="shared" si="37"/>
        <v>1270</v>
      </c>
      <c r="P50" s="55">
        <f t="shared" si="37"/>
        <v>1255</v>
      </c>
      <c r="Q50" s="55">
        <f t="shared" si="37"/>
        <v>1344</v>
      </c>
      <c r="R50" s="55">
        <f t="shared" si="37"/>
        <v>1652</v>
      </c>
      <c r="S50" s="55">
        <f t="shared" si="37"/>
        <v>1680</v>
      </c>
      <c r="T50" s="55">
        <f t="shared" si="37"/>
        <v>1650</v>
      </c>
      <c r="U50" s="55">
        <f t="shared" si="37"/>
        <v>1780</v>
      </c>
      <c r="V50" s="55">
        <f t="shared" si="37"/>
        <v>2450</v>
      </c>
      <c r="W50" s="55">
        <f t="shared" si="37"/>
        <v>2330</v>
      </c>
      <c r="AB50" s="19"/>
      <c r="AC50" s="56" t="str">
        <f t="shared" ref="AC50:AN50" si="38">IFERROR(AC46-AC48,"")</f>
        <v/>
      </c>
      <c r="AD50" s="56" t="str">
        <f t="shared" si="38"/>
        <v/>
      </c>
      <c r="AE50" s="56" t="str">
        <f t="shared" si="38"/>
        <v/>
      </c>
      <c r="AF50" s="56" t="str">
        <f t="shared" si="38"/>
        <v/>
      </c>
      <c r="AG50" s="56" t="str">
        <f t="shared" si="38"/>
        <v/>
      </c>
      <c r="AH50" s="56">
        <f t="shared" si="38"/>
        <v>3555</v>
      </c>
      <c r="AI50" s="56">
        <f t="shared" si="38"/>
        <v>5931</v>
      </c>
      <c r="AJ50" s="56">
        <f t="shared" si="38"/>
        <v>8210</v>
      </c>
      <c r="AK50" s="56">
        <f t="shared" si="38"/>
        <v>10826.33164119735</v>
      </c>
      <c r="AL50" s="56">
        <f t="shared" si="38"/>
        <v>14202.4582055149</v>
      </c>
      <c r="AM50" s="56">
        <f t="shared" si="38"/>
        <v>18631.409582155495</v>
      </c>
      <c r="AN50" s="56">
        <f t="shared" si="38"/>
        <v>24441.502871893186</v>
      </c>
    </row>
    <row r="51" spans="1:40" hidden="1" outlineLevel="1" x14ac:dyDescent="0.3">
      <c r="A51" s="20" t="s">
        <v>224</v>
      </c>
      <c r="B51" s="17" t="s">
        <v>217</v>
      </c>
      <c r="C51" s="22" t="s">
        <v>215</v>
      </c>
      <c r="D51" s="49" t="str">
        <f>IFERROR(D50/D34,"")</f>
        <v/>
      </c>
      <c r="E51" s="49" t="str">
        <f>IFERROR(E50/E34,"")</f>
        <v/>
      </c>
      <c r="F51" s="49" t="str">
        <f>IFERROR(F50/F34,"")</f>
        <v/>
      </c>
      <c r="G51" s="49" t="str">
        <f>IFERROR(G50/G34,"")</f>
        <v/>
      </c>
      <c r="H51" s="49" t="str">
        <f>IFERROR(H50/H34,"")</f>
        <v/>
      </c>
      <c r="I51" s="49" t="str">
        <f>IFERROR(I50/I34,"")</f>
        <v/>
      </c>
      <c r="J51" s="49" t="str">
        <f>IFERROR(J50/J34,"")</f>
        <v/>
      </c>
      <c r="K51" s="49" t="str">
        <f>IFERROR(K50/K34,"")</f>
        <v/>
      </c>
      <c r="L51" s="49">
        <f>IFERROR(L50/L34,"")</f>
        <v>8.6874020295355167E-2</v>
      </c>
      <c r="M51" s="49">
        <f>IFERROR(M50/M34,"")</f>
        <v>0</v>
      </c>
      <c r="N51" s="49">
        <f>IFERROR(N50/N34,"")</f>
        <v>8.2385983683295444E-2</v>
      </c>
      <c r="O51" s="49">
        <f>IFERROR(O50/O34,"")</f>
        <v>9.0850561556620649E-2</v>
      </c>
      <c r="P51" s="49">
        <f>IFERROR(P50/P34,"")</f>
        <v>8.540319836679143E-2</v>
      </c>
      <c r="Q51" s="49">
        <f>IFERROR(Q50/Q34,"")</f>
        <v>8.5818274695102489E-2</v>
      </c>
      <c r="R51" s="49">
        <f>IFERROR(R50/R34,"")</f>
        <v>8.7792953180634528E-2</v>
      </c>
      <c r="S51" s="49">
        <f>IFERROR(S50/S34,"")</f>
        <v>9.5617529880478086E-2</v>
      </c>
      <c r="T51" s="49">
        <f>IFERROR(T50/T34,"")</f>
        <v>8.9967284623773167E-2</v>
      </c>
      <c r="U51" s="49">
        <f>IFERROR(U50/U34,"")</f>
        <v>8.9853609288238268E-2</v>
      </c>
      <c r="V51" s="49">
        <f>IFERROR(V50/V34,"")</f>
        <v>0.10119785212722016</v>
      </c>
      <c r="W51" s="49">
        <f>IFERROR(W50/W34,"")</f>
        <v>0.10268840899074483</v>
      </c>
      <c r="AB51" s="19"/>
      <c r="AC51" s="52" t="str">
        <f>IFERROR(AC50/AC34,"")</f>
        <v/>
      </c>
      <c r="AD51" s="52" t="str">
        <f>IFERROR(AD50/AD34,"")</f>
        <v/>
      </c>
      <c r="AE51" s="52" t="str">
        <f>IFERROR(AE50/AE34,"")</f>
        <v/>
      </c>
      <c r="AF51" s="52" t="str">
        <f>IFERROR(AF50/AF34,"")</f>
        <v/>
      </c>
      <c r="AG51" s="52" t="str">
        <f>IFERROR(AG50/AG34,"")</f>
        <v/>
      </c>
      <c r="AH51" s="52">
        <f>IFERROR(AH50/AH34,"")</f>
        <v>6.6299888101454679E-2</v>
      </c>
      <c r="AI51" s="52">
        <f>IFERROR(AI50/AI34,"")</f>
        <v>8.8863251576944399E-2</v>
      </c>
      <c r="AJ51" s="52">
        <f>IFERROR(AJ50/AJ34,"")</f>
        <v>9.6531452087007641E-2</v>
      </c>
      <c r="AK51" s="52">
        <f>IFERROR(AK50/AK34,"")</f>
        <v>9.6999999999999961E-2</v>
      </c>
      <c r="AL51" s="52">
        <f>IFERROR(AL50/AL34,"")</f>
        <v>9.7000000000000003E-2</v>
      </c>
      <c r="AM51" s="52">
        <f>IFERROR(AM50/AM34,"")</f>
        <v>9.7000000000000045E-2</v>
      </c>
      <c r="AN51" s="52">
        <f>IFERROR(AN50/AN34,"")</f>
        <v>9.7000000000000017E-2</v>
      </c>
    </row>
    <row r="52" spans="1:40" x14ac:dyDescent="0.3">
      <c r="AB52" s="19"/>
    </row>
    <row r="53" spans="1:40" collapsed="1" x14ac:dyDescent="0.3">
      <c r="A53" s="5" t="s">
        <v>258</v>
      </c>
      <c r="B53" s="5"/>
      <c r="C53" s="5"/>
      <c r="D53" s="5"/>
      <c r="E53" s="5"/>
      <c r="F53" s="5"/>
      <c r="G53" s="5"/>
      <c r="H53" s="5"/>
      <c r="I53" s="5"/>
      <c r="J53" s="5"/>
      <c r="K53" s="5"/>
      <c r="L53" s="5"/>
      <c r="M53" s="5"/>
      <c r="N53" s="5"/>
      <c r="O53" s="5"/>
      <c r="P53" s="5"/>
      <c r="Q53" s="5"/>
      <c r="R53" s="5"/>
      <c r="S53" s="5"/>
      <c r="T53" s="5"/>
      <c r="U53" s="5"/>
      <c r="V53" s="5"/>
      <c r="W53" s="5"/>
      <c r="X53" s="5"/>
      <c r="Y53" s="5"/>
      <c r="Z53" s="5"/>
      <c r="AA53" s="5"/>
      <c r="AB53" s="44"/>
      <c r="AC53" s="5"/>
      <c r="AD53" s="5"/>
      <c r="AE53" s="5"/>
      <c r="AF53" s="5"/>
      <c r="AG53" s="5"/>
      <c r="AH53" s="5"/>
      <c r="AI53" s="5"/>
      <c r="AJ53" s="5"/>
      <c r="AK53" s="5"/>
      <c r="AL53" s="5"/>
      <c r="AM53" s="5"/>
      <c r="AN53" s="5"/>
    </row>
    <row r="54" spans="1:40" hidden="1" outlineLevel="1" x14ac:dyDescent="0.3">
      <c r="A54" s="17" t="s">
        <v>259</v>
      </c>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45"/>
      <c r="AC54" s="17"/>
      <c r="AD54" s="17"/>
      <c r="AE54" s="17"/>
      <c r="AF54" s="17"/>
      <c r="AG54" s="17"/>
      <c r="AH54" s="17"/>
      <c r="AI54" s="17"/>
      <c r="AJ54" s="17"/>
      <c r="AK54" s="17"/>
      <c r="AL54" s="17"/>
      <c r="AM54" s="17"/>
      <c r="AN54" s="17"/>
    </row>
    <row r="55" spans="1:40" hidden="1" outlineLevel="1" x14ac:dyDescent="0.3">
      <c r="A55" s="20" t="s">
        <v>235</v>
      </c>
      <c r="B55" s="17" t="s">
        <v>236</v>
      </c>
      <c r="C55" s="22" t="s">
        <v>237</v>
      </c>
      <c r="D55" s="53">
        <f>'Raw Data - Ops KPIs'!D93</f>
        <v>1</v>
      </c>
      <c r="E55" s="53">
        <f>'Raw Data - Ops KPIs'!E93</f>
        <v>1.3</v>
      </c>
      <c r="F55" s="53">
        <f>'Raw Data - Ops KPIs'!F93</f>
        <v>1.6</v>
      </c>
      <c r="G55" s="53">
        <f>'Raw Data - Ops KPIs'!G93</f>
        <v>1.8</v>
      </c>
      <c r="H55" s="53">
        <f>'Raw Data - Ops KPIs'!H93</f>
        <v>2</v>
      </c>
      <c r="I55" s="53">
        <f>'Raw Data - Ops KPIs'!I93</f>
        <v>2.1</v>
      </c>
      <c r="J55" s="53">
        <f>'Raw Data - Ops KPIs'!J93</f>
        <v>2.4</v>
      </c>
      <c r="K55" s="53">
        <f>'Raw Data - Ops KPIs'!K93</f>
        <v>2.5</v>
      </c>
      <c r="L55" s="53">
        <f>'Raw Data - Ops KPIs'!L93</f>
        <v>2.6</v>
      </c>
      <c r="M55" s="53">
        <f>'Raw Data - Ops KPIs'!M93</f>
        <v>2.8</v>
      </c>
      <c r="N55" s="53">
        <f>'Raw Data - Ops KPIs'!N93</f>
        <v>2.9</v>
      </c>
      <c r="O55" s="53">
        <f>'Raw Data - Ops KPIs'!O93</f>
        <v>3</v>
      </c>
      <c r="P55" s="53">
        <f>'Raw Data - Ops KPIs'!P93</f>
        <v>3.1</v>
      </c>
      <c r="Q55" s="53">
        <f>'Raw Data - Ops KPIs'!Q93</f>
        <v>3</v>
      </c>
      <c r="R55" s="53">
        <f>'Raw Data - Ops KPIs'!R93</f>
        <v>3.1</v>
      </c>
      <c r="S55" s="53">
        <f>'Raw Data - Ops KPIs'!S93</f>
        <v>3.2</v>
      </c>
      <c r="T55" s="53">
        <f>'Raw Data - Ops KPIs'!T93</f>
        <v>3.4</v>
      </c>
      <c r="U55" s="53">
        <f>'Raw Data - Ops KPIs'!U93</f>
        <v>3.7</v>
      </c>
      <c r="V55" s="53">
        <f>'Raw Data - Ops KPIs'!V93</f>
        <v>4.0999999999999996</v>
      </c>
      <c r="W55" s="53">
        <f>'Raw Data - Ops KPIs'!W93</f>
        <v>4.3</v>
      </c>
      <c r="AB55" s="19"/>
      <c r="AF55" s="53">
        <f>'Raw Data - Ops KPIs'!AF93</f>
        <v>1.8</v>
      </c>
      <c r="AG55" s="53">
        <f>'Raw Data - Ops KPIs'!AG93</f>
        <v>2.5</v>
      </c>
      <c r="AH55" s="53">
        <f>'Raw Data - Ops KPIs'!AH93</f>
        <v>3</v>
      </c>
      <c r="AI55" s="53">
        <f>'Raw Data - Ops KPIs'!AI93</f>
        <v>3.2</v>
      </c>
      <c r="AJ55" s="53">
        <f>'Raw Data - Ops KPIs'!AJ93</f>
        <v>4.3</v>
      </c>
      <c r="AK55" s="53">
        <f>AJ55*(1+AK56)</f>
        <v>5.7791999999999994</v>
      </c>
      <c r="AL55" s="53">
        <f>AK55*(1+AL56)</f>
        <v>7.7672447999999985</v>
      </c>
      <c r="AM55" s="53">
        <f>AL55*(1+AM56)</f>
        <v>10.439177011199996</v>
      </c>
      <c r="AN55" s="53">
        <f>AM55*(1+AN56)</f>
        <v>14.030253903052794</v>
      </c>
    </row>
    <row r="56" spans="1:40" hidden="1" outlineLevel="1" x14ac:dyDescent="0.3">
      <c r="A56" s="20" t="s">
        <v>216</v>
      </c>
      <c r="B56" s="17" t="s">
        <v>217</v>
      </c>
      <c r="C56" s="48" t="s">
        <v>238</v>
      </c>
      <c r="H56" s="49">
        <f t="shared" ref="H56:W56" si="39">IFERROR(H55/D55-1,"")</f>
        <v>1</v>
      </c>
      <c r="I56" s="49">
        <f t="shared" si="39"/>
        <v>0.61538461538461542</v>
      </c>
      <c r="J56" s="49">
        <f t="shared" si="39"/>
        <v>0.49999999999999978</v>
      </c>
      <c r="K56" s="49">
        <f t="shared" si="39"/>
        <v>0.38888888888888884</v>
      </c>
      <c r="L56" s="49">
        <f t="shared" si="39"/>
        <v>0.30000000000000004</v>
      </c>
      <c r="M56" s="49">
        <f t="shared" si="39"/>
        <v>0.33333333333333326</v>
      </c>
      <c r="N56" s="49">
        <f t="shared" si="39"/>
        <v>0.20833333333333326</v>
      </c>
      <c r="O56" s="49">
        <f t="shared" si="39"/>
        <v>0.19999999999999996</v>
      </c>
      <c r="P56" s="49">
        <f t="shared" si="39"/>
        <v>0.19230769230769229</v>
      </c>
      <c r="Q56" s="49">
        <f t="shared" si="39"/>
        <v>7.1428571428571397E-2</v>
      </c>
      <c r="R56" s="49">
        <f t="shared" si="39"/>
        <v>6.8965517241379448E-2</v>
      </c>
      <c r="S56" s="49">
        <f t="shared" si="39"/>
        <v>6.6666666666666652E-2</v>
      </c>
      <c r="T56" s="49">
        <f t="shared" si="39"/>
        <v>9.6774193548387011E-2</v>
      </c>
      <c r="U56" s="49">
        <f t="shared" si="39"/>
        <v>0.23333333333333339</v>
      </c>
      <c r="V56" s="49">
        <f t="shared" si="39"/>
        <v>0.32258064516129026</v>
      </c>
      <c r="W56" s="49">
        <f t="shared" si="39"/>
        <v>0.34374999999999978</v>
      </c>
      <c r="AB56" s="19"/>
      <c r="AD56" s="52" t="str">
        <f t="shared" ref="AD56:AJ56" si="40">IFERROR(AD55/AC55-1,"")</f>
        <v/>
      </c>
      <c r="AE56" s="52" t="str">
        <f t="shared" si="40"/>
        <v/>
      </c>
      <c r="AF56" s="52" t="str">
        <f t="shared" si="40"/>
        <v/>
      </c>
      <c r="AG56" s="52">
        <f t="shared" si="40"/>
        <v>0.38888888888888884</v>
      </c>
      <c r="AH56" s="52">
        <f t="shared" si="40"/>
        <v>0.19999999999999996</v>
      </c>
      <c r="AI56" s="52">
        <f t="shared" si="40"/>
        <v>6.6666666666666652E-2</v>
      </c>
      <c r="AJ56" s="52">
        <f t="shared" si="40"/>
        <v>0.34374999999999978</v>
      </c>
      <c r="AK56" s="50">
        <v>0.34399999999999997</v>
      </c>
      <c r="AL56" s="50">
        <v>0.34399999999999997</v>
      </c>
      <c r="AM56" s="50">
        <v>0.34399999999999997</v>
      </c>
      <c r="AN56" s="50">
        <v>0.34399999999999997</v>
      </c>
    </row>
    <row r="57" spans="1:40" hidden="1" outlineLevel="1" x14ac:dyDescent="0.3">
      <c r="A57" s="20" t="s">
        <v>239</v>
      </c>
      <c r="B57" s="17" t="s">
        <v>236</v>
      </c>
      <c r="C57" s="22" t="s">
        <v>237</v>
      </c>
      <c r="D57" s="53">
        <f>'Raw Data - Ops KPIs'!D95</f>
        <v>1.1000000000000001</v>
      </c>
      <c r="E57" s="53">
        <f>'Raw Data - Ops KPIs'!E95</f>
        <v>1.3</v>
      </c>
      <c r="F57" s="53">
        <f>'Raw Data - Ops KPIs'!F95</f>
        <v>1.3</v>
      </c>
      <c r="G57" s="53">
        <f>'Raw Data - Ops KPIs'!G95</f>
        <v>1.3</v>
      </c>
      <c r="H57" s="53">
        <f>'Raw Data - Ops KPIs'!H95</f>
        <v>1.5</v>
      </c>
      <c r="I57" s="53">
        <f>'Raw Data - Ops KPIs'!I95</f>
        <v>1.4</v>
      </c>
      <c r="J57" s="53">
        <f>'Raw Data - Ops KPIs'!J95</f>
        <v>1.7</v>
      </c>
      <c r="K57" s="53">
        <f>'Raw Data - Ops KPIs'!K95</f>
        <v>1.4</v>
      </c>
      <c r="L57" s="53">
        <f>'Raw Data - Ops KPIs'!L95</f>
        <v>1.5</v>
      </c>
      <c r="M57" s="53">
        <f>'Raw Data - Ops KPIs'!M95</f>
        <v>1.6</v>
      </c>
      <c r="N57" s="53">
        <f>'Raw Data - Ops KPIs'!N95</f>
        <v>2.1</v>
      </c>
      <c r="O57" s="53">
        <f>'Raw Data - Ops KPIs'!O95</f>
        <v>1.8</v>
      </c>
      <c r="P57" s="53">
        <f>'Raw Data - Ops KPIs'!P95</f>
        <v>1.7</v>
      </c>
      <c r="Q57" s="53">
        <f>'Raw Data - Ops KPIs'!Q95</f>
        <v>1.8</v>
      </c>
      <c r="R57" s="53">
        <f>'Raw Data - Ops KPIs'!R95</f>
        <v>2.1</v>
      </c>
      <c r="S57" s="53">
        <f>'Raw Data - Ops KPIs'!S95</f>
        <v>2.1</v>
      </c>
      <c r="T57" s="53">
        <f>'Raw Data - Ops KPIs'!T95</f>
        <v>2</v>
      </c>
      <c r="U57" s="53">
        <f>'Raw Data - Ops KPIs'!U95</f>
        <v>2.4</v>
      </c>
      <c r="V57" s="53">
        <f>'Raw Data - Ops KPIs'!V95</f>
        <v>3</v>
      </c>
      <c r="W57" s="53">
        <f>'Raw Data - Ops KPIs'!W95</f>
        <v>2.6999999999999993</v>
      </c>
      <c r="AB57" s="19"/>
      <c r="AF57" s="53">
        <f>'Raw Data - Ops KPIs'!AF95</f>
        <v>5</v>
      </c>
      <c r="AG57" s="53">
        <f>'Raw Data - Ops KPIs'!AG95</f>
        <v>6</v>
      </c>
      <c r="AH57" s="53">
        <f>'Raw Data - Ops KPIs'!AH95</f>
        <v>7</v>
      </c>
      <c r="AI57" s="53">
        <f>'Raw Data - Ops KPIs'!AI95</f>
        <v>7.6999999999999993</v>
      </c>
      <c r="AJ57" s="53">
        <f>'Raw Data - Ops KPIs'!AJ95</f>
        <v>10.1</v>
      </c>
      <c r="AK57" s="53">
        <f>AK55*AK58</f>
        <v>13.581119999999999</v>
      </c>
      <c r="AL57" s="53">
        <f>AL55*AL58</f>
        <v>18.253025279999996</v>
      </c>
      <c r="AM57" s="53">
        <f>AM55*AM58</f>
        <v>24.532065976319991</v>
      </c>
      <c r="AN57" s="53">
        <f>AN55*AN58</f>
        <v>32.971096672174063</v>
      </c>
    </row>
    <row r="58" spans="1:40" hidden="1" outlineLevel="1" x14ac:dyDescent="0.3">
      <c r="A58" s="20" t="s">
        <v>240</v>
      </c>
      <c r="B58" s="17" t="s">
        <v>241</v>
      </c>
      <c r="C58" s="48" t="s">
        <v>238</v>
      </c>
      <c r="D58" s="54">
        <f t="shared" ref="D58:W58" si="41">IFERROR(D57/D55,"")</f>
        <v>1.1000000000000001</v>
      </c>
      <c r="E58" s="54">
        <f t="shared" si="41"/>
        <v>1</v>
      </c>
      <c r="F58" s="54">
        <f t="shared" si="41"/>
        <v>0.8125</v>
      </c>
      <c r="G58" s="54">
        <f t="shared" si="41"/>
        <v>0.72222222222222221</v>
      </c>
      <c r="H58" s="54">
        <f t="shared" si="41"/>
        <v>0.75</v>
      </c>
      <c r="I58" s="54">
        <f t="shared" si="41"/>
        <v>0.66666666666666663</v>
      </c>
      <c r="J58" s="54">
        <f t="shared" si="41"/>
        <v>0.70833333333333337</v>
      </c>
      <c r="K58" s="54">
        <f t="shared" si="41"/>
        <v>0.55999999999999994</v>
      </c>
      <c r="L58" s="54">
        <f t="shared" si="41"/>
        <v>0.57692307692307687</v>
      </c>
      <c r="M58" s="54">
        <f t="shared" si="41"/>
        <v>0.57142857142857151</v>
      </c>
      <c r="N58" s="54">
        <f t="shared" si="41"/>
        <v>0.72413793103448276</v>
      </c>
      <c r="O58" s="54">
        <f t="shared" si="41"/>
        <v>0.6</v>
      </c>
      <c r="P58" s="54">
        <f t="shared" si="41"/>
        <v>0.54838709677419351</v>
      </c>
      <c r="Q58" s="54">
        <f t="shared" si="41"/>
        <v>0.6</v>
      </c>
      <c r="R58" s="54">
        <f t="shared" si="41"/>
        <v>0.67741935483870974</v>
      </c>
      <c r="S58" s="54">
        <f t="shared" si="41"/>
        <v>0.65625</v>
      </c>
      <c r="T58" s="54">
        <f t="shared" si="41"/>
        <v>0.58823529411764708</v>
      </c>
      <c r="U58" s="54">
        <f t="shared" si="41"/>
        <v>0.64864864864864857</v>
      </c>
      <c r="V58" s="54">
        <f t="shared" si="41"/>
        <v>0.73170731707317083</v>
      </c>
      <c r="W58" s="54">
        <f t="shared" si="41"/>
        <v>0.62790697674418594</v>
      </c>
      <c r="AB58" s="19"/>
      <c r="AC58" s="13" t="str">
        <f t="shared" ref="AC58:AJ58" si="42">IFERROR(AC57/AC55,"")</f>
        <v/>
      </c>
      <c r="AD58" s="13" t="str">
        <f t="shared" si="42"/>
        <v/>
      </c>
      <c r="AE58" s="13" t="str">
        <f t="shared" si="42"/>
        <v/>
      </c>
      <c r="AF58" s="13">
        <f t="shared" si="42"/>
        <v>2.7777777777777777</v>
      </c>
      <c r="AG58" s="13">
        <f t="shared" si="42"/>
        <v>2.4</v>
      </c>
      <c r="AH58" s="13">
        <f t="shared" si="42"/>
        <v>2.3333333333333335</v>
      </c>
      <c r="AI58" s="13">
        <f t="shared" si="42"/>
        <v>2.4062499999999996</v>
      </c>
      <c r="AJ58" s="13">
        <f t="shared" si="42"/>
        <v>2.3488372093023258</v>
      </c>
      <c r="AK58" s="51">
        <v>2.35</v>
      </c>
      <c r="AL58" s="51">
        <v>2.35</v>
      </c>
      <c r="AM58" s="51">
        <v>2.35</v>
      </c>
      <c r="AN58" s="51">
        <v>2.35</v>
      </c>
    </row>
    <row r="59" spans="1:40" hidden="1" outlineLevel="1" x14ac:dyDescent="0.3">
      <c r="A59" s="20" t="s">
        <v>242</v>
      </c>
      <c r="B59" s="17" t="s">
        <v>228</v>
      </c>
      <c r="C59" s="22" t="s">
        <v>215</v>
      </c>
      <c r="D59" s="55">
        <f t="shared" ref="D59:W59" si="43">IFERROR(D61/D57,"")</f>
        <v>0</v>
      </c>
      <c r="E59" s="55">
        <f t="shared" si="43"/>
        <v>0</v>
      </c>
      <c r="F59" s="55">
        <f t="shared" si="43"/>
        <v>0</v>
      </c>
      <c r="G59" s="55">
        <f t="shared" si="43"/>
        <v>0</v>
      </c>
      <c r="H59" s="55">
        <f t="shared" si="43"/>
        <v>0</v>
      </c>
      <c r="I59" s="55">
        <f t="shared" si="43"/>
        <v>0</v>
      </c>
      <c r="J59" s="55">
        <f t="shared" si="43"/>
        <v>0</v>
      </c>
      <c r="K59" s="55">
        <f t="shared" si="43"/>
        <v>0</v>
      </c>
      <c r="L59" s="55">
        <f t="shared" si="43"/>
        <v>4505.333333333333</v>
      </c>
      <c r="M59" s="55">
        <f t="shared" si="43"/>
        <v>4920</v>
      </c>
      <c r="N59" s="55">
        <f t="shared" si="43"/>
        <v>4983.333333333333</v>
      </c>
      <c r="O59" s="55">
        <f t="shared" si="43"/>
        <v>4866.666666666667</v>
      </c>
      <c r="P59" s="55">
        <f t="shared" si="43"/>
        <v>4553.5294117647063</v>
      </c>
      <c r="Q59" s="55">
        <f t="shared" si="43"/>
        <v>4796.1111111111113</v>
      </c>
      <c r="R59" s="55">
        <f t="shared" si="43"/>
        <v>5380.4761904761899</v>
      </c>
      <c r="S59" s="55">
        <f t="shared" si="43"/>
        <v>4938.0952380952376</v>
      </c>
      <c r="T59" s="55">
        <f t="shared" si="43"/>
        <v>4820</v>
      </c>
      <c r="U59" s="55">
        <f t="shared" si="43"/>
        <v>4916.666666666667</v>
      </c>
      <c r="V59" s="55">
        <f t="shared" si="43"/>
        <v>4920</v>
      </c>
      <c r="W59" s="55">
        <f t="shared" si="43"/>
        <v>4940.7407407407418</v>
      </c>
      <c r="AB59" s="19"/>
      <c r="AC59" s="56" t="str">
        <f t="shared" ref="AC59:AJ59" si="44">IFERROR(AC61/AC57,"")</f>
        <v/>
      </c>
      <c r="AD59" s="56" t="str">
        <f t="shared" si="44"/>
        <v/>
      </c>
      <c r="AE59" s="56" t="str">
        <f t="shared" si="44"/>
        <v/>
      </c>
      <c r="AF59" s="56" t="str">
        <f t="shared" si="44"/>
        <v/>
      </c>
      <c r="AG59" s="56" t="str">
        <f t="shared" si="44"/>
        <v/>
      </c>
      <c r="AH59" s="56">
        <f t="shared" si="44"/>
        <v>4836.4285714285716</v>
      </c>
      <c r="AI59" s="56">
        <f t="shared" si="44"/>
        <v>4940.6493506493507</v>
      </c>
      <c r="AJ59" s="56">
        <f t="shared" si="44"/>
        <v>4904.9504950495048</v>
      </c>
      <c r="AK59" s="56">
        <f>AJ59*(1+AK60)</f>
        <v>4870.6158415841583</v>
      </c>
      <c r="AL59" s="56">
        <f>AK59*(1+AL60)</f>
        <v>4836.5215306930695</v>
      </c>
      <c r="AM59" s="56">
        <f>AL59*(1+AM60)</f>
        <v>4802.6658799782181</v>
      </c>
      <c r="AN59" s="56">
        <f>AM59*(1+AN60)</f>
        <v>4769.0472188183703</v>
      </c>
    </row>
    <row r="60" spans="1:40" hidden="1" outlineLevel="1" x14ac:dyDescent="0.3">
      <c r="A60" s="20" t="s">
        <v>216</v>
      </c>
      <c r="B60" s="17" t="s">
        <v>217</v>
      </c>
      <c r="C60" s="48" t="s">
        <v>238</v>
      </c>
      <c r="AB60" s="19"/>
      <c r="AK60" s="50">
        <v>-7.0000000000000001E-3</v>
      </c>
      <c r="AL60" s="50">
        <v>-7.0000000000000001E-3</v>
      </c>
      <c r="AM60" s="50">
        <v>-7.0000000000000001E-3</v>
      </c>
      <c r="AN60" s="50">
        <v>-7.0000000000000001E-3</v>
      </c>
    </row>
    <row r="61" spans="1:40" hidden="1" outlineLevel="1" x14ac:dyDescent="0.3">
      <c r="A61" s="20" t="s">
        <v>243</v>
      </c>
      <c r="B61" s="17" t="s">
        <v>214</v>
      </c>
      <c r="C61" s="22" t="s">
        <v>237</v>
      </c>
      <c r="D61" s="56">
        <f>'Raw Data - Ops KPIs'!D98</f>
        <v>0</v>
      </c>
      <c r="E61" s="56">
        <f>'Raw Data - Ops KPIs'!E98</f>
        <v>0</v>
      </c>
      <c r="F61" s="56">
        <f>'Raw Data - Ops KPIs'!F98</f>
        <v>0</v>
      </c>
      <c r="G61" s="56">
        <f>'Raw Data - Ops KPIs'!G98</f>
        <v>0</v>
      </c>
      <c r="H61" s="56">
        <f>'Raw Data - Ops KPIs'!H98</f>
        <v>0</v>
      </c>
      <c r="I61" s="56">
        <f>'Raw Data - Ops KPIs'!I98</f>
        <v>0</v>
      </c>
      <c r="J61" s="56">
        <f>'Raw Data - Ops KPIs'!J98</f>
        <v>0</v>
      </c>
      <c r="K61" s="56">
        <f>'Raw Data - Ops KPIs'!K98</f>
        <v>0</v>
      </c>
      <c r="L61" s="56">
        <f>'Raw Data - Ops KPIs'!L98</f>
        <v>6758</v>
      </c>
      <c r="M61" s="56">
        <f>'Raw Data - Ops KPIs'!M98</f>
        <v>7872</v>
      </c>
      <c r="N61" s="56">
        <f>'Raw Data - Ops KPIs'!N98</f>
        <v>10465</v>
      </c>
      <c r="O61" s="56">
        <f>'Raw Data - Ops KPIs'!O98</f>
        <v>8760</v>
      </c>
      <c r="P61" s="56">
        <f>'Raw Data - Ops KPIs'!P98</f>
        <v>7741</v>
      </c>
      <c r="Q61" s="56">
        <f>'Raw Data - Ops KPIs'!Q98</f>
        <v>8633</v>
      </c>
      <c r="R61" s="56">
        <f>'Raw Data - Ops KPIs'!R98</f>
        <v>11299</v>
      </c>
      <c r="S61" s="56">
        <f>'Raw Data - Ops KPIs'!S98</f>
        <v>10370</v>
      </c>
      <c r="T61" s="56">
        <f>'Raw Data - Ops KPIs'!T98</f>
        <v>9640</v>
      </c>
      <c r="U61" s="56">
        <f>'Raw Data - Ops KPIs'!U98</f>
        <v>11800</v>
      </c>
      <c r="V61" s="56">
        <f>'Raw Data - Ops KPIs'!V98</f>
        <v>14760</v>
      </c>
      <c r="W61" s="56">
        <f>'Raw Data - Ops KPIs'!W98</f>
        <v>13340</v>
      </c>
      <c r="AB61" s="19"/>
      <c r="AF61" s="56" t="str">
        <f>'Raw Data - Ops KPIs'!AF98</f>
        <v/>
      </c>
      <c r="AG61" s="56" t="str">
        <f>'Raw Data - Ops KPIs'!AG98</f>
        <v/>
      </c>
      <c r="AH61" s="56">
        <f>'Raw Data - Ops KPIs'!AH98</f>
        <v>33855</v>
      </c>
      <c r="AI61" s="56">
        <f>'Raw Data - Ops KPIs'!AI98</f>
        <v>38043</v>
      </c>
      <c r="AJ61" s="56">
        <f>'Raw Data - Ops KPIs'!AJ98</f>
        <v>49540</v>
      </c>
      <c r="AK61" s="56">
        <f>AK57*AK59</f>
        <v>66148.418218455437</v>
      </c>
      <c r="AL61" s="56">
        <f>AL57*AL59</f>
        <v>88281.14976700487</v>
      </c>
      <c r="AM61" s="56">
        <f>AM57*AM59</f>
        <v>117819.31622984656</v>
      </c>
      <c r="AN61" s="56">
        <f>AN57*AN59</f>
        <v>157240.71688582335</v>
      </c>
    </row>
    <row r="62" spans="1:40" hidden="1" outlineLevel="1" x14ac:dyDescent="0.3">
      <c r="A62" s="20" t="s">
        <v>216</v>
      </c>
      <c r="B62" s="17" t="s">
        <v>217</v>
      </c>
      <c r="C62" s="22" t="s">
        <v>215</v>
      </c>
      <c r="H62" s="49" t="str">
        <f t="shared" ref="H62:W62" si="45">IFERROR(H61/D61-1,"")</f>
        <v/>
      </c>
      <c r="I62" s="49" t="str">
        <f t="shared" si="45"/>
        <v/>
      </c>
      <c r="J62" s="49" t="str">
        <f t="shared" si="45"/>
        <v/>
      </c>
      <c r="K62" s="49" t="str">
        <f t="shared" si="45"/>
        <v/>
      </c>
      <c r="L62" s="49" t="str">
        <f t="shared" si="45"/>
        <v/>
      </c>
      <c r="M62" s="49" t="str">
        <f t="shared" si="45"/>
        <v/>
      </c>
      <c r="N62" s="49" t="str">
        <f t="shared" si="45"/>
        <v/>
      </c>
      <c r="O62" s="49" t="str">
        <f t="shared" si="45"/>
        <v/>
      </c>
      <c r="P62" s="49">
        <f t="shared" si="45"/>
        <v>0.14545723586860015</v>
      </c>
      <c r="Q62" s="49">
        <f t="shared" si="45"/>
        <v>9.6671747967479682E-2</v>
      </c>
      <c r="R62" s="49">
        <f t="shared" si="45"/>
        <v>7.9694218824653662E-2</v>
      </c>
      <c r="S62" s="49">
        <f t="shared" si="45"/>
        <v>0.18378995433789957</v>
      </c>
      <c r="T62" s="49">
        <f t="shared" si="45"/>
        <v>0.2453171424880507</v>
      </c>
      <c r="U62" s="49">
        <f t="shared" si="45"/>
        <v>0.36684814085485917</v>
      </c>
      <c r="V62" s="49">
        <f t="shared" si="45"/>
        <v>0.30631029294627843</v>
      </c>
      <c r="W62" s="49">
        <f t="shared" si="45"/>
        <v>0.2864030858244937</v>
      </c>
      <c r="AB62" s="19"/>
      <c r="AD62" s="52" t="str">
        <f t="shared" ref="AD62:AN62" si="46">IFERROR(AD61/AC61-1,"")</f>
        <v/>
      </c>
      <c r="AE62" s="52" t="str">
        <f t="shared" si="46"/>
        <v/>
      </c>
      <c r="AF62" s="52" t="str">
        <f t="shared" si="46"/>
        <v/>
      </c>
      <c r="AG62" s="52" t="str">
        <f t="shared" si="46"/>
        <v/>
      </c>
      <c r="AH62" s="52" t="str">
        <f t="shared" si="46"/>
        <v/>
      </c>
      <c r="AI62" s="52">
        <f t="shared" si="46"/>
        <v>0.12370403190075319</v>
      </c>
      <c r="AJ62" s="52">
        <f t="shared" si="46"/>
        <v>0.30221065636253708</v>
      </c>
      <c r="AK62" s="52">
        <f t="shared" si="46"/>
        <v>0.33525268910891071</v>
      </c>
      <c r="AL62" s="52">
        <f t="shared" si="46"/>
        <v>0.33459199999999978</v>
      </c>
      <c r="AM62" s="52">
        <f t="shared" si="46"/>
        <v>0.334592</v>
      </c>
      <c r="AN62" s="52">
        <f t="shared" si="46"/>
        <v>0.33459199999999978</v>
      </c>
    </row>
    <row r="63" spans="1:40" hidden="1" outlineLevel="1" x14ac:dyDescent="0.3">
      <c r="A63" s="20" t="s">
        <v>244</v>
      </c>
      <c r="B63" s="17" t="s">
        <v>214</v>
      </c>
      <c r="C63" s="22" t="s">
        <v>237</v>
      </c>
      <c r="D63" s="56">
        <f>'Raw Data - Ops KPIs'!D101</f>
        <v>0</v>
      </c>
      <c r="E63" s="56">
        <f>'Raw Data - Ops KPIs'!E101</f>
        <v>0</v>
      </c>
      <c r="F63" s="56">
        <f>'Raw Data - Ops KPIs'!F101</f>
        <v>0</v>
      </c>
      <c r="G63" s="56">
        <f>'Raw Data - Ops KPIs'!G101</f>
        <v>0</v>
      </c>
      <c r="H63" s="56">
        <f>'Raw Data - Ops KPIs'!H101</f>
        <v>0</v>
      </c>
      <c r="I63" s="56">
        <f>'Raw Data - Ops KPIs'!I101</f>
        <v>0</v>
      </c>
      <c r="J63" s="56">
        <f>'Raw Data - Ops KPIs'!J101</f>
        <v>0</v>
      </c>
      <c r="K63" s="56">
        <f>'Raw Data - Ops KPIs'!K101</f>
        <v>0</v>
      </c>
      <c r="L63" s="56">
        <f>'Raw Data - Ops KPIs'!L101</f>
        <v>2089</v>
      </c>
      <c r="M63" s="56">
        <f>'Raw Data - Ops KPIs'!M101</f>
        <v>2411</v>
      </c>
      <c r="N63" s="56">
        <f>'Raw Data - Ops KPIs'!N101</f>
        <v>2899</v>
      </c>
      <c r="O63" s="56">
        <f>'Raw Data - Ops KPIs'!O101</f>
        <v>2479</v>
      </c>
      <c r="P63" s="56">
        <f>'Raw Data - Ops KPIs'!P101</f>
        <v>2449</v>
      </c>
      <c r="Q63" s="56">
        <f>'Raw Data - Ops KPIs'!Q101</f>
        <v>2713</v>
      </c>
      <c r="R63" s="56">
        <f>'Raw Data - Ops KPIs'!R101</f>
        <v>3295</v>
      </c>
      <c r="S63" s="56">
        <f>'Raw Data - Ops KPIs'!S101</f>
        <v>2800</v>
      </c>
      <c r="T63" s="56">
        <f>'Raw Data - Ops KPIs'!T101</f>
        <v>2940</v>
      </c>
      <c r="U63" s="56">
        <f>'Raw Data - Ops KPIs'!U101</f>
        <v>3460</v>
      </c>
      <c r="V63" s="56">
        <f>'Raw Data - Ops KPIs'!V101</f>
        <v>4100</v>
      </c>
      <c r="W63" s="56">
        <f>'Raw Data - Ops KPIs'!W101</f>
        <v>3970</v>
      </c>
      <c r="AB63" s="19"/>
      <c r="AF63" s="56" t="str">
        <f>'Raw Data - Ops KPIs'!AF101</f>
        <v/>
      </c>
      <c r="AG63" s="56" t="str">
        <f>'Raw Data - Ops KPIs'!AG101</f>
        <v/>
      </c>
      <c r="AH63" s="56">
        <f>'Raw Data - Ops KPIs'!AH101</f>
        <v>9878</v>
      </c>
      <c r="AI63" s="56">
        <f>'Raw Data - Ops KPIs'!AI101</f>
        <v>11257</v>
      </c>
      <c r="AJ63" s="56">
        <f>'Raw Data - Ops KPIs'!AJ101</f>
        <v>14470</v>
      </c>
      <c r="AK63" s="56">
        <f>AK61*AK64</f>
        <v>19315.338119788987</v>
      </c>
      <c r="AL63" s="56">
        <f>AL61*AL64</f>
        <v>25778.095731965419</v>
      </c>
      <c r="AM63" s="56">
        <f>AM61*AM64</f>
        <v>34403.240339115197</v>
      </c>
      <c r="AN63" s="56">
        <f>AN61*AN64</f>
        <v>45914.289330660416</v>
      </c>
    </row>
    <row r="64" spans="1:40" hidden="1" outlineLevel="1" x14ac:dyDescent="0.3">
      <c r="A64" s="20" t="s">
        <v>219</v>
      </c>
      <c r="B64" s="17" t="s">
        <v>217</v>
      </c>
      <c r="C64" s="48" t="s">
        <v>238</v>
      </c>
      <c r="D64" s="49" t="str">
        <f t="shared" ref="D64:W64" si="47">IFERROR(D63/D61,"")</f>
        <v/>
      </c>
      <c r="E64" s="49" t="str">
        <f t="shared" si="47"/>
        <v/>
      </c>
      <c r="F64" s="49" t="str">
        <f t="shared" si="47"/>
        <v/>
      </c>
      <c r="G64" s="49" t="str">
        <f t="shared" si="47"/>
        <v/>
      </c>
      <c r="H64" s="49" t="str">
        <f t="shared" si="47"/>
        <v/>
      </c>
      <c r="I64" s="49" t="str">
        <f t="shared" si="47"/>
        <v/>
      </c>
      <c r="J64" s="49" t="str">
        <f t="shared" si="47"/>
        <v/>
      </c>
      <c r="K64" s="49" t="str">
        <f t="shared" si="47"/>
        <v/>
      </c>
      <c r="L64" s="49">
        <f t="shared" si="47"/>
        <v>0.30911512281740161</v>
      </c>
      <c r="M64" s="49">
        <f t="shared" si="47"/>
        <v>0.30627540650406504</v>
      </c>
      <c r="N64" s="49">
        <f t="shared" si="47"/>
        <v>0.27701863354037265</v>
      </c>
      <c r="O64" s="49">
        <f t="shared" si="47"/>
        <v>0.28299086757990866</v>
      </c>
      <c r="P64" s="49">
        <f t="shared" si="47"/>
        <v>0.31636739439348921</v>
      </c>
      <c r="Q64" s="49">
        <f t="shared" si="47"/>
        <v>0.31425923780840959</v>
      </c>
      <c r="R64" s="49">
        <f t="shared" si="47"/>
        <v>0.29161872732100186</v>
      </c>
      <c r="S64" s="49">
        <f t="shared" si="47"/>
        <v>0.27000964320154291</v>
      </c>
      <c r="T64" s="49">
        <f t="shared" si="47"/>
        <v>0.30497925311203322</v>
      </c>
      <c r="U64" s="49">
        <f t="shared" si="47"/>
        <v>0.29322033898305083</v>
      </c>
      <c r="V64" s="49">
        <f t="shared" si="47"/>
        <v>0.27777777777777779</v>
      </c>
      <c r="W64" s="49">
        <f t="shared" si="47"/>
        <v>0.29760119940029983</v>
      </c>
      <c r="AB64" s="19"/>
      <c r="AC64" s="52" t="str">
        <f t="shared" ref="AC64:AJ64" si="48">IFERROR(AC63/AC61,"")</f>
        <v/>
      </c>
      <c r="AD64" s="52" t="str">
        <f t="shared" si="48"/>
        <v/>
      </c>
      <c r="AE64" s="52" t="str">
        <f t="shared" si="48"/>
        <v/>
      </c>
      <c r="AF64" s="52" t="str">
        <f t="shared" si="48"/>
        <v/>
      </c>
      <c r="AG64" s="52" t="str">
        <f t="shared" si="48"/>
        <v/>
      </c>
      <c r="AH64" s="52">
        <f t="shared" si="48"/>
        <v>0.29177374095406883</v>
      </c>
      <c r="AI64" s="52">
        <f t="shared" si="48"/>
        <v>0.29590200562521357</v>
      </c>
      <c r="AJ64" s="52">
        <f t="shared" si="48"/>
        <v>0.29208720226079937</v>
      </c>
      <c r="AK64" s="50">
        <v>0.29199999999999998</v>
      </c>
      <c r="AL64" s="50">
        <v>0.29199999999999998</v>
      </c>
      <c r="AM64" s="50">
        <v>0.29199999999999998</v>
      </c>
      <c r="AN64" s="50">
        <v>0.29199999999999998</v>
      </c>
    </row>
    <row r="65" spans="1:40" hidden="1" outlineLevel="1" x14ac:dyDescent="0.3">
      <c r="A65" s="20" t="s">
        <v>245</v>
      </c>
      <c r="B65" s="17" t="s">
        <v>214</v>
      </c>
      <c r="C65" s="22" t="s">
        <v>237</v>
      </c>
      <c r="D65" s="56">
        <f>'Raw Data - Ops KPIs'!D103</f>
        <v>0</v>
      </c>
      <c r="E65" s="56">
        <f>'Raw Data - Ops KPIs'!E103</f>
        <v>0</v>
      </c>
      <c r="F65" s="56">
        <f>'Raw Data - Ops KPIs'!F103</f>
        <v>900</v>
      </c>
      <c r="G65" s="56">
        <f>'Raw Data - Ops KPIs'!G103</f>
        <v>0</v>
      </c>
      <c r="H65" s="56">
        <f>'Raw Data - Ops KPIs'!H103</f>
        <v>0</v>
      </c>
      <c r="I65" s="56">
        <f>'Raw Data - Ops KPIs'!I103</f>
        <v>0</v>
      </c>
      <c r="J65" s="56">
        <f>'Raw Data - Ops KPIs'!J103</f>
        <v>1339</v>
      </c>
      <c r="K65" s="56">
        <f>'Raw Data - Ops KPIs'!K103</f>
        <v>0</v>
      </c>
      <c r="L65" s="56">
        <f>'Raw Data - Ops KPIs'!L103</f>
        <v>1225</v>
      </c>
      <c r="M65" s="56">
        <f>'Raw Data - Ops KPIs'!M103</f>
        <v>1365</v>
      </c>
      <c r="N65" s="56">
        <f>'Raw Data - Ops KPIs'!N103</f>
        <v>1640</v>
      </c>
      <c r="O65" s="56">
        <f>'Raw Data - Ops KPIs'!O103</f>
        <v>1454</v>
      </c>
      <c r="P65" s="56">
        <f>'Raw Data - Ops KPIs'!P103</f>
        <v>1486</v>
      </c>
      <c r="Q65" s="56">
        <f>'Raw Data - Ops KPIs'!Q103</f>
        <v>1661</v>
      </c>
      <c r="R65" s="56">
        <f>'Raw Data - Ops KPIs'!R103</f>
        <v>1990</v>
      </c>
      <c r="S65" s="56">
        <f>'Raw Data - Ops KPIs'!S103</f>
        <v>1610</v>
      </c>
      <c r="T65" s="56">
        <f>'Raw Data - Ops KPIs'!T103</f>
        <v>1710</v>
      </c>
      <c r="U65" s="56">
        <f>'Raw Data - Ops KPIs'!U103</f>
        <v>2010</v>
      </c>
      <c r="V65" s="56">
        <f>'Raw Data - Ops KPIs'!V103</f>
        <v>2350</v>
      </c>
      <c r="W65" s="56">
        <f>'Raw Data - Ops KPIs'!W103</f>
        <v>2250</v>
      </c>
      <c r="AB65" s="19"/>
      <c r="AF65" s="56">
        <f>'Raw Data - Ops KPIs'!AF103</f>
        <v>900</v>
      </c>
      <c r="AG65" s="56">
        <f>'Raw Data - Ops KPIs'!AG103</f>
        <v>1339</v>
      </c>
      <c r="AH65" s="56">
        <f>'Raw Data - Ops KPIs'!AH103</f>
        <v>5684</v>
      </c>
      <c r="AI65" s="56">
        <f>'Raw Data - Ops KPIs'!AI103</f>
        <v>6747</v>
      </c>
      <c r="AJ65" s="56">
        <f>'Raw Data - Ops KPIs'!AJ103</f>
        <v>8320</v>
      </c>
      <c r="AK65" s="56">
        <f>AK63*AK66</f>
        <v>11106.319418878666</v>
      </c>
      <c r="AL65" s="56">
        <f>AL63*AL66</f>
        <v>14822.405045880114</v>
      </c>
      <c r="AM65" s="56">
        <f>AM63*AM66</f>
        <v>19781.863194991238</v>
      </c>
      <c r="AN65" s="56">
        <f>AN63*AN66</f>
        <v>26400.716365129738</v>
      </c>
    </row>
    <row r="66" spans="1:40" hidden="1" outlineLevel="1" x14ac:dyDescent="0.3">
      <c r="A66" s="20" t="s">
        <v>246</v>
      </c>
      <c r="B66" s="17" t="s">
        <v>217</v>
      </c>
      <c r="C66" s="48" t="s">
        <v>238</v>
      </c>
      <c r="D66" s="49" t="str">
        <f t="shared" ref="D66:W66" si="49">IFERROR(D65/D63,"")</f>
        <v/>
      </c>
      <c r="E66" s="49" t="str">
        <f t="shared" si="49"/>
        <v/>
      </c>
      <c r="F66" s="49" t="str">
        <f t="shared" si="49"/>
        <v/>
      </c>
      <c r="G66" s="49" t="str">
        <f t="shared" si="49"/>
        <v/>
      </c>
      <c r="H66" s="49" t="str">
        <f t="shared" si="49"/>
        <v/>
      </c>
      <c r="I66" s="49" t="str">
        <f t="shared" si="49"/>
        <v/>
      </c>
      <c r="J66" s="49" t="str">
        <f t="shared" si="49"/>
        <v/>
      </c>
      <c r="K66" s="49" t="str">
        <f t="shared" si="49"/>
        <v/>
      </c>
      <c r="L66" s="49">
        <f t="shared" si="49"/>
        <v>0.58640497845859263</v>
      </c>
      <c r="M66" s="49">
        <f t="shared" si="49"/>
        <v>0.56615512235586896</v>
      </c>
      <c r="N66" s="49">
        <f t="shared" si="49"/>
        <v>0.56571231459123839</v>
      </c>
      <c r="O66" s="49">
        <f t="shared" si="49"/>
        <v>0.58652682533279543</v>
      </c>
      <c r="P66" s="49">
        <f t="shared" si="49"/>
        <v>0.60677827684769292</v>
      </c>
      <c r="Q66" s="49">
        <f t="shared" si="49"/>
        <v>0.61223737559896796</v>
      </c>
      <c r="R66" s="49">
        <f t="shared" si="49"/>
        <v>0.60394537177541729</v>
      </c>
      <c r="S66" s="49">
        <f t="shared" si="49"/>
        <v>0.57499999999999996</v>
      </c>
      <c r="T66" s="49">
        <f t="shared" si="49"/>
        <v>0.58163265306122447</v>
      </c>
      <c r="U66" s="49">
        <f t="shared" si="49"/>
        <v>0.58092485549132944</v>
      </c>
      <c r="V66" s="49">
        <f t="shared" si="49"/>
        <v>0.57317073170731703</v>
      </c>
      <c r="W66" s="49">
        <f t="shared" si="49"/>
        <v>0.56675062972292189</v>
      </c>
      <c r="AB66" s="19"/>
      <c r="AC66" s="52" t="str">
        <f t="shared" ref="AC66:AJ66" si="50">IFERROR(AC65/AC63,"")</f>
        <v/>
      </c>
      <c r="AD66" s="52" t="str">
        <f t="shared" si="50"/>
        <v/>
      </c>
      <c r="AE66" s="52" t="str">
        <f t="shared" si="50"/>
        <v/>
      </c>
      <c r="AF66" s="52" t="str">
        <f t="shared" si="50"/>
        <v/>
      </c>
      <c r="AG66" s="52" t="str">
        <f t="shared" si="50"/>
        <v/>
      </c>
      <c r="AH66" s="52">
        <f t="shared" si="50"/>
        <v>0.57542012553148414</v>
      </c>
      <c r="AI66" s="52">
        <f t="shared" si="50"/>
        <v>0.59936039797459362</v>
      </c>
      <c r="AJ66" s="52">
        <f t="shared" si="50"/>
        <v>0.57498272287491359</v>
      </c>
      <c r="AK66" s="50">
        <v>0.57499999999999996</v>
      </c>
      <c r="AL66" s="50">
        <v>0.57499999999999996</v>
      </c>
      <c r="AM66" s="50">
        <v>0.57499999999999996</v>
      </c>
      <c r="AN66" s="50">
        <v>0.57499999999999996</v>
      </c>
    </row>
    <row r="67" spans="1:40" hidden="1" outlineLevel="1" x14ac:dyDescent="0.3">
      <c r="A67" s="20" t="s">
        <v>247</v>
      </c>
      <c r="B67" s="17" t="s">
        <v>214</v>
      </c>
      <c r="C67" s="22" t="s">
        <v>237</v>
      </c>
      <c r="D67" s="56">
        <f>'Raw Data - Ops KPIs'!D105</f>
        <v>0</v>
      </c>
      <c r="E67" s="56">
        <f>'Raw Data - Ops KPIs'!E105</f>
        <v>0</v>
      </c>
      <c r="F67" s="56">
        <f>'Raw Data - Ops KPIs'!F105</f>
        <v>0</v>
      </c>
      <c r="G67" s="56">
        <f>'Raw Data - Ops KPIs'!G105</f>
        <v>0</v>
      </c>
      <c r="H67" s="56">
        <f>'Raw Data - Ops KPIs'!H105</f>
        <v>0</v>
      </c>
      <c r="I67" s="56">
        <f>'Raw Data - Ops KPIs'!I105</f>
        <v>0</v>
      </c>
      <c r="J67" s="56">
        <f>'Raw Data - Ops KPIs'!J105</f>
        <v>0</v>
      </c>
      <c r="K67" s="56">
        <f>'Raw Data - Ops KPIs'!K105</f>
        <v>0</v>
      </c>
      <c r="L67" s="56">
        <f>'Raw Data - Ops KPIs'!L105</f>
        <v>957</v>
      </c>
      <c r="M67" s="56">
        <f>'Raw Data - Ops KPIs'!M105</f>
        <v>1061</v>
      </c>
      <c r="N67" s="56">
        <f>'Raw Data - Ops KPIs'!N105</f>
        <v>1274</v>
      </c>
      <c r="O67" s="56">
        <f>'Raw Data - Ops KPIs'!O105</f>
        <v>1137</v>
      </c>
      <c r="P67" s="56">
        <f>'Raw Data - Ops KPIs'!P105</f>
        <v>1210</v>
      </c>
      <c r="Q67" s="56">
        <f>'Raw Data - Ops KPIs'!Q105</f>
        <v>1348</v>
      </c>
      <c r="R67" s="56">
        <f>'Raw Data - Ops KPIs'!R105</f>
        <v>1691</v>
      </c>
      <c r="S67" s="56">
        <f>'Raw Data - Ops KPIs'!S105</f>
        <v>1270</v>
      </c>
      <c r="T67" s="56">
        <f>'Raw Data - Ops KPIs'!T105</f>
        <v>1390</v>
      </c>
      <c r="U67" s="56">
        <f>'Raw Data - Ops KPIs'!U105</f>
        <v>1650</v>
      </c>
      <c r="V67" s="56">
        <f>'Raw Data - Ops KPIs'!V105</f>
        <v>2040</v>
      </c>
      <c r="W67" s="56">
        <f>'Raw Data - Ops KPIs'!W105</f>
        <v>1840</v>
      </c>
      <c r="AB67" s="19"/>
      <c r="AF67" s="56" t="str">
        <f>'Raw Data - Ops KPIs'!AF105</f>
        <v/>
      </c>
      <c r="AG67" s="56" t="str">
        <f>'Raw Data - Ops KPIs'!AG105</f>
        <v/>
      </c>
      <c r="AH67" s="56">
        <f>'Raw Data - Ops KPIs'!AH105</f>
        <v>4429</v>
      </c>
      <c r="AI67" s="56">
        <f>'Raw Data - Ops KPIs'!AI105</f>
        <v>5519</v>
      </c>
      <c r="AJ67" s="56">
        <f>'Raw Data - Ops KPIs'!AJ105</f>
        <v>6920</v>
      </c>
      <c r="AK67" s="56">
        <f>AK63*AK68</f>
        <v>9232.7316212591359</v>
      </c>
      <c r="AL67" s="56">
        <f>AL63*AL68</f>
        <v>12321.929759879469</v>
      </c>
      <c r="AM67" s="56">
        <f>AM63*AM68</f>
        <v>16444.748882097065</v>
      </c>
      <c r="AN67" s="56">
        <f>AN63*AN68</f>
        <v>21947.030300055678</v>
      </c>
    </row>
    <row r="68" spans="1:40" hidden="1" outlineLevel="1" x14ac:dyDescent="0.3">
      <c r="A68" s="20" t="s">
        <v>222</v>
      </c>
      <c r="B68" s="17" t="s">
        <v>217</v>
      </c>
      <c r="C68" s="48" t="s">
        <v>238</v>
      </c>
      <c r="D68" s="49" t="str">
        <f t="shared" ref="D68:W68" si="51">IFERROR(D67/D63,"")</f>
        <v/>
      </c>
      <c r="E68" s="49" t="str">
        <f t="shared" si="51"/>
        <v/>
      </c>
      <c r="F68" s="49" t="str">
        <f t="shared" si="51"/>
        <v/>
      </c>
      <c r="G68" s="49" t="str">
        <f t="shared" si="51"/>
        <v/>
      </c>
      <c r="H68" s="49" t="str">
        <f t="shared" si="51"/>
        <v/>
      </c>
      <c r="I68" s="49" t="str">
        <f t="shared" si="51"/>
        <v/>
      </c>
      <c r="J68" s="49" t="str">
        <f t="shared" si="51"/>
        <v/>
      </c>
      <c r="K68" s="49" t="str">
        <f t="shared" si="51"/>
        <v/>
      </c>
      <c r="L68" s="49">
        <f t="shared" si="51"/>
        <v>0.45811393011010054</v>
      </c>
      <c r="M68" s="49">
        <f t="shared" si="51"/>
        <v>0.44006636250518455</v>
      </c>
      <c r="N68" s="49">
        <f t="shared" si="51"/>
        <v>0.43946188340807174</v>
      </c>
      <c r="O68" s="49">
        <f t="shared" si="51"/>
        <v>0.45865268253327957</v>
      </c>
      <c r="P68" s="49">
        <f t="shared" si="51"/>
        <v>0.49407921600653326</v>
      </c>
      <c r="Q68" s="49">
        <f t="shared" si="51"/>
        <v>0.49686693697014378</v>
      </c>
      <c r="R68" s="49">
        <f t="shared" si="51"/>
        <v>0.51320182094081945</v>
      </c>
      <c r="S68" s="49">
        <f t="shared" si="51"/>
        <v>0.45357142857142857</v>
      </c>
      <c r="T68" s="49">
        <f t="shared" si="51"/>
        <v>0.47278911564625853</v>
      </c>
      <c r="U68" s="49">
        <f t="shared" si="51"/>
        <v>0.47687861271676302</v>
      </c>
      <c r="V68" s="49">
        <f t="shared" si="51"/>
        <v>0.4975609756097561</v>
      </c>
      <c r="W68" s="49">
        <f t="shared" si="51"/>
        <v>0.46347607052896728</v>
      </c>
      <c r="AB68" s="19"/>
      <c r="AC68" s="52" t="str">
        <f t="shared" ref="AC68:AJ68" si="52">IFERROR(AC67/AC63,"")</f>
        <v/>
      </c>
      <c r="AD68" s="52" t="str">
        <f t="shared" si="52"/>
        <v/>
      </c>
      <c r="AE68" s="52" t="str">
        <f t="shared" si="52"/>
        <v/>
      </c>
      <c r="AF68" s="52" t="str">
        <f t="shared" si="52"/>
        <v/>
      </c>
      <c r="AG68" s="52" t="str">
        <f t="shared" si="52"/>
        <v/>
      </c>
      <c r="AH68" s="52">
        <f t="shared" si="52"/>
        <v>0.44837011540797733</v>
      </c>
      <c r="AI68" s="52">
        <f t="shared" si="52"/>
        <v>0.49027271919694415</v>
      </c>
      <c r="AJ68" s="52">
        <f t="shared" si="52"/>
        <v>0.47823082239115411</v>
      </c>
      <c r="AK68" s="50">
        <v>0.47799999999999998</v>
      </c>
      <c r="AL68" s="50">
        <v>0.47799999999999998</v>
      </c>
      <c r="AM68" s="50">
        <v>0.47799999999999998</v>
      </c>
      <c r="AN68" s="50">
        <v>0.47799999999999998</v>
      </c>
    </row>
    <row r="69" spans="1:40" hidden="1" outlineLevel="1" x14ac:dyDescent="0.3">
      <c r="A69" s="20" t="s">
        <v>248</v>
      </c>
      <c r="B69" s="17" t="s">
        <v>214</v>
      </c>
      <c r="C69" s="22" t="s">
        <v>237</v>
      </c>
      <c r="D69" s="56">
        <f>'Raw Data - Ops KPIs'!D107</f>
        <v>0</v>
      </c>
      <c r="E69" s="56">
        <f>'Raw Data - Ops KPIs'!E107</f>
        <v>0</v>
      </c>
      <c r="F69" s="56">
        <f>'Raw Data - Ops KPIs'!F107</f>
        <v>0</v>
      </c>
      <c r="G69" s="56">
        <f>'Raw Data - Ops KPIs'!G107</f>
        <v>0</v>
      </c>
      <c r="H69" s="56">
        <f>'Raw Data - Ops KPIs'!H107</f>
        <v>0</v>
      </c>
      <c r="I69" s="56">
        <f>'Raw Data - Ops KPIs'!I107</f>
        <v>0</v>
      </c>
      <c r="J69" s="56">
        <f>'Raw Data - Ops KPIs'!J107</f>
        <v>0</v>
      </c>
      <c r="K69" s="56">
        <f>'Raw Data - Ops KPIs'!K107</f>
        <v>0</v>
      </c>
      <c r="L69" s="56">
        <f>'Raw Data - Ops KPIs'!L107</f>
        <v>237</v>
      </c>
      <c r="M69" s="56">
        <f>'Raw Data - Ops KPIs'!M107</f>
        <v>283</v>
      </c>
      <c r="N69" s="56">
        <f>'Raw Data - Ops KPIs'!N107</f>
        <v>318</v>
      </c>
      <c r="O69" s="56">
        <f>'Raw Data - Ops KPIs'!O107</f>
        <v>259</v>
      </c>
      <c r="P69" s="56">
        <f>'Raw Data - Ops KPIs'!P107</f>
        <v>237</v>
      </c>
      <c r="Q69" s="56">
        <f>'Raw Data - Ops KPIs'!Q107</f>
        <v>248</v>
      </c>
      <c r="R69" s="56">
        <f>'Raw Data - Ops KPIs'!R107</f>
        <v>330</v>
      </c>
      <c r="S69" s="56">
        <f>'Raw Data - Ops KPIs'!S107</f>
        <v>280</v>
      </c>
      <c r="T69" s="56">
        <f>'Raw Data - Ops KPIs'!T107</f>
        <v>330</v>
      </c>
      <c r="U69" s="56">
        <f>'Raw Data - Ops KPIs'!U107</f>
        <v>390</v>
      </c>
      <c r="V69" s="56">
        <f>'Raw Data - Ops KPIs'!V107</f>
        <v>460</v>
      </c>
      <c r="W69" s="56">
        <f>'Raw Data - Ops KPIs'!W107</f>
        <v>450</v>
      </c>
      <c r="AB69" s="19"/>
      <c r="AF69" s="56" t="str">
        <f>'Raw Data - Ops KPIs'!AF107</f>
        <v/>
      </c>
      <c r="AG69" s="56" t="str">
        <f>'Raw Data - Ops KPIs'!AG107</f>
        <v/>
      </c>
      <c r="AH69" s="56">
        <f>'Raw Data - Ops KPIs'!AH107</f>
        <v>1097</v>
      </c>
      <c r="AI69" s="56">
        <f>'Raw Data - Ops KPIs'!AI107</f>
        <v>1095</v>
      </c>
      <c r="AJ69" s="56">
        <f>'Raw Data - Ops KPIs'!AJ107</f>
        <v>1630</v>
      </c>
      <c r="AK69" s="56">
        <f>AK63*AK70</f>
        <v>2182.6332075361556</v>
      </c>
      <c r="AL69" s="56">
        <f>AL63*AL70</f>
        <v>2912.9248177120926</v>
      </c>
      <c r="AM69" s="56">
        <f>AM63*AM70</f>
        <v>3887.5661583200172</v>
      </c>
      <c r="AN69" s="56">
        <f>AN63*AN70</f>
        <v>5188.314694364627</v>
      </c>
    </row>
    <row r="70" spans="1:40" hidden="1" outlineLevel="1" x14ac:dyDescent="0.3">
      <c r="A70" s="20" t="s">
        <v>249</v>
      </c>
      <c r="B70" s="17" t="s">
        <v>217</v>
      </c>
      <c r="C70" s="48" t="s">
        <v>238</v>
      </c>
      <c r="D70" s="49" t="str">
        <f t="shared" ref="D70:W70" si="53">IFERROR(D69/D63,"")</f>
        <v/>
      </c>
      <c r="E70" s="49" t="str">
        <f t="shared" si="53"/>
        <v/>
      </c>
      <c r="F70" s="49" t="str">
        <f t="shared" si="53"/>
        <v/>
      </c>
      <c r="G70" s="49" t="str">
        <f t="shared" si="53"/>
        <v/>
      </c>
      <c r="H70" s="49" t="str">
        <f t="shared" si="53"/>
        <v/>
      </c>
      <c r="I70" s="49" t="str">
        <f t="shared" si="53"/>
        <v/>
      </c>
      <c r="J70" s="49" t="str">
        <f t="shared" si="53"/>
        <v/>
      </c>
      <c r="K70" s="49" t="str">
        <f t="shared" si="53"/>
        <v/>
      </c>
      <c r="L70" s="49">
        <f t="shared" si="53"/>
        <v>0.11345141215892772</v>
      </c>
      <c r="M70" s="49">
        <f t="shared" si="53"/>
        <v>0.11737868104520946</v>
      </c>
      <c r="N70" s="49">
        <f t="shared" si="53"/>
        <v>0.10969299758537426</v>
      </c>
      <c r="O70" s="49">
        <f t="shared" si="53"/>
        <v>0.1044776119402985</v>
      </c>
      <c r="P70" s="49">
        <f t="shared" si="53"/>
        <v>9.6774193548387094E-2</v>
      </c>
      <c r="Q70" s="49">
        <f t="shared" si="53"/>
        <v>9.1411721341688165E-2</v>
      </c>
      <c r="R70" s="49">
        <f t="shared" si="53"/>
        <v>0.10015174506828528</v>
      </c>
      <c r="S70" s="49">
        <f t="shared" si="53"/>
        <v>0.1</v>
      </c>
      <c r="T70" s="49">
        <f t="shared" si="53"/>
        <v>0.11224489795918367</v>
      </c>
      <c r="U70" s="49">
        <f t="shared" si="53"/>
        <v>0.11271676300578035</v>
      </c>
      <c r="V70" s="49">
        <f t="shared" si="53"/>
        <v>0.11219512195121951</v>
      </c>
      <c r="W70" s="49">
        <f t="shared" si="53"/>
        <v>0.11335012594458438</v>
      </c>
      <c r="AB70" s="19"/>
      <c r="AC70" s="52" t="str">
        <f t="shared" ref="AC70:AJ70" si="54">IFERROR(AC69/AC63,"")</f>
        <v/>
      </c>
      <c r="AD70" s="52" t="str">
        <f t="shared" si="54"/>
        <v/>
      </c>
      <c r="AE70" s="52" t="str">
        <f t="shared" si="54"/>
        <v/>
      </c>
      <c r="AF70" s="52" t="str">
        <f t="shared" si="54"/>
        <v/>
      </c>
      <c r="AG70" s="52" t="str">
        <f t="shared" si="54"/>
        <v/>
      </c>
      <c r="AH70" s="52">
        <f t="shared" si="54"/>
        <v>0.1110548694067625</v>
      </c>
      <c r="AI70" s="52">
        <f t="shared" si="54"/>
        <v>9.7272808030558766E-2</v>
      </c>
      <c r="AJ70" s="52">
        <f t="shared" si="54"/>
        <v>0.11264685556323428</v>
      </c>
      <c r="AK70" s="50">
        <v>0.113</v>
      </c>
      <c r="AL70" s="50">
        <v>0.113</v>
      </c>
      <c r="AM70" s="50">
        <v>0.113</v>
      </c>
      <c r="AN70" s="50">
        <v>0.113</v>
      </c>
    </row>
    <row r="71" spans="1:40" hidden="1" outlineLevel="1" x14ac:dyDescent="0.3">
      <c r="A71" s="20" t="s">
        <v>252</v>
      </c>
      <c r="B71" s="17" t="s">
        <v>214</v>
      </c>
      <c r="C71" s="22" t="s">
        <v>215</v>
      </c>
      <c r="D71" s="55">
        <f>IF(AND(D73="",D74=""),"",IF(D73="",0,D73)+IF(D74="",0,D74))</f>
        <v>0</v>
      </c>
      <c r="E71" s="55">
        <f>IF(AND(E73="",E74=""),"",IF(E73="",0,E73)+IF(E74="",0,E74))</f>
        <v>0</v>
      </c>
      <c r="F71" s="55">
        <f>IF(AND(F73="",F74=""),"",IF(F73="",0,F73)+IF(F74="",0,F74))</f>
        <v>0</v>
      </c>
      <c r="G71" s="55">
        <f>IF(AND(G73="",G74=""),"",IF(G73="",0,G73)+IF(G74="",0,G74))</f>
        <v>0</v>
      </c>
      <c r="H71" s="55">
        <f>IF(AND(H73="",H74=""),"",IF(H73="",0,H73)+IF(H74="",0,H74))</f>
        <v>0</v>
      </c>
      <c r="I71" s="55">
        <f>IF(AND(I73="",I74=""),"",IF(I73="",0,I73)+IF(I74="",0,I74))</f>
        <v>0</v>
      </c>
      <c r="J71" s="55">
        <f>IF(AND(J73="",J74=""),"",IF(J73="",0,J73)+IF(J74="",0,J74))</f>
        <v>0</v>
      </c>
      <c r="K71" s="55">
        <f>IF(AND(K73="",K74=""),"",IF(K73="",0,K73)+IF(K74="",0,K74))</f>
        <v>0</v>
      </c>
      <c r="L71" s="55">
        <f>IF(AND(L73="",L74=""),"",IF(L73="",0,L73)+IF(L74="",0,L74))</f>
        <v>631</v>
      </c>
      <c r="M71" s="55">
        <f>IF(AND(M73="",M74=""),"",IF(M73="",0,M73)+IF(M74="",0,M74))</f>
        <v>0</v>
      </c>
      <c r="N71" s="55">
        <f>IF(AND(N73="",N74=""),"",IF(N73="",0,N73)+IF(N74="",0,N74))</f>
        <v>756</v>
      </c>
      <c r="O71" s="55">
        <f>IF(AND(O73="",O74=""),"",IF(O73="",0,O73)+IF(O74="",0,O74))</f>
        <v>660</v>
      </c>
      <c r="P71" s="55">
        <f>IF(AND(P73="",P74=""),"",IF(P73="",0,P73)+IF(P74="",0,P74))</f>
        <v>724</v>
      </c>
      <c r="Q71" s="55">
        <f>IF(AND(Q73="",Q74=""),"",IF(Q73="",0,Q73)+IF(Q74="",0,Q74))</f>
        <v>844</v>
      </c>
      <c r="R71" s="55">
        <f>IF(AND(R73="",R74=""),"",IF(R73="",0,R73)+IF(R74="",0,R74))</f>
        <v>1072</v>
      </c>
      <c r="S71" s="55">
        <f>IF(AND(S73="",S74=""),"",IF(S73="",0,S73)+IF(S74="",0,S74))</f>
        <v>900</v>
      </c>
      <c r="T71" s="55">
        <f>IF(AND(T73="",T74=""),"",IF(T73="",0,T73)+IF(T74="",0,T74))</f>
        <v>830</v>
      </c>
      <c r="U71" s="55">
        <f>IF(AND(U73="",U74=""),"",IF(U73="",0,U73)+IF(U74="",0,U74))</f>
        <v>930</v>
      </c>
      <c r="V71" s="55">
        <f>IF(AND(V73="",V74=""),"",IF(V73="",0,V73)+IF(V74="",0,V74))</f>
        <v>1150</v>
      </c>
      <c r="W71" s="55">
        <f>IF(AND(W73="",W74=""),"",IF(W73="",0,W73)+IF(W74="",0,W74))</f>
        <v>910</v>
      </c>
      <c r="AB71" s="19"/>
      <c r="AC71" s="56" t="str">
        <f>IF(AND(AC73="",AC74=""),"",IF(AC73="",0,AC73)+IF(AC74="",0,AC74))</f>
        <v/>
      </c>
      <c r="AD71" s="56" t="str">
        <f>IF(AND(AD73="",AD74=""),"",IF(AD73="",0,AD73)+IF(AD74="",0,AD74))</f>
        <v/>
      </c>
      <c r="AE71" s="56" t="str">
        <f>IF(AND(AE73="",AE74=""),"",IF(AE73="",0,AE73)+IF(AE74="",0,AE74))</f>
        <v/>
      </c>
      <c r="AF71" s="56" t="str">
        <f>IF(AND(AF73="",AF74=""),"",IF(AF73="",0,AF73)+IF(AF74="",0,AF74))</f>
        <v/>
      </c>
      <c r="AG71" s="56" t="str">
        <f>IF(AND(AG73="",AG74=""),"",IF(AG73="",0,AG73)+IF(AG74="",0,AG74))</f>
        <v/>
      </c>
      <c r="AH71" s="56">
        <f>IF(AND(AH73="",AH74=""),"",IF(AH73="",0,AH73)+IF(AH74="",0,AH74))</f>
        <v>2047</v>
      </c>
      <c r="AI71" s="56">
        <f>IF(AND(AI73="",AI74=""),"",IF(AI73="",0,AI73)+IF(AI74="",0,AI74))</f>
        <v>3540</v>
      </c>
      <c r="AJ71" s="56">
        <f>IF(AND(AJ73="",AJ74=""),"",IF(AJ73="",0,AJ73)+IF(AJ74="",0,AJ74))</f>
        <v>3820</v>
      </c>
      <c r="AK71" s="56">
        <f>AK63*AK72</f>
        <v>5099.2492636242923</v>
      </c>
      <c r="AL71" s="56">
        <f>AL63*AL72</f>
        <v>6805.4172732388706</v>
      </c>
      <c r="AM71" s="56">
        <f>AM63*AM72</f>
        <v>9082.4554495264128</v>
      </c>
      <c r="AN71" s="56">
        <f>AN63*AN72</f>
        <v>12121.372383294351</v>
      </c>
    </row>
    <row r="72" spans="1:40" hidden="1" outlineLevel="1" x14ac:dyDescent="0.3">
      <c r="A72" s="20" t="s">
        <v>253</v>
      </c>
      <c r="B72" s="17" t="s">
        <v>217</v>
      </c>
      <c r="C72" s="48" t="s">
        <v>238</v>
      </c>
      <c r="D72" s="49" t="str">
        <f>IFERROR(D71/D63,"")</f>
        <v/>
      </c>
      <c r="E72" s="49" t="str">
        <f>IFERROR(E71/E63,"")</f>
        <v/>
      </c>
      <c r="F72" s="49" t="str">
        <f>IFERROR(F71/F63,"")</f>
        <v/>
      </c>
      <c r="G72" s="49" t="str">
        <f>IFERROR(G71/G63,"")</f>
        <v/>
      </c>
      <c r="H72" s="49" t="str">
        <f>IFERROR(H71/H63,"")</f>
        <v/>
      </c>
      <c r="I72" s="49" t="str">
        <f>IFERROR(I71/I63,"")</f>
        <v/>
      </c>
      <c r="J72" s="49" t="str">
        <f>IFERROR(J71/J63,"")</f>
        <v/>
      </c>
      <c r="K72" s="49" t="str">
        <f>IFERROR(K71/K63,"")</f>
        <v/>
      </c>
      <c r="L72" s="49">
        <f>IFERROR(L71/L63,"")</f>
        <v>0.30205840114887506</v>
      </c>
      <c r="M72" s="49">
        <f>IFERROR(M71/M63,"")</f>
        <v>0</v>
      </c>
      <c r="N72" s="49">
        <f>IFERROR(N71/N63,"")</f>
        <v>0.26077957916522937</v>
      </c>
      <c r="O72" s="49">
        <f>IFERROR(O71/O63,"")</f>
        <v>0.26623638563937069</v>
      </c>
      <c r="P72" s="49">
        <f>IFERROR(P71/P63,"")</f>
        <v>0.29563086974275216</v>
      </c>
      <c r="Q72" s="49">
        <f>IFERROR(Q71/Q63,"")</f>
        <v>0.31109472908219682</v>
      </c>
      <c r="R72" s="49">
        <f>IFERROR(R71/R63,"")</f>
        <v>0.32534142640364189</v>
      </c>
      <c r="S72" s="49">
        <f>IFERROR(S71/S63,"")</f>
        <v>0.32142857142857145</v>
      </c>
      <c r="T72" s="49">
        <f>IFERROR(T71/T63,"")</f>
        <v>0.28231292517006801</v>
      </c>
      <c r="U72" s="49">
        <f>IFERROR(U71/U63,"")</f>
        <v>0.26878612716763006</v>
      </c>
      <c r="V72" s="49">
        <f>IFERROR(V71/V63,"")</f>
        <v>0.28048780487804881</v>
      </c>
      <c r="W72" s="49">
        <f>IFERROR(W71/W63,"")</f>
        <v>0.22921914357682618</v>
      </c>
      <c r="AB72" s="19"/>
      <c r="AC72" s="52" t="str">
        <f>IFERROR(AC71/AC63,"")</f>
        <v/>
      </c>
      <c r="AD72" s="52" t="str">
        <f>IFERROR(AD71/AD63,"")</f>
        <v/>
      </c>
      <c r="AE72" s="52" t="str">
        <f>IFERROR(AE71/AE63,"")</f>
        <v/>
      </c>
      <c r="AF72" s="52" t="str">
        <f>IFERROR(AF71/AF63,"")</f>
        <v/>
      </c>
      <c r="AG72" s="52" t="str">
        <f>IFERROR(AG71/AG63,"")</f>
        <v/>
      </c>
      <c r="AH72" s="52">
        <f>IFERROR(AH71/AH63,"")</f>
        <v>0.20722818384288316</v>
      </c>
      <c r="AI72" s="52">
        <f>IFERROR(AI71/AI63,"")</f>
        <v>0.31447099582482013</v>
      </c>
      <c r="AJ72" s="52">
        <f>IFERROR(AJ71/AJ63,"")</f>
        <v>0.26399447131997233</v>
      </c>
      <c r="AK72" s="50">
        <v>0.26400000000000001</v>
      </c>
      <c r="AL72" s="50">
        <v>0.26400000000000001</v>
      </c>
      <c r="AM72" s="50">
        <v>0.26400000000000001</v>
      </c>
      <c r="AN72" s="50">
        <v>0.26400000000000001</v>
      </c>
    </row>
    <row r="73" spans="1:40" hidden="1" outlineLevel="1" x14ac:dyDescent="0.3">
      <c r="A73" s="20" t="s">
        <v>250</v>
      </c>
      <c r="B73" s="17" t="s">
        <v>214</v>
      </c>
      <c r="C73" s="22" t="s">
        <v>237</v>
      </c>
      <c r="D73" s="56">
        <f>'Raw Data - Ops KPIs'!D108</f>
        <v>0</v>
      </c>
      <c r="E73" s="56">
        <f>'Raw Data - Ops KPIs'!E108</f>
        <v>0</v>
      </c>
      <c r="F73" s="56">
        <f>'Raw Data - Ops KPIs'!F108</f>
        <v>0</v>
      </c>
      <c r="G73" s="56">
        <f>'Raw Data - Ops KPIs'!G108</f>
        <v>0</v>
      </c>
      <c r="H73" s="56">
        <f>'Raw Data - Ops KPIs'!H108</f>
        <v>0</v>
      </c>
      <c r="I73" s="56">
        <f>'Raw Data - Ops KPIs'!I108</f>
        <v>0</v>
      </c>
      <c r="J73" s="56">
        <f>'Raw Data - Ops KPIs'!J108</f>
        <v>0</v>
      </c>
      <c r="K73" s="56">
        <f>'Raw Data - Ops KPIs'!K108</f>
        <v>0</v>
      </c>
      <c r="L73" s="56">
        <f>'Raw Data - Ops KPIs'!L108</f>
        <v>594</v>
      </c>
      <c r="M73" s="56">
        <f>'Raw Data - Ops KPIs'!M108</f>
        <v>0</v>
      </c>
      <c r="N73" s="56">
        <f>'Raw Data - Ops KPIs'!N108</f>
        <v>714</v>
      </c>
      <c r="O73" s="56">
        <f>'Raw Data - Ops KPIs'!O108</f>
        <v>620</v>
      </c>
      <c r="P73" s="56">
        <f>'Raw Data - Ops KPIs'!P108</f>
        <v>672</v>
      </c>
      <c r="Q73" s="56">
        <f>'Raw Data - Ops KPIs'!Q108</f>
        <v>790</v>
      </c>
      <c r="R73" s="56">
        <f>'Raw Data - Ops KPIs'!R108</f>
        <v>1007</v>
      </c>
      <c r="S73" s="56">
        <f>'Raw Data - Ops KPIs'!S108</f>
        <v>840</v>
      </c>
      <c r="T73" s="56">
        <f>'Raw Data - Ops KPIs'!T108</f>
        <v>830</v>
      </c>
      <c r="U73" s="56">
        <f>'Raw Data - Ops KPIs'!U108</f>
        <v>930</v>
      </c>
      <c r="V73" s="56">
        <f>'Raw Data - Ops KPIs'!V108</f>
        <v>1150</v>
      </c>
      <c r="W73" s="56">
        <f>'Raw Data - Ops KPIs'!W108</f>
        <v>910</v>
      </c>
      <c r="AB73" s="19"/>
      <c r="AF73" s="56" t="str">
        <f>'Raw Data - Ops KPIs'!AF108</f>
        <v/>
      </c>
      <c r="AG73" s="56" t="str">
        <f>'Raw Data - Ops KPIs'!AG108</f>
        <v/>
      </c>
      <c r="AH73" s="56">
        <f>'Raw Data - Ops KPIs'!AH108</f>
        <v>1928</v>
      </c>
      <c r="AI73" s="56">
        <f>'Raw Data - Ops KPIs'!AI108</f>
        <v>3309</v>
      </c>
      <c r="AJ73" s="56">
        <f>'Raw Data - Ops KPIs'!AJ108</f>
        <v>3820</v>
      </c>
    </row>
    <row r="74" spans="1:40" hidden="1" outlineLevel="1" x14ac:dyDescent="0.3">
      <c r="A74" s="20" t="s">
        <v>251</v>
      </c>
      <c r="B74" s="17" t="s">
        <v>214</v>
      </c>
      <c r="C74" s="22" t="s">
        <v>237</v>
      </c>
      <c r="D74" s="56">
        <f>'Raw Data - Ops KPIs'!D109</f>
        <v>0</v>
      </c>
      <c r="E74" s="56">
        <f>'Raw Data - Ops KPIs'!E109</f>
        <v>0</v>
      </c>
      <c r="F74" s="56">
        <f>'Raw Data - Ops KPIs'!F109</f>
        <v>0</v>
      </c>
      <c r="G74" s="56">
        <f>'Raw Data - Ops KPIs'!G109</f>
        <v>0</v>
      </c>
      <c r="H74" s="56">
        <f>'Raw Data - Ops KPIs'!H109</f>
        <v>0</v>
      </c>
      <c r="I74" s="56">
        <f>'Raw Data - Ops KPIs'!I109</f>
        <v>0</v>
      </c>
      <c r="J74" s="56">
        <f>'Raw Data - Ops KPIs'!J109</f>
        <v>0</v>
      </c>
      <c r="K74" s="56">
        <f>'Raw Data - Ops KPIs'!K109</f>
        <v>0</v>
      </c>
      <c r="L74" s="56">
        <f>'Raw Data - Ops KPIs'!L109</f>
        <v>37</v>
      </c>
      <c r="M74" s="56">
        <f>'Raw Data - Ops KPIs'!M109</f>
        <v>0</v>
      </c>
      <c r="N74" s="56">
        <f>'Raw Data - Ops KPIs'!N109</f>
        <v>42</v>
      </c>
      <c r="O74" s="56">
        <f>'Raw Data - Ops KPIs'!O109</f>
        <v>40</v>
      </c>
      <c r="P74" s="56">
        <f>'Raw Data - Ops KPIs'!P109</f>
        <v>52</v>
      </c>
      <c r="Q74" s="56">
        <f>'Raw Data - Ops KPIs'!Q109</f>
        <v>54</v>
      </c>
      <c r="R74" s="56">
        <f>'Raw Data - Ops KPIs'!R109</f>
        <v>65</v>
      </c>
      <c r="S74" s="56">
        <f>'Raw Data - Ops KPIs'!S109</f>
        <v>60</v>
      </c>
      <c r="T74" s="56">
        <f>'Raw Data - Ops KPIs'!T109</f>
        <v>0</v>
      </c>
      <c r="U74" s="56">
        <f>'Raw Data - Ops KPIs'!U109</f>
        <v>0</v>
      </c>
      <c r="V74" s="56">
        <f>'Raw Data - Ops KPIs'!V109</f>
        <v>0</v>
      </c>
      <c r="W74" s="56">
        <f>'Raw Data - Ops KPIs'!W109</f>
        <v>0</v>
      </c>
      <c r="AB74" s="19"/>
      <c r="AF74" s="56" t="str">
        <f>'Raw Data - Ops KPIs'!AF109</f>
        <v/>
      </c>
      <c r="AG74" s="56" t="str">
        <f>'Raw Data - Ops KPIs'!AG109</f>
        <v/>
      </c>
      <c r="AH74" s="56">
        <f>'Raw Data - Ops KPIs'!AH109</f>
        <v>119</v>
      </c>
      <c r="AI74" s="56">
        <f>'Raw Data - Ops KPIs'!AI109</f>
        <v>231</v>
      </c>
      <c r="AJ74" s="56">
        <f>'Raw Data - Ops KPIs'!AJ109</f>
        <v>0</v>
      </c>
    </row>
    <row r="75" spans="1:40" hidden="1" outlineLevel="1" x14ac:dyDescent="0.3">
      <c r="A75" s="20" t="s">
        <v>254</v>
      </c>
      <c r="B75" s="17" t="s">
        <v>214</v>
      </c>
      <c r="C75" s="22" t="s">
        <v>215</v>
      </c>
      <c r="D75" s="55">
        <f>IFERROR(D67-D69-D71,"")</f>
        <v>0</v>
      </c>
      <c r="E75" s="55">
        <f>IFERROR(E67-E69-E71,"")</f>
        <v>0</v>
      </c>
      <c r="F75" s="55">
        <f>IFERROR(F67-F69-F71,"")</f>
        <v>0</v>
      </c>
      <c r="G75" s="55">
        <f>IFERROR(G67-G69-G71,"")</f>
        <v>0</v>
      </c>
      <c r="H75" s="55">
        <f>IFERROR(H67-H69-H71,"")</f>
        <v>0</v>
      </c>
      <c r="I75" s="55">
        <f>IFERROR(I67-I69-I71,"")</f>
        <v>0</v>
      </c>
      <c r="J75" s="55">
        <f>IFERROR(J67-J69-J71,"")</f>
        <v>0</v>
      </c>
      <c r="K75" s="55">
        <f>IFERROR(K67-K69-K71,"")</f>
        <v>0</v>
      </c>
      <c r="L75" s="55">
        <f>IFERROR(L67-L69-L71,"")</f>
        <v>89</v>
      </c>
      <c r="M75" s="55">
        <f>IFERROR(M67-M69-M71,"")</f>
        <v>778</v>
      </c>
      <c r="N75" s="55">
        <f>IFERROR(N67-N69-N71,"")</f>
        <v>200</v>
      </c>
      <c r="O75" s="55">
        <f>IFERROR(O67-O69-O71,"")</f>
        <v>218</v>
      </c>
      <c r="P75" s="55">
        <f>IFERROR(P67-P69-P71,"")</f>
        <v>249</v>
      </c>
      <c r="Q75" s="55">
        <f>IFERROR(Q67-Q69-Q71,"")</f>
        <v>256</v>
      </c>
      <c r="R75" s="55">
        <f>IFERROR(R67-R69-R71,"")</f>
        <v>289</v>
      </c>
      <c r="S75" s="55">
        <f>IFERROR(S67-S69-S71,"")</f>
        <v>90</v>
      </c>
      <c r="T75" s="55">
        <f>IFERROR(T67-T69-T71,"")</f>
        <v>230</v>
      </c>
      <c r="U75" s="55">
        <f>IFERROR(U67-U69-U71,"")</f>
        <v>330</v>
      </c>
      <c r="V75" s="55">
        <f>IFERROR(V67-V69-V71,"")</f>
        <v>430</v>
      </c>
      <c r="W75" s="55">
        <f>IFERROR(W67-W69-W71,"")</f>
        <v>480</v>
      </c>
      <c r="AB75" s="19"/>
      <c r="AC75" s="56" t="str">
        <f>IFERROR(AC67-AC69-AC71,"")</f>
        <v/>
      </c>
      <c r="AD75" s="56" t="str">
        <f>IFERROR(AD67-AD69-AD71,"")</f>
        <v/>
      </c>
      <c r="AE75" s="56" t="str">
        <f>IFERROR(AE67-AE69-AE71,"")</f>
        <v/>
      </c>
      <c r="AF75" s="56" t="str">
        <f>IFERROR(AF67-AF69-AF71,"")</f>
        <v/>
      </c>
      <c r="AG75" s="56" t="str">
        <f>IFERROR(AG67-AG69-AG71,"")</f>
        <v/>
      </c>
      <c r="AH75" s="56">
        <f>IFERROR(AH67-AH69-AH71,"")</f>
        <v>1285</v>
      </c>
      <c r="AI75" s="56">
        <f>IFERROR(AI67-AI69-AI71,"")</f>
        <v>884</v>
      </c>
      <c r="AJ75" s="56">
        <f>IFERROR(AJ67-AJ69-AJ71,"")</f>
        <v>1470</v>
      </c>
      <c r="AK75" s="56">
        <f>IFERROR(AK67-AK69-AK71,"")</f>
        <v>1950.8491500986884</v>
      </c>
      <c r="AL75" s="56">
        <f>IFERROR(AL67-AL69-AL71,"")</f>
        <v>2603.5876689285051</v>
      </c>
      <c r="AM75" s="56">
        <f>IFERROR(AM67-AM69-AM71,"")</f>
        <v>3474.7272742506357</v>
      </c>
      <c r="AN75" s="56">
        <f>IFERROR(AN67-AN69-AN71,"")</f>
        <v>4637.3432223966993</v>
      </c>
    </row>
    <row r="76" spans="1:40" hidden="1" outlineLevel="1" x14ac:dyDescent="0.3">
      <c r="A76" s="20" t="s">
        <v>255</v>
      </c>
      <c r="B76" s="17" t="s">
        <v>217</v>
      </c>
      <c r="C76" s="22" t="s">
        <v>215</v>
      </c>
      <c r="D76" s="49" t="str">
        <f>IFERROR(D75/D63,"")</f>
        <v/>
      </c>
      <c r="E76" s="49" t="str">
        <f>IFERROR(E75/E63,"")</f>
        <v/>
      </c>
      <c r="F76" s="49" t="str">
        <f>IFERROR(F75/F63,"")</f>
        <v/>
      </c>
      <c r="G76" s="49" t="str">
        <f>IFERROR(G75/G63,"")</f>
        <v/>
      </c>
      <c r="H76" s="49" t="str">
        <f>IFERROR(H75/H63,"")</f>
        <v/>
      </c>
      <c r="I76" s="49" t="str">
        <f>IFERROR(I75/I63,"")</f>
        <v/>
      </c>
      <c r="J76" s="49" t="str">
        <f>IFERROR(J75/J63,"")</f>
        <v/>
      </c>
      <c r="K76" s="49" t="str">
        <f>IFERROR(K75/K63,"")</f>
        <v/>
      </c>
      <c r="L76" s="49">
        <f>IFERROR(L75/L63,"")</f>
        <v>4.2604116802297753E-2</v>
      </c>
      <c r="M76" s="49">
        <f>IFERROR(M75/M63,"")</f>
        <v>0.32268768145997512</v>
      </c>
      <c r="N76" s="49">
        <f>IFERROR(N75/N63,"")</f>
        <v>6.8989306657468094E-2</v>
      </c>
      <c r="O76" s="49">
        <f>IFERROR(O75/O63,"")</f>
        <v>8.7938684953610333E-2</v>
      </c>
      <c r="P76" s="49">
        <f>IFERROR(P75/P63,"")</f>
        <v>0.10167415271539404</v>
      </c>
      <c r="Q76" s="49">
        <f>IFERROR(Q75/Q63,"")</f>
        <v>9.4360486546258754E-2</v>
      </c>
      <c r="R76" s="49">
        <f>IFERROR(R75/R63,"")</f>
        <v>8.7708649468892258E-2</v>
      </c>
      <c r="S76" s="49">
        <f>IFERROR(S75/S63,"")</f>
        <v>3.214285714285714E-2</v>
      </c>
      <c r="T76" s="49">
        <f>IFERROR(T75/T63,"")</f>
        <v>7.8231292517006806E-2</v>
      </c>
      <c r="U76" s="49">
        <f>IFERROR(U75/U63,"")</f>
        <v>9.5375722543352595E-2</v>
      </c>
      <c r="V76" s="49">
        <f>IFERROR(V75/V63,"")</f>
        <v>0.1048780487804878</v>
      </c>
      <c r="W76" s="49">
        <f>IFERROR(W75/W63,"")</f>
        <v>0.12090680100755667</v>
      </c>
      <c r="AB76" s="19"/>
      <c r="AC76" s="52" t="str">
        <f>IFERROR(AC75/AC63,"")</f>
        <v/>
      </c>
      <c r="AD76" s="52" t="str">
        <f>IFERROR(AD75/AD63,"")</f>
        <v/>
      </c>
      <c r="AE76" s="52" t="str">
        <f>IFERROR(AE75/AE63,"")</f>
        <v/>
      </c>
      <c r="AF76" s="52" t="str">
        <f>IFERROR(AF75/AF63,"")</f>
        <v/>
      </c>
      <c r="AG76" s="52" t="str">
        <f>IFERROR(AG75/AG63,"")</f>
        <v/>
      </c>
      <c r="AH76" s="52">
        <f>IFERROR(AH75/AH63,"")</f>
        <v>0.13008706215833166</v>
      </c>
      <c r="AI76" s="52">
        <f>IFERROR(AI75/AI63,"")</f>
        <v>7.8528915341565253E-2</v>
      </c>
      <c r="AJ76" s="52">
        <f>IFERROR(AJ75/AJ63,"")</f>
        <v>0.10158949550794748</v>
      </c>
      <c r="AK76" s="52">
        <f>IFERROR(AK75/AK63,"")</f>
        <v>0.10100000000000003</v>
      </c>
      <c r="AL76" s="52">
        <f>IFERROR(AL75/AL63,"")</f>
        <v>0.10099999999999991</v>
      </c>
      <c r="AM76" s="52">
        <f>IFERROR(AM75/AM63,"")</f>
        <v>0.10100000000000002</v>
      </c>
      <c r="AN76" s="52">
        <f>IFERROR(AN75/AN63,"")</f>
        <v>0.10099999999999994</v>
      </c>
    </row>
    <row r="77" spans="1:40" hidden="1" outlineLevel="1" x14ac:dyDescent="0.3">
      <c r="A77" s="20" t="s">
        <v>256</v>
      </c>
      <c r="B77" s="17" t="s">
        <v>214</v>
      </c>
      <c r="C77" s="22" t="s">
        <v>237</v>
      </c>
      <c r="D77" s="56">
        <f>'Raw Data - Ops KPIs'!D112</f>
        <v>0</v>
      </c>
      <c r="E77" s="56">
        <f>'Raw Data - Ops KPIs'!E112</f>
        <v>0</v>
      </c>
      <c r="F77" s="56">
        <f>'Raw Data - Ops KPIs'!F112</f>
        <v>0</v>
      </c>
      <c r="G77" s="56">
        <f>'Raw Data - Ops KPIs'!G112</f>
        <v>0</v>
      </c>
      <c r="H77" s="56">
        <f>'Raw Data - Ops KPIs'!H112</f>
        <v>0</v>
      </c>
      <c r="I77" s="56">
        <f>'Raw Data - Ops KPIs'!I112</f>
        <v>0</v>
      </c>
      <c r="J77" s="56">
        <f>'Raw Data - Ops KPIs'!J112</f>
        <v>0</v>
      </c>
      <c r="K77" s="56">
        <f>'Raw Data - Ops KPIs'!K112</f>
        <v>0</v>
      </c>
      <c r="L77" s="56">
        <f>'Raw Data - Ops KPIs'!L112</f>
        <v>384</v>
      </c>
      <c r="M77" s="56">
        <f>'Raw Data - Ops KPIs'!M112</f>
        <v>0</v>
      </c>
      <c r="N77" s="56">
        <f>'Raw Data - Ops KPIs'!N112</f>
        <v>412</v>
      </c>
      <c r="O77" s="56">
        <f>'Raw Data - Ops KPIs'!O112</f>
        <v>430</v>
      </c>
      <c r="P77" s="56">
        <f>'Raw Data - Ops KPIs'!P112</f>
        <v>474</v>
      </c>
      <c r="Q77" s="56">
        <f>'Raw Data - Ops KPIs'!Q112</f>
        <v>500</v>
      </c>
      <c r="R77" s="56">
        <f>'Raw Data - Ops KPIs'!R112</f>
        <v>466</v>
      </c>
      <c r="S77" s="56">
        <f>'Raw Data - Ops KPIs'!S112</f>
        <v>380</v>
      </c>
      <c r="T77" s="56">
        <f>'Raw Data - Ops KPIs'!T112</f>
        <v>420</v>
      </c>
      <c r="U77" s="56">
        <f>'Raw Data - Ops KPIs'!U112</f>
        <v>450</v>
      </c>
      <c r="V77" s="56">
        <f>'Raw Data - Ops KPIs'!V112</f>
        <v>510</v>
      </c>
      <c r="W77" s="56">
        <f>'Raw Data - Ops KPIs'!W112</f>
        <v>470</v>
      </c>
      <c r="AB77" s="19"/>
      <c r="AF77" s="56" t="str">
        <f>'Raw Data - Ops KPIs'!AF112</f>
        <v/>
      </c>
      <c r="AG77" s="56" t="str">
        <f>'Raw Data - Ops KPIs'!AG112</f>
        <v/>
      </c>
      <c r="AH77" s="56">
        <f>'Raw Data - Ops KPIs'!AH112</f>
        <v>1226</v>
      </c>
      <c r="AI77" s="56">
        <f>'Raw Data - Ops KPIs'!AI112</f>
        <v>1820</v>
      </c>
      <c r="AJ77" s="56">
        <f>'Raw Data - Ops KPIs'!AJ112</f>
        <v>1850</v>
      </c>
      <c r="AK77" s="56">
        <f>AK63*AK78</f>
        <v>2472.3632793329903</v>
      </c>
      <c r="AL77" s="56">
        <f>AL63*AL78</f>
        <v>3299.5962536915736</v>
      </c>
      <c r="AM77" s="56">
        <f>AM63*AM78</f>
        <v>4403.6147634067456</v>
      </c>
      <c r="AN77" s="56">
        <f>AN63*AN78</f>
        <v>5877.0290343245333</v>
      </c>
    </row>
    <row r="78" spans="1:40" hidden="1" outlineLevel="1" x14ac:dyDescent="0.3">
      <c r="A78" s="20" t="s">
        <v>257</v>
      </c>
      <c r="B78" s="17" t="s">
        <v>217</v>
      </c>
      <c r="C78" s="48" t="s">
        <v>238</v>
      </c>
      <c r="D78" s="49" t="str">
        <f>IFERROR(D77/D63,"")</f>
        <v/>
      </c>
      <c r="E78" s="49" t="str">
        <f>IFERROR(E77/E63,"")</f>
        <v/>
      </c>
      <c r="F78" s="49" t="str">
        <f>IFERROR(F77/F63,"")</f>
        <v/>
      </c>
      <c r="G78" s="49" t="str">
        <f>IFERROR(G77/G63,"")</f>
        <v/>
      </c>
      <c r="H78" s="49" t="str">
        <f>IFERROR(H77/H63,"")</f>
        <v/>
      </c>
      <c r="I78" s="49" t="str">
        <f>IFERROR(I77/I63,"")</f>
        <v/>
      </c>
      <c r="J78" s="49" t="str">
        <f>IFERROR(J77/J63,"")</f>
        <v/>
      </c>
      <c r="K78" s="49" t="str">
        <f>IFERROR(K77/K63,"")</f>
        <v/>
      </c>
      <c r="L78" s="49">
        <f>IFERROR(L77/L63,"")</f>
        <v>0.18382000957395883</v>
      </c>
      <c r="M78" s="49">
        <f>IFERROR(M77/M63,"")</f>
        <v>0</v>
      </c>
      <c r="N78" s="49">
        <f>IFERROR(N77/N63,"")</f>
        <v>0.14211797171438428</v>
      </c>
      <c r="O78" s="49">
        <f>IFERROR(O77/O63,"")</f>
        <v>0.17345703912868091</v>
      </c>
      <c r="P78" s="49">
        <f>IFERROR(P77/P63,"")</f>
        <v>0.19354838709677419</v>
      </c>
      <c r="Q78" s="49">
        <f>IFERROR(Q77/Q63,"")</f>
        <v>0.18429782528566163</v>
      </c>
      <c r="R78" s="49">
        <f>IFERROR(R77/R63,"")</f>
        <v>0.14142640364188164</v>
      </c>
      <c r="S78" s="49">
        <f>IFERROR(S77/S63,"")</f>
        <v>0.1357142857142857</v>
      </c>
      <c r="T78" s="49">
        <f>IFERROR(T77/T63,"")</f>
        <v>0.14285714285714285</v>
      </c>
      <c r="U78" s="49">
        <f>IFERROR(U77/U63,"")</f>
        <v>0.13005780346820808</v>
      </c>
      <c r="V78" s="49">
        <f>IFERROR(V77/V63,"")</f>
        <v>0.12439024390243902</v>
      </c>
      <c r="W78" s="49">
        <f>IFERROR(W77/W63,"")</f>
        <v>0.11838790931989925</v>
      </c>
      <c r="AB78" s="19"/>
      <c r="AC78" s="52" t="str">
        <f>IFERROR(AC77/AC63,"")</f>
        <v/>
      </c>
      <c r="AD78" s="52" t="str">
        <f>IFERROR(AD77/AD63,"")</f>
        <v/>
      </c>
      <c r="AE78" s="52" t="str">
        <f>IFERROR(AE77/AE63,"")</f>
        <v/>
      </c>
      <c r="AF78" s="52" t="str">
        <f>IFERROR(AF77/AF63,"")</f>
        <v/>
      </c>
      <c r="AG78" s="52" t="str">
        <f>IFERROR(AG77/AG63,"")</f>
        <v/>
      </c>
      <c r="AH78" s="52">
        <f>IFERROR(AH77/AH63,"")</f>
        <v>0.12411419315650941</v>
      </c>
      <c r="AI78" s="52">
        <f>IFERROR(AI77/AI63,"")</f>
        <v>0.16167717864439904</v>
      </c>
      <c r="AJ78" s="52">
        <f>IFERROR(AJ77/AJ63,"")</f>
        <v>0.12785072563925362</v>
      </c>
      <c r="AK78" s="50">
        <v>0.128</v>
      </c>
      <c r="AL78" s="50">
        <v>0.128</v>
      </c>
      <c r="AM78" s="50">
        <v>0.128</v>
      </c>
      <c r="AN78" s="50">
        <v>0.128</v>
      </c>
    </row>
    <row r="79" spans="1:40" hidden="1" outlineLevel="1" x14ac:dyDescent="0.3">
      <c r="A79" s="20" t="s">
        <v>223</v>
      </c>
      <c r="B79" s="17" t="s">
        <v>214</v>
      </c>
      <c r="C79" s="22" t="s">
        <v>215</v>
      </c>
      <c r="D79" s="55">
        <f t="shared" ref="D79:W79" si="55">IFERROR(D75-D77,"")</f>
        <v>0</v>
      </c>
      <c r="E79" s="55">
        <f t="shared" si="55"/>
        <v>0</v>
      </c>
      <c r="F79" s="55">
        <f t="shared" si="55"/>
        <v>0</v>
      </c>
      <c r="G79" s="55">
        <f t="shared" si="55"/>
        <v>0</v>
      </c>
      <c r="H79" s="55">
        <f t="shared" si="55"/>
        <v>0</v>
      </c>
      <c r="I79" s="55">
        <f t="shared" si="55"/>
        <v>0</v>
      </c>
      <c r="J79" s="55">
        <f t="shared" si="55"/>
        <v>0</v>
      </c>
      <c r="K79" s="55">
        <f t="shared" si="55"/>
        <v>0</v>
      </c>
      <c r="L79" s="55">
        <f t="shared" si="55"/>
        <v>-295</v>
      </c>
      <c r="M79" s="55">
        <f t="shared" si="55"/>
        <v>778</v>
      </c>
      <c r="N79" s="55">
        <f t="shared" si="55"/>
        <v>-212</v>
      </c>
      <c r="O79" s="55">
        <f t="shared" si="55"/>
        <v>-212</v>
      </c>
      <c r="P79" s="55">
        <f t="shared" si="55"/>
        <v>-225</v>
      </c>
      <c r="Q79" s="55">
        <f t="shared" si="55"/>
        <v>-244</v>
      </c>
      <c r="R79" s="55">
        <f t="shared" si="55"/>
        <v>-177</v>
      </c>
      <c r="S79" s="55">
        <f t="shared" si="55"/>
        <v>-290</v>
      </c>
      <c r="T79" s="55">
        <f t="shared" si="55"/>
        <v>-190</v>
      </c>
      <c r="U79" s="55">
        <f t="shared" si="55"/>
        <v>-120</v>
      </c>
      <c r="V79" s="55">
        <f t="shared" si="55"/>
        <v>-80</v>
      </c>
      <c r="W79" s="55">
        <f t="shared" si="55"/>
        <v>10</v>
      </c>
      <c r="AB79" s="19"/>
      <c r="AC79" s="56" t="str">
        <f t="shared" ref="AC79:AN79" si="56">IFERROR(AC75-AC77,"")</f>
        <v/>
      </c>
      <c r="AD79" s="56" t="str">
        <f t="shared" si="56"/>
        <v/>
      </c>
      <c r="AE79" s="56" t="str">
        <f t="shared" si="56"/>
        <v/>
      </c>
      <c r="AF79" s="56" t="str">
        <f t="shared" si="56"/>
        <v/>
      </c>
      <c r="AG79" s="56" t="str">
        <f t="shared" si="56"/>
        <v/>
      </c>
      <c r="AH79" s="56">
        <f t="shared" si="56"/>
        <v>59</v>
      </c>
      <c r="AI79" s="56">
        <f t="shared" si="56"/>
        <v>-936</v>
      </c>
      <c r="AJ79" s="56">
        <f t="shared" si="56"/>
        <v>-380</v>
      </c>
      <c r="AK79" s="56">
        <f t="shared" si="56"/>
        <v>-521.51412923430189</v>
      </c>
      <c r="AL79" s="56">
        <f t="shared" si="56"/>
        <v>-696.00858476306848</v>
      </c>
      <c r="AM79" s="56">
        <f t="shared" si="56"/>
        <v>-928.88748915610995</v>
      </c>
      <c r="AN79" s="56">
        <f t="shared" si="56"/>
        <v>-1239.685811927834</v>
      </c>
    </row>
    <row r="80" spans="1:40" hidden="1" outlineLevel="1" x14ac:dyDescent="0.3">
      <c r="A80" s="20" t="s">
        <v>224</v>
      </c>
      <c r="B80" s="17" t="s">
        <v>217</v>
      </c>
      <c r="C80" s="22" t="s">
        <v>215</v>
      </c>
      <c r="D80" s="49" t="str">
        <f>IFERROR(D79/D63,"")</f>
        <v/>
      </c>
      <c r="E80" s="49" t="str">
        <f>IFERROR(E79/E63,"")</f>
        <v/>
      </c>
      <c r="F80" s="49" t="str">
        <f>IFERROR(F79/F63,"")</f>
        <v/>
      </c>
      <c r="G80" s="49" t="str">
        <f>IFERROR(G79/G63,"")</f>
        <v/>
      </c>
      <c r="H80" s="49" t="str">
        <f>IFERROR(H79/H63,"")</f>
        <v/>
      </c>
      <c r="I80" s="49" t="str">
        <f>IFERROR(I79/I63,"")</f>
        <v/>
      </c>
      <c r="J80" s="49" t="str">
        <f>IFERROR(J79/J63,"")</f>
        <v/>
      </c>
      <c r="K80" s="49" t="str">
        <f>IFERROR(K79/K63,"")</f>
        <v/>
      </c>
      <c r="L80" s="49">
        <f>IFERROR(L79/L63,"")</f>
        <v>-0.14121589277166108</v>
      </c>
      <c r="M80" s="49">
        <f>IFERROR(M79/M63,"")</f>
        <v>0.32268768145997512</v>
      </c>
      <c r="N80" s="49">
        <f>IFERROR(N79/N63,"")</f>
        <v>-7.3128665056916176E-2</v>
      </c>
      <c r="O80" s="49">
        <f>IFERROR(O79/O63,"")</f>
        <v>-8.5518354175070588E-2</v>
      </c>
      <c r="P80" s="49">
        <f>IFERROR(P79/P63,"")</f>
        <v>-9.1874234381380149E-2</v>
      </c>
      <c r="Q80" s="49">
        <f>IFERROR(Q79/Q63,"")</f>
        <v>-8.9937338739402878E-2</v>
      </c>
      <c r="R80" s="49">
        <f>IFERROR(R79/R63,"")</f>
        <v>-5.3717754172989379E-2</v>
      </c>
      <c r="S80" s="49">
        <f>IFERROR(S79/S63,"")</f>
        <v>-0.10357142857142858</v>
      </c>
      <c r="T80" s="49">
        <f>IFERROR(T79/T63,"")</f>
        <v>-6.4625850340136057E-2</v>
      </c>
      <c r="U80" s="49">
        <f>IFERROR(U79/U63,"")</f>
        <v>-3.4682080924855488E-2</v>
      </c>
      <c r="V80" s="49">
        <f>IFERROR(V79/V63,"")</f>
        <v>-1.9512195121951219E-2</v>
      </c>
      <c r="W80" s="49">
        <f>IFERROR(W79/W63,"")</f>
        <v>2.5188916876574307E-3</v>
      </c>
      <c r="AB80" s="19"/>
      <c r="AC80" s="52" t="str">
        <f>IFERROR(AC79/AC63,"")</f>
        <v/>
      </c>
      <c r="AD80" s="52" t="str">
        <f>IFERROR(AD79/AD63,"")</f>
        <v/>
      </c>
      <c r="AE80" s="52" t="str">
        <f>IFERROR(AE79/AE63,"")</f>
        <v/>
      </c>
      <c r="AF80" s="52" t="str">
        <f>IFERROR(AF79/AF63,"")</f>
        <v/>
      </c>
      <c r="AG80" s="52" t="str">
        <f>IFERROR(AG79/AG63,"")</f>
        <v/>
      </c>
      <c r="AH80" s="52">
        <f>IFERROR(AH79/AH63,"")</f>
        <v>5.9728690018222312E-3</v>
      </c>
      <c r="AI80" s="52">
        <f>IFERROR(AI79/AI63,"")</f>
        <v>-8.3148263302833786E-2</v>
      </c>
      <c r="AJ80" s="52">
        <f>IFERROR(AJ79/AJ63,"")</f>
        <v>-2.626123013130615E-2</v>
      </c>
      <c r="AK80" s="52">
        <f>IFERROR(AK79/AK63,"")</f>
        <v>-2.6999999999999962E-2</v>
      </c>
      <c r="AL80" s="52">
        <f>IFERROR(AL79/AL63,"")</f>
        <v>-2.7000000000000083E-2</v>
      </c>
      <c r="AM80" s="52">
        <f>IFERROR(AM79/AM63,"")</f>
        <v>-2.6999999999999989E-2</v>
      </c>
      <c r="AN80" s="52">
        <f>IFERROR(AN79/AN63,"")</f>
        <v>-2.7000000000000062E-2</v>
      </c>
    </row>
    <row r="81" spans="1:40" x14ac:dyDescent="0.3">
      <c r="AB81" s="19"/>
    </row>
    <row r="82" spans="1:40" collapsed="1" x14ac:dyDescent="0.3">
      <c r="A82" s="5" t="s">
        <v>260</v>
      </c>
      <c r="B82" s="5"/>
      <c r="C82" s="5"/>
      <c r="D82" s="5"/>
      <c r="E82" s="5"/>
      <c r="F82" s="5"/>
      <c r="G82" s="5"/>
      <c r="H82" s="5"/>
      <c r="I82" s="5"/>
      <c r="J82" s="5"/>
      <c r="K82" s="5"/>
      <c r="L82" s="5"/>
      <c r="M82" s="5"/>
      <c r="N82" s="5"/>
      <c r="O82" s="5"/>
      <c r="P82" s="5"/>
      <c r="Q82" s="5"/>
      <c r="R82" s="5"/>
      <c r="S82" s="5"/>
      <c r="T82" s="5"/>
      <c r="U82" s="5"/>
      <c r="V82" s="5"/>
      <c r="W82" s="5"/>
      <c r="X82" s="5"/>
      <c r="Y82" s="5"/>
      <c r="Z82" s="5"/>
      <c r="AA82" s="5"/>
      <c r="AB82" s="44"/>
      <c r="AC82" s="5"/>
      <c r="AD82" s="5"/>
      <c r="AE82" s="5"/>
      <c r="AF82" s="5"/>
      <c r="AG82" s="5"/>
      <c r="AH82" s="5"/>
      <c r="AI82" s="5"/>
      <c r="AJ82" s="5"/>
      <c r="AK82" s="5"/>
      <c r="AL82" s="5"/>
      <c r="AM82" s="5"/>
      <c r="AN82" s="5"/>
    </row>
    <row r="83" spans="1:40" hidden="1" outlineLevel="1" x14ac:dyDescent="0.3">
      <c r="A83" s="17" t="s">
        <v>261</v>
      </c>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45"/>
      <c r="AC83" s="17"/>
      <c r="AD83" s="17"/>
      <c r="AE83" s="17"/>
      <c r="AF83" s="17"/>
      <c r="AG83" s="17"/>
      <c r="AH83" s="17"/>
      <c r="AI83" s="17"/>
      <c r="AJ83" s="17"/>
      <c r="AK83" s="17"/>
      <c r="AL83" s="17"/>
      <c r="AM83" s="17"/>
      <c r="AN83" s="17"/>
    </row>
    <row r="84" spans="1:40" hidden="1" outlineLevel="1" x14ac:dyDescent="0.3">
      <c r="A84" s="20" t="s">
        <v>243</v>
      </c>
      <c r="B84" s="17" t="s">
        <v>214</v>
      </c>
      <c r="C84" s="22" t="s">
        <v>237</v>
      </c>
      <c r="D84" s="56" t="str">
        <f>'Raw Data - Ops KPIs'!D126</f>
        <v/>
      </c>
      <c r="E84" s="56" t="str">
        <f>'Raw Data - Ops KPIs'!E126</f>
        <v/>
      </c>
      <c r="F84" s="56" t="str">
        <f>'Raw Data - Ops KPIs'!F126</f>
        <v/>
      </c>
      <c r="G84" s="56" t="str">
        <f>'Raw Data - Ops KPIs'!G126</f>
        <v/>
      </c>
      <c r="H84" s="56" t="str">
        <f>'Raw Data - Ops KPIs'!H126</f>
        <v/>
      </c>
      <c r="I84" s="56" t="str">
        <f>'Raw Data - Ops KPIs'!I126</f>
        <v/>
      </c>
      <c r="J84" s="56" t="str">
        <f>'Raw Data - Ops KPIs'!J126</f>
        <v/>
      </c>
      <c r="K84" s="56" t="str">
        <f>'Raw Data - Ops KPIs'!K126</f>
        <v/>
      </c>
      <c r="L84" s="56">
        <f>'Raw Data - Ops KPIs'!L126</f>
        <v>12</v>
      </c>
      <c r="M84" s="56">
        <f>'Raw Data - Ops KPIs'!M126</f>
        <v>4</v>
      </c>
      <c r="N84" s="56">
        <f>'Raw Data - Ops KPIs'!N126</f>
        <v>34</v>
      </c>
      <c r="O84" s="56">
        <f>'Raw Data - Ops KPIs'!O126</f>
        <v>13</v>
      </c>
      <c r="P84" s="56">
        <f>'Raw Data - Ops KPIs'!P126</f>
        <v>39</v>
      </c>
      <c r="Q84" s="56">
        <f>'Raw Data - Ops KPIs'!Q126</f>
        <v>59</v>
      </c>
      <c r="R84" s="56">
        <f>'Raw Data - Ops KPIs'!R126</f>
        <v>81</v>
      </c>
      <c r="S84" s="56">
        <f>'Raw Data - Ops KPIs'!S126</f>
        <v>70</v>
      </c>
      <c r="T84" s="56">
        <f>'Raw Data - Ops KPIs'!T126</f>
        <v>100</v>
      </c>
      <c r="U84" s="56">
        <f>'Raw Data - Ops KPIs'!U126</f>
        <v>130</v>
      </c>
      <c r="V84" s="56">
        <f>'Raw Data - Ops KPIs'!V126</f>
        <v>170</v>
      </c>
      <c r="W84" s="56">
        <f>'Raw Data - Ops KPIs'!W126</f>
        <v>150</v>
      </c>
      <c r="AB84" s="19"/>
      <c r="AF84" s="56" t="str">
        <f>'Raw Data - Ops KPIs'!AF126</f>
        <v/>
      </c>
      <c r="AG84" s="56" t="str">
        <f>'Raw Data - Ops KPIs'!AG126</f>
        <v/>
      </c>
      <c r="AH84" s="56">
        <f>'Raw Data - Ops KPIs'!AH126</f>
        <v>63</v>
      </c>
      <c r="AI84" s="56">
        <f>'Raw Data - Ops KPIs'!AI126</f>
        <v>249</v>
      </c>
      <c r="AJ84" s="56">
        <f>'Raw Data - Ops KPIs'!AJ126</f>
        <v>550</v>
      </c>
      <c r="AK84" s="56">
        <f>AJ84*(1+AK85)</f>
        <v>715</v>
      </c>
      <c r="AL84" s="56">
        <f>AK84*(1+AL85)</f>
        <v>929.5</v>
      </c>
      <c r="AM84" s="56">
        <f>AL84*(1+AM85)</f>
        <v>1208.3500000000001</v>
      </c>
      <c r="AN84" s="56">
        <f>AM84*(1+AN85)</f>
        <v>1570.8550000000002</v>
      </c>
    </row>
    <row r="85" spans="1:40" hidden="1" outlineLevel="1" x14ac:dyDescent="0.3">
      <c r="A85" s="20" t="s">
        <v>216</v>
      </c>
      <c r="B85" s="17" t="s">
        <v>217</v>
      </c>
      <c r="C85" s="48" t="s">
        <v>238</v>
      </c>
      <c r="H85" s="49" t="str">
        <f t="shared" ref="H85:W85" si="57">IFERROR(H84/D84-1,"")</f>
        <v/>
      </c>
      <c r="I85" s="49" t="str">
        <f t="shared" si="57"/>
        <v/>
      </c>
      <c r="J85" s="49" t="str">
        <f t="shared" si="57"/>
        <v/>
      </c>
      <c r="K85" s="49" t="str">
        <f t="shared" si="57"/>
        <v/>
      </c>
      <c r="L85" s="49" t="str">
        <f t="shared" si="57"/>
        <v/>
      </c>
      <c r="M85" s="49" t="str">
        <f t="shared" si="57"/>
        <v/>
      </c>
      <c r="N85" s="49" t="str">
        <f t="shared" si="57"/>
        <v/>
      </c>
      <c r="O85" s="49" t="str">
        <f t="shared" si="57"/>
        <v/>
      </c>
      <c r="P85" s="49">
        <f t="shared" si="57"/>
        <v>2.25</v>
      </c>
      <c r="Q85" s="49">
        <f t="shared" si="57"/>
        <v>13.75</v>
      </c>
      <c r="R85" s="49">
        <f t="shared" si="57"/>
        <v>1.3823529411764706</v>
      </c>
      <c r="S85" s="49">
        <f t="shared" si="57"/>
        <v>4.384615384615385</v>
      </c>
      <c r="T85" s="49">
        <f t="shared" si="57"/>
        <v>1.5641025641025643</v>
      </c>
      <c r="U85" s="49">
        <f t="shared" si="57"/>
        <v>1.2033898305084745</v>
      </c>
      <c r="V85" s="49">
        <f t="shared" si="57"/>
        <v>1.0987654320987654</v>
      </c>
      <c r="W85" s="49">
        <f t="shared" si="57"/>
        <v>1.1428571428571428</v>
      </c>
      <c r="AB85" s="19"/>
      <c r="AD85" s="52" t="str">
        <f t="shared" ref="AD85:AJ85" si="58">IFERROR(AD84/AC84-1,"")</f>
        <v/>
      </c>
      <c r="AE85" s="52" t="str">
        <f t="shared" si="58"/>
        <v/>
      </c>
      <c r="AF85" s="52" t="str">
        <f t="shared" si="58"/>
        <v/>
      </c>
      <c r="AG85" s="52" t="str">
        <f t="shared" si="58"/>
        <v/>
      </c>
      <c r="AH85" s="52" t="str">
        <f t="shared" si="58"/>
        <v/>
      </c>
      <c r="AI85" s="52">
        <f t="shared" si="58"/>
        <v>2.9523809523809526</v>
      </c>
      <c r="AJ85" s="52">
        <f t="shared" si="58"/>
        <v>1.2088353413654618</v>
      </c>
      <c r="AK85" s="50">
        <v>0.3</v>
      </c>
      <c r="AL85" s="50">
        <v>0.3</v>
      </c>
      <c r="AM85" s="50">
        <v>0.3</v>
      </c>
      <c r="AN85" s="50">
        <v>0.3</v>
      </c>
    </row>
    <row r="86" spans="1:40" hidden="1" outlineLevel="1" x14ac:dyDescent="0.3">
      <c r="A86" s="20" t="s">
        <v>244</v>
      </c>
      <c r="B86" s="17" t="s">
        <v>214</v>
      </c>
      <c r="C86" s="22" t="s">
        <v>237</v>
      </c>
      <c r="D86" s="56" t="str">
        <f>'Raw Data - Ops KPIs'!D128</f>
        <v/>
      </c>
      <c r="E86" s="56" t="str">
        <f>'Raw Data - Ops KPIs'!E128</f>
        <v/>
      </c>
      <c r="F86" s="56" t="str">
        <f>'Raw Data - Ops KPIs'!F128</f>
        <v/>
      </c>
      <c r="G86" s="56" t="str">
        <f>'Raw Data - Ops KPIs'!G128</f>
        <v/>
      </c>
      <c r="H86" s="56" t="str">
        <f>'Raw Data - Ops KPIs'!H128</f>
        <v/>
      </c>
      <c r="I86" s="56" t="str">
        <f>'Raw Data - Ops KPIs'!I128</f>
        <v/>
      </c>
      <c r="J86" s="56" t="str">
        <f>'Raw Data - Ops KPIs'!J128</f>
        <v/>
      </c>
      <c r="K86" s="56" t="str">
        <f>'Raw Data - Ops KPIs'!K128</f>
        <v/>
      </c>
      <c r="L86" s="56">
        <f>'Raw Data - Ops KPIs'!L128</f>
        <v>-5</v>
      </c>
      <c r="M86" s="56">
        <f>'Raw Data - Ops KPIs'!M128</f>
        <v>5</v>
      </c>
      <c r="N86" s="56">
        <f>'Raw Data - Ops KPIs'!N128</f>
        <v>13</v>
      </c>
      <c r="O86" s="56">
        <f>'Raw Data - Ops KPIs'!O128</f>
        <v>31</v>
      </c>
      <c r="P86" s="56">
        <f>'Raw Data - Ops KPIs'!P128</f>
        <v>39</v>
      </c>
      <c r="Q86" s="56">
        <f>'Raw Data - Ops KPIs'!Q128</f>
        <v>58</v>
      </c>
      <c r="R86" s="56">
        <f>'Raw Data - Ops KPIs'!R128</f>
        <v>78</v>
      </c>
      <c r="S86" s="56">
        <f>'Raw Data - Ops KPIs'!S128</f>
        <v>60</v>
      </c>
      <c r="T86" s="56">
        <f>'Raw Data - Ops KPIs'!T128</f>
        <v>90</v>
      </c>
      <c r="U86" s="56">
        <f>'Raw Data - Ops KPIs'!U128</f>
        <v>130</v>
      </c>
      <c r="V86" s="56">
        <f>'Raw Data - Ops KPIs'!V128</f>
        <v>130</v>
      </c>
      <c r="W86" s="56">
        <f>'Raw Data - Ops KPIs'!W128</f>
        <v>120</v>
      </c>
      <c r="AB86" s="19"/>
      <c r="AF86" s="56" t="str">
        <f>'Raw Data - Ops KPIs'!AF128</f>
        <v/>
      </c>
      <c r="AG86" s="56" t="str">
        <f>'Raw Data - Ops KPIs'!AG128</f>
        <v/>
      </c>
      <c r="AH86" s="56">
        <f>'Raw Data - Ops KPIs'!AH128</f>
        <v>44</v>
      </c>
      <c r="AI86" s="56">
        <f>'Raw Data - Ops KPIs'!AI128</f>
        <v>235</v>
      </c>
      <c r="AJ86" s="56">
        <f>'Raw Data - Ops KPIs'!AJ128</f>
        <v>470</v>
      </c>
      <c r="AK86" s="56">
        <f>AK84*AK87</f>
        <v>607.75</v>
      </c>
      <c r="AL86" s="56">
        <f>AL84*AL87</f>
        <v>790.07499999999993</v>
      </c>
      <c r="AM86" s="56">
        <f>AM84*AM87</f>
        <v>1027.0975000000001</v>
      </c>
      <c r="AN86" s="56">
        <f>AN84*AN87</f>
        <v>1335.2267500000003</v>
      </c>
    </row>
    <row r="87" spans="1:40" hidden="1" outlineLevel="1" x14ac:dyDescent="0.3">
      <c r="A87" s="20" t="s">
        <v>219</v>
      </c>
      <c r="B87" s="17" t="s">
        <v>217</v>
      </c>
      <c r="C87" s="48" t="s">
        <v>238</v>
      </c>
      <c r="D87" s="49" t="str">
        <f t="shared" ref="D87:W87" si="59">IFERROR(D86/D84,"")</f>
        <v/>
      </c>
      <c r="E87" s="49" t="str">
        <f t="shared" si="59"/>
        <v/>
      </c>
      <c r="F87" s="49" t="str">
        <f t="shared" si="59"/>
        <v/>
      </c>
      <c r="G87" s="49" t="str">
        <f t="shared" si="59"/>
        <v/>
      </c>
      <c r="H87" s="49" t="str">
        <f t="shared" si="59"/>
        <v/>
      </c>
      <c r="I87" s="49" t="str">
        <f t="shared" si="59"/>
        <v/>
      </c>
      <c r="J87" s="49" t="str">
        <f t="shared" si="59"/>
        <v/>
      </c>
      <c r="K87" s="49" t="str">
        <f t="shared" si="59"/>
        <v/>
      </c>
      <c r="L87" s="49">
        <f t="shared" si="59"/>
        <v>-0.41666666666666669</v>
      </c>
      <c r="M87" s="49">
        <f t="shared" si="59"/>
        <v>1.25</v>
      </c>
      <c r="N87" s="49">
        <f t="shared" si="59"/>
        <v>0.38235294117647056</v>
      </c>
      <c r="O87" s="49">
        <f t="shared" si="59"/>
        <v>2.3846153846153846</v>
      </c>
      <c r="P87" s="49">
        <f t="shared" si="59"/>
        <v>1</v>
      </c>
      <c r="Q87" s="49">
        <f t="shared" si="59"/>
        <v>0.98305084745762716</v>
      </c>
      <c r="R87" s="49">
        <f t="shared" si="59"/>
        <v>0.96296296296296291</v>
      </c>
      <c r="S87" s="49">
        <f t="shared" si="59"/>
        <v>0.8571428571428571</v>
      </c>
      <c r="T87" s="49">
        <f t="shared" si="59"/>
        <v>0.9</v>
      </c>
      <c r="U87" s="49">
        <f t="shared" si="59"/>
        <v>1</v>
      </c>
      <c r="V87" s="49">
        <f t="shared" si="59"/>
        <v>0.76470588235294112</v>
      </c>
      <c r="W87" s="49">
        <f t="shared" si="59"/>
        <v>0.8</v>
      </c>
      <c r="AB87" s="19"/>
      <c r="AC87" s="52" t="str">
        <f t="shared" ref="AC87:AJ87" si="60">IFERROR(AC86/AC84,"")</f>
        <v/>
      </c>
      <c r="AD87" s="52" t="str">
        <f t="shared" si="60"/>
        <v/>
      </c>
      <c r="AE87" s="52" t="str">
        <f t="shared" si="60"/>
        <v/>
      </c>
      <c r="AF87" s="52" t="str">
        <f t="shared" si="60"/>
        <v/>
      </c>
      <c r="AG87" s="52" t="str">
        <f t="shared" si="60"/>
        <v/>
      </c>
      <c r="AH87" s="52">
        <f t="shared" si="60"/>
        <v>0.69841269841269837</v>
      </c>
      <c r="AI87" s="52">
        <f t="shared" si="60"/>
        <v>0.94377510040160639</v>
      </c>
      <c r="AJ87" s="52">
        <f t="shared" si="60"/>
        <v>0.8545454545454545</v>
      </c>
      <c r="AK87" s="50">
        <v>0.85</v>
      </c>
      <c r="AL87" s="50">
        <v>0.85</v>
      </c>
      <c r="AM87" s="50">
        <v>0.85</v>
      </c>
      <c r="AN87" s="50">
        <v>0.85</v>
      </c>
    </row>
    <row r="88" spans="1:40" hidden="1" outlineLevel="1" x14ac:dyDescent="0.3">
      <c r="A88" s="20" t="s">
        <v>245</v>
      </c>
      <c r="B88" s="17" t="s">
        <v>214</v>
      </c>
      <c r="C88" s="22" t="s">
        <v>237</v>
      </c>
      <c r="D88" s="56" t="str">
        <f>'Raw Data - Ops KPIs'!D129</f>
        <v/>
      </c>
      <c r="E88" s="56" t="str">
        <f>'Raw Data - Ops KPIs'!E129</f>
        <v/>
      </c>
      <c r="F88" s="56" t="str">
        <f>'Raw Data - Ops KPIs'!F129</f>
        <v/>
      </c>
      <c r="G88" s="56" t="str">
        <f>'Raw Data - Ops KPIs'!G129</f>
        <v/>
      </c>
      <c r="H88" s="56" t="str">
        <f>'Raw Data - Ops KPIs'!H129</f>
        <v/>
      </c>
      <c r="I88" s="56" t="str">
        <f>'Raw Data - Ops KPIs'!I129</f>
        <v/>
      </c>
      <c r="J88" s="56" t="str">
        <f>'Raw Data - Ops KPIs'!J129</f>
        <v/>
      </c>
      <c r="K88" s="56" t="str">
        <f>'Raw Data - Ops KPIs'!K129</f>
        <v/>
      </c>
      <c r="L88" s="56">
        <f>'Raw Data - Ops KPIs'!L129</f>
        <v>9.2399999999997817</v>
      </c>
      <c r="M88" s="56" t="str">
        <f>'Raw Data - Ops KPIs'!M129</f>
        <v/>
      </c>
      <c r="N88" s="56">
        <f>'Raw Data - Ops KPIs'!N129</f>
        <v>20.979999999999563</v>
      </c>
      <c r="O88" s="56">
        <f>'Raw Data - Ops KPIs'!O129</f>
        <v>35.799999999999272</v>
      </c>
      <c r="P88" s="56">
        <f>'Raw Data - Ops KPIs'!P129</f>
        <v>40.099999999998545</v>
      </c>
      <c r="Q88" s="56">
        <f>'Raw Data - Ops KPIs'!Q129</f>
        <v>57.400000000001455</v>
      </c>
      <c r="R88" s="56">
        <f>'Raw Data - Ops KPIs'!R129</f>
        <v>81.099999999998545</v>
      </c>
      <c r="S88" s="56">
        <f>'Raw Data - Ops KPIs'!S129</f>
        <v>57.599999999998545</v>
      </c>
      <c r="T88" s="56">
        <f>'Raw Data - Ops KPIs'!T129</f>
        <v>89.400000000001455</v>
      </c>
      <c r="U88" s="56">
        <f>'Raw Data - Ops KPIs'!U129</f>
        <v>129.79999999999927</v>
      </c>
      <c r="V88" s="56">
        <f>'Raw Data - Ops KPIs'!V129</f>
        <v>162.59999999999854</v>
      </c>
      <c r="W88" s="56">
        <f>'Raw Data - Ops KPIs'!W129</f>
        <v>130</v>
      </c>
      <c r="AB88" s="19"/>
      <c r="AF88" s="56" t="str">
        <f>'Raw Data - Ops KPIs'!AF129</f>
        <v/>
      </c>
      <c r="AG88" s="56" t="str">
        <f>'Raw Data - Ops KPIs'!AG129</f>
        <v/>
      </c>
      <c r="AH88" s="56">
        <f>'Raw Data - Ops KPIs'!AH129</f>
        <v>13771.259999999995</v>
      </c>
      <c r="AI88" s="56">
        <f>'Raw Data - Ops KPIs'!AI129</f>
        <v>236.19999999999709</v>
      </c>
      <c r="AJ88" s="56">
        <f>'Raw Data - Ops KPIs'!AJ129</f>
        <v>511.79999999998836</v>
      </c>
      <c r="AK88" s="56">
        <f>AK86*AK89</f>
        <v>662.4475000000001</v>
      </c>
      <c r="AL88" s="56">
        <f>AL86*AL89</f>
        <v>861.18174999999997</v>
      </c>
      <c r="AM88" s="56">
        <f>AM86*AM89</f>
        <v>1119.5362750000002</v>
      </c>
      <c r="AN88" s="56">
        <f>AN86*AN89</f>
        <v>1455.3971575000005</v>
      </c>
    </row>
    <row r="89" spans="1:40" hidden="1" outlineLevel="1" x14ac:dyDescent="0.3">
      <c r="A89" s="20" t="s">
        <v>246</v>
      </c>
      <c r="B89" s="17" t="s">
        <v>217</v>
      </c>
      <c r="C89" s="48" t="s">
        <v>238</v>
      </c>
      <c r="D89" s="49" t="str">
        <f t="shared" ref="D89:W89" si="61">IFERROR(D88/D86,"")</f>
        <v/>
      </c>
      <c r="E89" s="49" t="str">
        <f t="shared" si="61"/>
        <v/>
      </c>
      <c r="F89" s="49" t="str">
        <f t="shared" si="61"/>
        <v/>
      </c>
      <c r="G89" s="49" t="str">
        <f t="shared" si="61"/>
        <v/>
      </c>
      <c r="H89" s="49" t="str">
        <f t="shared" si="61"/>
        <v/>
      </c>
      <c r="I89" s="49" t="str">
        <f t="shared" si="61"/>
        <v/>
      </c>
      <c r="J89" s="49" t="str">
        <f t="shared" si="61"/>
        <v/>
      </c>
      <c r="K89" s="49" t="str">
        <f t="shared" si="61"/>
        <v/>
      </c>
      <c r="L89" s="49">
        <f t="shared" si="61"/>
        <v>-1.8479999999999563</v>
      </c>
      <c r="M89" s="49" t="str">
        <f t="shared" si="61"/>
        <v/>
      </c>
      <c r="N89" s="49">
        <f t="shared" si="61"/>
        <v>1.6138461538461202</v>
      </c>
      <c r="O89" s="49">
        <f t="shared" si="61"/>
        <v>1.154838709677396</v>
      </c>
      <c r="P89" s="49">
        <f t="shared" si="61"/>
        <v>1.0282051282050908</v>
      </c>
      <c r="Q89" s="49">
        <f t="shared" si="61"/>
        <v>0.98965517241381817</v>
      </c>
      <c r="R89" s="49">
        <f t="shared" si="61"/>
        <v>1.0397435897435712</v>
      </c>
      <c r="S89" s="49">
        <f t="shared" si="61"/>
        <v>0.95999999999997576</v>
      </c>
      <c r="T89" s="49">
        <f t="shared" si="61"/>
        <v>0.9933333333333495</v>
      </c>
      <c r="U89" s="49">
        <f t="shared" si="61"/>
        <v>0.99846153846153285</v>
      </c>
      <c r="V89" s="49">
        <f t="shared" si="61"/>
        <v>1.2507692307692195</v>
      </c>
      <c r="W89" s="49">
        <f t="shared" si="61"/>
        <v>1.0833333333333333</v>
      </c>
      <c r="AB89" s="19"/>
      <c r="AC89" s="52" t="str">
        <f t="shared" ref="AC89:AJ89" si="62">IFERROR(AC88/AC86,"")</f>
        <v/>
      </c>
      <c r="AD89" s="52" t="str">
        <f t="shared" si="62"/>
        <v/>
      </c>
      <c r="AE89" s="52" t="str">
        <f t="shared" si="62"/>
        <v/>
      </c>
      <c r="AF89" s="52" t="str">
        <f t="shared" si="62"/>
        <v/>
      </c>
      <c r="AG89" s="52" t="str">
        <f t="shared" si="62"/>
        <v/>
      </c>
      <c r="AH89" s="52">
        <f t="shared" si="62"/>
        <v>312.98318181818172</v>
      </c>
      <c r="AI89" s="52">
        <f t="shared" si="62"/>
        <v>1.005106382978711</v>
      </c>
      <c r="AJ89" s="52">
        <f t="shared" si="62"/>
        <v>1.0889361702127411</v>
      </c>
      <c r="AK89" s="50">
        <v>1.0900000000000001</v>
      </c>
      <c r="AL89" s="50">
        <v>1.0900000000000001</v>
      </c>
      <c r="AM89" s="50">
        <v>1.0900000000000001</v>
      </c>
      <c r="AN89" s="50">
        <v>1.0900000000000001</v>
      </c>
    </row>
    <row r="90" spans="1:40" hidden="1" outlineLevel="1" x14ac:dyDescent="0.3">
      <c r="A90" s="20" t="s">
        <v>254</v>
      </c>
      <c r="B90" s="17" t="s">
        <v>214</v>
      </c>
      <c r="C90" s="22" t="s">
        <v>237</v>
      </c>
      <c r="D90" s="56" t="str">
        <f>'Raw Data - Ops KPIs'!D133</f>
        <v/>
      </c>
      <c r="E90" s="56" t="str">
        <f>'Raw Data - Ops KPIs'!E133</f>
        <v/>
      </c>
      <c r="F90" s="56" t="str">
        <f>'Raw Data - Ops KPIs'!F133</f>
        <v/>
      </c>
      <c r="G90" s="56" t="str">
        <f>'Raw Data - Ops KPIs'!G133</f>
        <v/>
      </c>
      <c r="H90" s="56" t="str">
        <f>'Raw Data - Ops KPIs'!H133</f>
        <v/>
      </c>
      <c r="I90" s="56" t="str">
        <f>'Raw Data - Ops KPIs'!I133</f>
        <v/>
      </c>
      <c r="J90" s="56" t="str">
        <f>'Raw Data - Ops KPIs'!J133</f>
        <v/>
      </c>
      <c r="K90" s="56" t="str">
        <f>'Raw Data - Ops KPIs'!K133</f>
        <v/>
      </c>
      <c r="L90" s="56">
        <f>'Raw Data - Ops KPIs'!L133</f>
        <v>-31.75</v>
      </c>
      <c r="M90" s="56" t="str">
        <f>'Raw Data - Ops KPIs'!M133</f>
        <v/>
      </c>
      <c r="N90" s="56">
        <f>'Raw Data - Ops KPIs'!N133</f>
        <v>9.4799999999995634</v>
      </c>
      <c r="O90" s="56">
        <f>'Raw Data - Ops KPIs'!O133</f>
        <v>-86.569999999999709</v>
      </c>
      <c r="P90" s="56">
        <f>'Raw Data - Ops KPIs'!P133</f>
        <v>-69.199999999999818</v>
      </c>
      <c r="Q90" s="56">
        <f>'Raw Data - Ops KPIs'!Q133</f>
        <v>0.2000000000007276</v>
      </c>
      <c r="R90" s="56">
        <f>'Raw Data - Ops KPIs'!R133</f>
        <v>-84.600000000000364</v>
      </c>
      <c r="S90" s="56">
        <f>'Raw Data - Ops KPIs'!S133</f>
        <v>-119.79999999999927</v>
      </c>
      <c r="T90" s="56">
        <f>'Raw Data - Ops KPIs'!T133</f>
        <v>25.100000000000364</v>
      </c>
      <c r="U90" s="56">
        <f>'Raw Data - Ops KPIs'!U133</f>
        <v>5.3999999999996362</v>
      </c>
      <c r="V90" s="56">
        <f>'Raw Data - Ops KPIs'!V133</f>
        <v>34.799999999999272</v>
      </c>
      <c r="W90" s="56">
        <f>'Raw Data - Ops KPIs'!W133</f>
        <v>10</v>
      </c>
      <c r="AB90" s="19"/>
      <c r="AF90" s="56" t="str">
        <f>'Raw Data - Ops KPIs'!AF133</f>
        <v/>
      </c>
      <c r="AG90" s="56" t="str">
        <f>'Raw Data - Ops KPIs'!AG133</f>
        <v/>
      </c>
      <c r="AH90" s="56">
        <f>'Raw Data - Ops KPIs'!AH133</f>
        <v>2114.4000000000015</v>
      </c>
      <c r="AI90" s="56">
        <f>'Raw Data - Ops KPIs'!AI133</f>
        <v>-273.39999999999418</v>
      </c>
      <c r="AJ90" s="56">
        <f>'Raw Data - Ops KPIs'!AJ133</f>
        <v>75.30000000000291</v>
      </c>
      <c r="AK90" s="56">
        <f>AK86*AK91</f>
        <v>97.240000000000009</v>
      </c>
      <c r="AL90" s="56">
        <f>AL86*AL91</f>
        <v>126.41199999999999</v>
      </c>
      <c r="AM90" s="56">
        <f>AM86*AM91</f>
        <v>164.33560000000003</v>
      </c>
      <c r="AN90" s="56">
        <f>AN86*AN91</f>
        <v>213.63628000000006</v>
      </c>
    </row>
    <row r="91" spans="1:40" hidden="1" outlineLevel="1" x14ac:dyDescent="0.3">
      <c r="A91" s="20" t="s">
        <v>255</v>
      </c>
      <c r="B91" s="17" t="s">
        <v>217</v>
      </c>
      <c r="C91" s="48" t="s">
        <v>238</v>
      </c>
      <c r="D91" s="49" t="str">
        <f t="shared" ref="D91:W91" si="63">IFERROR(D90/D86,"")</f>
        <v/>
      </c>
      <c r="E91" s="49" t="str">
        <f t="shared" si="63"/>
        <v/>
      </c>
      <c r="F91" s="49" t="str">
        <f t="shared" si="63"/>
        <v/>
      </c>
      <c r="G91" s="49" t="str">
        <f t="shared" si="63"/>
        <v/>
      </c>
      <c r="H91" s="49" t="str">
        <f t="shared" si="63"/>
        <v/>
      </c>
      <c r="I91" s="49" t="str">
        <f t="shared" si="63"/>
        <v/>
      </c>
      <c r="J91" s="49" t="str">
        <f t="shared" si="63"/>
        <v/>
      </c>
      <c r="K91" s="49" t="str">
        <f t="shared" si="63"/>
        <v/>
      </c>
      <c r="L91" s="49">
        <f t="shared" si="63"/>
        <v>6.35</v>
      </c>
      <c r="M91" s="49" t="str">
        <f t="shared" si="63"/>
        <v/>
      </c>
      <c r="N91" s="49">
        <f t="shared" si="63"/>
        <v>0.7292307692307356</v>
      </c>
      <c r="O91" s="49">
        <f t="shared" si="63"/>
        <v>-2.7925806451612809</v>
      </c>
      <c r="P91" s="49">
        <f t="shared" si="63"/>
        <v>-1.7743589743589696</v>
      </c>
      <c r="Q91" s="49">
        <f t="shared" si="63"/>
        <v>3.4482758620815101E-3</v>
      </c>
      <c r="R91" s="49">
        <f t="shared" si="63"/>
        <v>-1.0846153846153892</v>
      </c>
      <c r="S91" s="49">
        <f t="shared" si="63"/>
        <v>-1.9966666666666546</v>
      </c>
      <c r="T91" s="49">
        <f t="shared" si="63"/>
        <v>0.27888888888889291</v>
      </c>
      <c r="U91" s="49">
        <f t="shared" si="63"/>
        <v>4.1538461538458742E-2</v>
      </c>
      <c r="V91" s="49">
        <f t="shared" si="63"/>
        <v>0.26769230769230212</v>
      </c>
      <c r="W91" s="49">
        <f t="shared" si="63"/>
        <v>8.3333333333333329E-2</v>
      </c>
      <c r="AB91" s="19"/>
      <c r="AC91" s="52" t="str">
        <f t="shared" ref="AC91:AJ91" si="64">IFERROR(AC90/AC86,"")</f>
        <v/>
      </c>
      <c r="AD91" s="52" t="str">
        <f t="shared" si="64"/>
        <v/>
      </c>
      <c r="AE91" s="52" t="str">
        <f t="shared" si="64"/>
        <v/>
      </c>
      <c r="AF91" s="52" t="str">
        <f t="shared" si="64"/>
        <v/>
      </c>
      <c r="AG91" s="52" t="str">
        <f t="shared" si="64"/>
        <v/>
      </c>
      <c r="AH91" s="52">
        <f t="shared" si="64"/>
        <v>48.05454545454549</v>
      </c>
      <c r="AI91" s="52">
        <f t="shared" si="64"/>
        <v>-1.1634042553191242</v>
      </c>
      <c r="AJ91" s="52">
        <f t="shared" si="64"/>
        <v>0.16021276595745301</v>
      </c>
      <c r="AK91" s="50">
        <v>0.16</v>
      </c>
      <c r="AL91" s="50">
        <v>0.16</v>
      </c>
      <c r="AM91" s="50">
        <v>0.16</v>
      </c>
      <c r="AN91" s="50">
        <v>0.16</v>
      </c>
    </row>
    <row r="92" spans="1:40" hidden="1" outlineLevel="1" x14ac:dyDescent="0.3">
      <c r="A92" s="20" t="s">
        <v>256</v>
      </c>
      <c r="B92" s="17" t="s">
        <v>214</v>
      </c>
      <c r="C92" s="22" t="s">
        <v>237</v>
      </c>
      <c r="D92" s="56" t="str">
        <f>'Raw Data - Ops KPIs'!D134</f>
        <v/>
      </c>
      <c r="E92" s="56" t="str">
        <f>'Raw Data - Ops KPIs'!E134</f>
        <v/>
      </c>
      <c r="F92" s="56" t="str">
        <f>'Raw Data - Ops KPIs'!F134</f>
        <v/>
      </c>
      <c r="G92" s="56" t="str">
        <f>'Raw Data - Ops KPIs'!G134</f>
        <v/>
      </c>
      <c r="H92" s="56" t="str">
        <f>'Raw Data - Ops KPIs'!H134</f>
        <v/>
      </c>
      <c r="I92" s="56" t="str">
        <f>'Raw Data - Ops KPIs'!I134</f>
        <v/>
      </c>
      <c r="J92" s="56" t="str">
        <f>'Raw Data - Ops KPIs'!J134</f>
        <v/>
      </c>
      <c r="K92" s="56" t="str">
        <f>'Raw Data - Ops KPIs'!K134</f>
        <v/>
      </c>
      <c r="L92" s="56">
        <f>'Raw Data - Ops KPIs'!L134</f>
        <v>-8.4099999999998545</v>
      </c>
      <c r="M92" s="56" t="str">
        <f>'Raw Data - Ops KPIs'!M134</f>
        <v/>
      </c>
      <c r="N92" s="56">
        <f>'Raw Data - Ops KPIs'!N134</f>
        <v>41.739999999999782</v>
      </c>
      <c r="O92" s="56">
        <f>'Raw Data - Ops KPIs'!O134</f>
        <v>38.610000000000127</v>
      </c>
      <c r="P92" s="56">
        <f>'Raw Data - Ops KPIs'!P134</f>
        <v>-0.40000000000009095</v>
      </c>
      <c r="Q92" s="56">
        <f>'Raw Data - Ops KPIs'!Q134</f>
        <v>63.599999999999909</v>
      </c>
      <c r="R92" s="56">
        <f>'Raw Data - Ops KPIs'!R134</f>
        <v>-17.400000000000091</v>
      </c>
      <c r="S92" s="56">
        <f>'Raw Data - Ops KPIs'!S134</f>
        <v>-63.300000000000182</v>
      </c>
      <c r="T92" s="56">
        <f>'Raw Data - Ops KPIs'!T134</f>
        <v>-21.699999999999818</v>
      </c>
      <c r="U92" s="56">
        <f>'Raw Data - Ops KPIs'!U134</f>
        <v>-44.099999999999909</v>
      </c>
      <c r="V92" s="56">
        <f>'Raw Data - Ops KPIs'!V134</f>
        <v>-112.80000000000018</v>
      </c>
      <c r="W92" s="56">
        <f>'Raw Data - Ops KPIs'!W134</f>
        <v>130</v>
      </c>
      <c r="AB92" s="19"/>
      <c r="AF92" s="56" t="str">
        <f>'Raw Data - Ops KPIs'!AF134</f>
        <v/>
      </c>
      <c r="AG92" s="56" t="str">
        <f>'Raw Data - Ops KPIs'!AG134</f>
        <v/>
      </c>
      <c r="AH92" s="56">
        <f>'Raw Data - Ops KPIs'!AH134</f>
        <v>2266.8899999999994</v>
      </c>
      <c r="AI92" s="56">
        <f>'Raw Data - Ops KPIs'!AI134</f>
        <v>-17.5</v>
      </c>
      <c r="AJ92" s="56">
        <f>'Raw Data - Ops KPIs'!AJ134</f>
        <v>-48.599999999998545</v>
      </c>
      <c r="AK92" s="56">
        <f>AK86*AK93</f>
        <v>-60.775000000000006</v>
      </c>
      <c r="AL92" s="56">
        <f>AL86*AL93</f>
        <v>-79.007499999999993</v>
      </c>
      <c r="AM92" s="56">
        <f>AM86*AM93</f>
        <v>-102.70975000000001</v>
      </c>
      <c r="AN92" s="56">
        <f>AN86*AN93</f>
        <v>-133.52267500000002</v>
      </c>
    </row>
    <row r="93" spans="1:40" hidden="1" outlineLevel="1" x14ac:dyDescent="0.3">
      <c r="A93" s="20" t="s">
        <v>257</v>
      </c>
      <c r="B93" s="17" t="s">
        <v>217</v>
      </c>
      <c r="C93" s="48" t="s">
        <v>238</v>
      </c>
      <c r="D93" s="49" t="str">
        <f t="shared" ref="D93:W93" si="65">IFERROR(D92/D86,"")</f>
        <v/>
      </c>
      <c r="E93" s="49" t="str">
        <f t="shared" si="65"/>
        <v/>
      </c>
      <c r="F93" s="49" t="str">
        <f t="shared" si="65"/>
        <v/>
      </c>
      <c r="G93" s="49" t="str">
        <f t="shared" si="65"/>
        <v/>
      </c>
      <c r="H93" s="49" t="str">
        <f t="shared" si="65"/>
        <v/>
      </c>
      <c r="I93" s="49" t="str">
        <f t="shared" si="65"/>
        <v/>
      </c>
      <c r="J93" s="49" t="str">
        <f t="shared" si="65"/>
        <v/>
      </c>
      <c r="K93" s="49" t="str">
        <f t="shared" si="65"/>
        <v/>
      </c>
      <c r="L93" s="49">
        <f t="shared" si="65"/>
        <v>1.6819999999999709</v>
      </c>
      <c r="M93" s="49" t="str">
        <f t="shared" si="65"/>
        <v/>
      </c>
      <c r="N93" s="49">
        <f t="shared" si="65"/>
        <v>3.2107692307692139</v>
      </c>
      <c r="O93" s="49">
        <f t="shared" si="65"/>
        <v>1.245483870967746</v>
      </c>
      <c r="P93" s="49">
        <f t="shared" si="65"/>
        <v>-1.0256410256412588E-2</v>
      </c>
      <c r="Q93" s="49">
        <f t="shared" si="65"/>
        <v>1.0965517241379295</v>
      </c>
      <c r="R93" s="49">
        <f t="shared" si="65"/>
        <v>-0.22307692307692426</v>
      </c>
      <c r="S93" s="49">
        <f t="shared" si="65"/>
        <v>-1.055000000000003</v>
      </c>
      <c r="T93" s="49">
        <f t="shared" si="65"/>
        <v>-0.24111111111110908</v>
      </c>
      <c r="U93" s="49">
        <f t="shared" si="65"/>
        <v>-0.33923076923076856</v>
      </c>
      <c r="V93" s="49">
        <f t="shared" si="65"/>
        <v>-0.86769230769230909</v>
      </c>
      <c r="W93" s="49">
        <f t="shared" si="65"/>
        <v>1.0833333333333333</v>
      </c>
      <c r="AB93" s="19"/>
      <c r="AC93" s="52" t="str">
        <f t="shared" ref="AC93:AJ93" si="66">IFERROR(AC92/AC86,"")</f>
        <v/>
      </c>
      <c r="AD93" s="52" t="str">
        <f t="shared" si="66"/>
        <v/>
      </c>
      <c r="AE93" s="52" t="str">
        <f t="shared" si="66"/>
        <v/>
      </c>
      <c r="AF93" s="52" t="str">
        <f t="shared" si="66"/>
        <v/>
      </c>
      <c r="AG93" s="52" t="str">
        <f t="shared" si="66"/>
        <v/>
      </c>
      <c r="AH93" s="52">
        <f t="shared" si="66"/>
        <v>51.520227272727261</v>
      </c>
      <c r="AI93" s="52">
        <f t="shared" si="66"/>
        <v>-7.4468085106382975E-2</v>
      </c>
      <c r="AJ93" s="52">
        <f t="shared" si="66"/>
        <v>-0.10340425531914584</v>
      </c>
      <c r="AK93" s="50">
        <v>-0.1</v>
      </c>
      <c r="AL93" s="50">
        <v>-0.1</v>
      </c>
      <c r="AM93" s="50">
        <v>-0.1</v>
      </c>
      <c r="AN93" s="50">
        <v>-0.1</v>
      </c>
    </row>
    <row r="94" spans="1:40" hidden="1" outlineLevel="1" x14ac:dyDescent="0.3">
      <c r="A94" s="20" t="s">
        <v>223</v>
      </c>
      <c r="B94" s="17" t="s">
        <v>214</v>
      </c>
      <c r="C94" s="22" t="s">
        <v>215</v>
      </c>
      <c r="D94" s="55" t="str">
        <f t="shared" ref="D94:W94" si="67">IFERROR(D90-D92,"")</f>
        <v/>
      </c>
      <c r="E94" s="55" t="str">
        <f t="shared" si="67"/>
        <v/>
      </c>
      <c r="F94" s="55" t="str">
        <f t="shared" si="67"/>
        <v/>
      </c>
      <c r="G94" s="55" t="str">
        <f t="shared" si="67"/>
        <v/>
      </c>
      <c r="H94" s="55" t="str">
        <f t="shared" si="67"/>
        <v/>
      </c>
      <c r="I94" s="55" t="str">
        <f t="shared" si="67"/>
        <v/>
      </c>
      <c r="J94" s="55" t="str">
        <f t="shared" si="67"/>
        <v/>
      </c>
      <c r="K94" s="55" t="str">
        <f t="shared" si="67"/>
        <v/>
      </c>
      <c r="L94" s="55">
        <f t="shared" si="67"/>
        <v>-23.340000000000146</v>
      </c>
      <c r="M94" s="55" t="str">
        <f t="shared" si="67"/>
        <v/>
      </c>
      <c r="N94" s="55">
        <f t="shared" si="67"/>
        <v>-32.260000000000218</v>
      </c>
      <c r="O94" s="55">
        <f t="shared" si="67"/>
        <v>-125.17999999999984</v>
      </c>
      <c r="P94" s="55">
        <f t="shared" si="67"/>
        <v>-68.799999999999727</v>
      </c>
      <c r="Q94" s="55">
        <f t="shared" si="67"/>
        <v>-63.399999999999181</v>
      </c>
      <c r="R94" s="55">
        <f t="shared" si="67"/>
        <v>-67.200000000000273</v>
      </c>
      <c r="S94" s="55">
        <f t="shared" si="67"/>
        <v>-56.499999999999091</v>
      </c>
      <c r="T94" s="55">
        <f t="shared" si="67"/>
        <v>46.800000000000182</v>
      </c>
      <c r="U94" s="55">
        <f t="shared" si="67"/>
        <v>49.499999999999545</v>
      </c>
      <c r="V94" s="55">
        <f t="shared" si="67"/>
        <v>147.59999999999945</v>
      </c>
      <c r="W94" s="55">
        <f t="shared" si="67"/>
        <v>-120</v>
      </c>
      <c r="AB94" s="19"/>
      <c r="AC94" s="56">
        <f t="shared" ref="AC94:AN94" si="68">IFERROR(AC90-AC92,"")</f>
        <v>0</v>
      </c>
      <c r="AD94" s="56">
        <f t="shared" si="68"/>
        <v>0</v>
      </c>
      <c r="AE94" s="56">
        <f t="shared" si="68"/>
        <v>0</v>
      </c>
      <c r="AF94" s="56" t="str">
        <f t="shared" si="68"/>
        <v/>
      </c>
      <c r="AG94" s="56" t="str">
        <f t="shared" si="68"/>
        <v/>
      </c>
      <c r="AH94" s="56">
        <f t="shared" si="68"/>
        <v>-152.48999999999796</v>
      </c>
      <c r="AI94" s="56">
        <f t="shared" si="68"/>
        <v>-255.89999999999418</v>
      </c>
      <c r="AJ94" s="56">
        <f t="shared" si="68"/>
        <v>123.90000000000146</v>
      </c>
      <c r="AK94" s="56">
        <f t="shared" si="68"/>
        <v>158.01500000000001</v>
      </c>
      <c r="AL94" s="56">
        <f t="shared" si="68"/>
        <v>205.41949999999997</v>
      </c>
      <c r="AM94" s="56">
        <f t="shared" si="68"/>
        <v>267.04535000000004</v>
      </c>
      <c r="AN94" s="56">
        <f t="shared" si="68"/>
        <v>347.15895500000011</v>
      </c>
    </row>
    <row r="95" spans="1:40" hidden="1" outlineLevel="1" x14ac:dyDescent="0.3">
      <c r="A95" s="20" t="s">
        <v>224</v>
      </c>
      <c r="B95" s="17" t="s">
        <v>217</v>
      </c>
      <c r="C95" s="22" t="s">
        <v>215</v>
      </c>
      <c r="D95" s="49" t="str">
        <f t="shared" ref="D95:W95" si="69">IFERROR(D94/D86,"")</f>
        <v/>
      </c>
      <c r="E95" s="49" t="str">
        <f t="shared" si="69"/>
        <v/>
      </c>
      <c r="F95" s="49" t="str">
        <f t="shared" si="69"/>
        <v/>
      </c>
      <c r="G95" s="49" t="str">
        <f t="shared" si="69"/>
        <v/>
      </c>
      <c r="H95" s="49" t="str">
        <f t="shared" si="69"/>
        <v/>
      </c>
      <c r="I95" s="49" t="str">
        <f t="shared" si="69"/>
        <v/>
      </c>
      <c r="J95" s="49" t="str">
        <f t="shared" si="69"/>
        <v/>
      </c>
      <c r="K95" s="49" t="str">
        <f t="shared" si="69"/>
        <v/>
      </c>
      <c r="L95" s="49">
        <f t="shared" si="69"/>
        <v>4.6680000000000295</v>
      </c>
      <c r="M95" s="49" t="str">
        <f t="shared" si="69"/>
        <v/>
      </c>
      <c r="N95" s="49">
        <f t="shared" si="69"/>
        <v>-2.4815384615384781</v>
      </c>
      <c r="O95" s="49">
        <f t="shared" si="69"/>
        <v>-4.0380645161290269</v>
      </c>
      <c r="P95" s="49">
        <f t="shared" si="69"/>
        <v>-1.7641025641025572</v>
      </c>
      <c r="Q95" s="49">
        <f t="shared" si="69"/>
        <v>-1.0931034482758479</v>
      </c>
      <c r="R95" s="49">
        <f t="shared" si="69"/>
        <v>-0.86153846153846503</v>
      </c>
      <c r="S95" s="49">
        <f t="shared" si="69"/>
        <v>-0.94166666666665155</v>
      </c>
      <c r="T95" s="49">
        <f t="shared" si="69"/>
        <v>0.52000000000000202</v>
      </c>
      <c r="U95" s="49">
        <f t="shared" si="69"/>
        <v>0.38076923076922725</v>
      </c>
      <c r="V95" s="49">
        <f t="shared" si="69"/>
        <v>1.1353846153846112</v>
      </c>
      <c r="W95" s="49">
        <f t="shared" si="69"/>
        <v>-1</v>
      </c>
      <c r="AB95" s="19"/>
      <c r="AC95" s="52" t="str">
        <f t="shared" ref="AC95:AN95" si="70">IFERROR(AC94/AC86,"")</f>
        <v/>
      </c>
      <c r="AD95" s="52" t="str">
        <f t="shared" si="70"/>
        <v/>
      </c>
      <c r="AE95" s="52" t="str">
        <f t="shared" si="70"/>
        <v/>
      </c>
      <c r="AF95" s="52" t="str">
        <f t="shared" si="70"/>
        <v/>
      </c>
      <c r="AG95" s="52" t="str">
        <f t="shared" si="70"/>
        <v/>
      </c>
      <c r="AH95" s="52">
        <f t="shared" si="70"/>
        <v>-3.4656818181817717</v>
      </c>
      <c r="AI95" s="52">
        <f t="shared" si="70"/>
        <v>-1.0889361702127411</v>
      </c>
      <c r="AJ95" s="52">
        <f t="shared" si="70"/>
        <v>0.26361702127659886</v>
      </c>
      <c r="AK95" s="52">
        <f t="shared" si="70"/>
        <v>0.26</v>
      </c>
      <c r="AL95" s="52">
        <f t="shared" si="70"/>
        <v>0.26</v>
      </c>
      <c r="AM95" s="52">
        <f t="shared" si="70"/>
        <v>0.26</v>
      </c>
      <c r="AN95" s="52">
        <f t="shared" si="70"/>
        <v>0.26</v>
      </c>
    </row>
    <row r="96" spans="1:40" x14ac:dyDescent="0.3">
      <c r="AB96" s="19"/>
    </row>
    <row r="97" spans="1:40" collapsed="1" x14ac:dyDescent="0.3">
      <c r="A97" s="5" t="s">
        <v>262</v>
      </c>
      <c r="B97" s="5"/>
      <c r="C97" s="5"/>
      <c r="D97" s="5"/>
      <c r="E97" s="5"/>
      <c r="F97" s="5"/>
      <c r="G97" s="5"/>
      <c r="H97" s="5"/>
      <c r="I97" s="5"/>
      <c r="J97" s="5"/>
      <c r="K97" s="5"/>
      <c r="L97" s="5"/>
      <c r="M97" s="5"/>
      <c r="N97" s="5"/>
      <c r="O97" s="5"/>
      <c r="P97" s="5"/>
      <c r="Q97" s="5"/>
      <c r="R97" s="5"/>
      <c r="S97" s="5"/>
      <c r="T97" s="5"/>
      <c r="U97" s="5"/>
      <c r="V97" s="5"/>
      <c r="W97" s="5"/>
      <c r="X97" s="5"/>
      <c r="Y97" s="5"/>
      <c r="Z97" s="5"/>
      <c r="AA97" s="5"/>
      <c r="AB97" s="44"/>
      <c r="AC97" s="5"/>
      <c r="AD97" s="5"/>
      <c r="AE97" s="5"/>
      <c r="AF97" s="5"/>
      <c r="AG97" s="5"/>
      <c r="AH97" s="5"/>
      <c r="AI97" s="5"/>
      <c r="AJ97" s="5"/>
      <c r="AK97" s="5"/>
      <c r="AL97" s="5"/>
      <c r="AM97" s="5"/>
      <c r="AN97" s="5"/>
    </row>
    <row r="98" spans="1:40" hidden="1" outlineLevel="1" x14ac:dyDescent="0.3">
      <c r="A98" s="17" t="s">
        <v>263</v>
      </c>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45"/>
      <c r="AC98" s="17"/>
      <c r="AD98" s="17"/>
      <c r="AE98" s="17"/>
      <c r="AF98" s="17"/>
      <c r="AG98" s="17"/>
      <c r="AH98" s="17"/>
      <c r="AI98" s="17"/>
      <c r="AJ98" s="17"/>
      <c r="AK98" s="17"/>
      <c r="AL98" s="17"/>
      <c r="AM98" s="17"/>
      <c r="AN98" s="17"/>
    </row>
    <row r="99" spans="1:40" hidden="1" outlineLevel="1" x14ac:dyDescent="0.3">
      <c r="A99" s="20" t="s">
        <v>264</v>
      </c>
      <c r="B99" s="17" t="s">
        <v>214</v>
      </c>
      <c r="C99" s="22" t="s">
        <v>215</v>
      </c>
      <c r="D99" s="55" t="str">
        <f>IFERROR(D50+D79+D94,"")</f>
        <v/>
      </c>
      <c r="E99" s="55" t="str">
        <f>IFERROR(E50+E79+E94,"")</f>
        <v/>
      </c>
      <c r="F99" s="55" t="str">
        <f>IFERROR(F50+F79+F94,"")</f>
        <v/>
      </c>
      <c r="G99" s="55" t="str">
        <f>IFERROR(G50+G79+G94,"")</f>
        <v/>
      </c>
      <c r="H99" s="55" t="str">
        <f>IFERROR(H50+H79+H94,"")</f>
        <v/>
      </c>
      <c r="I99" s="55" t="str">
        <f>IFERROR(I50+I79+I94,"")</f>
        <v/>
      </c>
      <c r="J99" s="55" t="str">
        <f>IFERROR(J50+J79+J94,"")</f>
        <v/>
      </c>
      <c r="K99" s="55" t="str">
        <f>IFERROR(K50+K79+K94,"")</f>
        <v/>
      </c>
      <c r="L99" s="55">
        <f>IFERROR(L50+L79+L94,"")</f>
        <v>734.65999999999985</v>
      </c>
      <c r="M99" s="55" t="str">
        <f>IFERROR(M50+M79+M94,"")</f>
        <v/>
      </c>
      <c r="N99" s="55">
        <f>IFERROR(N50+N79+N94,"")</f>
        <v>987.73999999999978</v>
      </c>
      <c r="O99" s="55">
        <f>IFERROR(O50+O79+O94,"")</f>
        <v>932.82000000000016</v>
      </c>
      <c r="P99" s="55">
        <f>IFERROR(P50+P79+P94,"")</f>
        <v>961.20000000000027</v>
      </c>
      <c r="Q99" s="55">
        <f>IFERROR(Q50+Q79+Q94,"")</f>
        <v>1036.6000000000008</v>
      </c>
      <c r="R99" s="55">
        <f>IFERROR(R50+R79+R94,"")</f>
        <v>1407.7999999999997</v>
      </c>
      <c r="S99" s="55">
        <f>IFERROR(S50+S79+S94,"")</f>
        <v>1333.5000000000009</v>
      </c>
      <c r="T99" s="55">
        <f>IFERROR(T50+T79+T94,"")</f>
        <v>1506.8000000000002</v>
      </c>
      <c r="U99" s="55">
        <f>IFERROR(U50+U79+U94,"")</f>
        <v>1709.4999999999995</v>
      </c>
      <c r="V99" s="55">
        <f>IFERROR(V50+V79+V94,"")</f>
        <v>2517.5999999999995</v>
      </c>
      <c r="W99" s="55">
        <f>IFERROR(W50+W79+W94,"")</f>
        <v>2220</v>
      </c>
      <c r="AB99" s="19"/>
      <c r="AC99" s="56" t="str">
        <f>IFERROR(AC50+AC79+AC94,"")</f>
        <v/>
      </c>
      <c r="AD99" s="56" t="str">
        <f>IFERROR(AD50+AD79+AD94,"")</f>
        <v/>
      </c>
      <c r="AE99" s="56" t="str">
        <f>IFERROR(AE50+AE79+AE94,"")</f>
        <v/>
      </c>
      <c r="AF99" s="56" t="str">
        <f>IFERROR(AF50+AF79+AF94,"")</f>
        <v/>
      </c>
      <c r="AG99" s="56" t="str">
        <f>IFERROR(AG50+AG79+AG94,"")</f>
        <v/>
      </c>
      <c r="AH99" s="56">
        <f>IFERROR(AH50+AH79+AH94,"")</f>
        <v>3461.510000000002</v>
      </c>
      <c r="AI99" s="56">
        <f>IFERROR(AI50+AI79+AI94,"")</f>
        <v>4739.1000000000058</v>
      </c>
      <c r="AJ99" s="56">
        <f>IFERROR(AJ50+AJ79+AJ94,"")</f>
        <v>7953.9000000000015</v>
      </c>
      <c r="AK99" s="56">
        <f>IFERROR(AK50+AK79+AK94,"")</f>
        <v>10462.832511963048</v>
      </c>
      <c r="AL99" s="56">
        <f>IFERROR(AL50+AL79+AL94,"")</f>
        <v>13711.869120751831</v>
      </c>
      <c r="AM99" s="56">
        <f>IFERROR(AM50+AM79+AM94,"")</f>
        <v>17969.567442999385</v>
      </c>
      <c r="AN99" s="56">
        <f>IFERROR(AN50+AN79+AN94,"")</f>
        <v>23548.976014965352</v>
      </c>
    </row>
    <row r="100" spans="1:40" hidden="1" outlineLevel="1" x14ac:dyDescent="0.3">
      <c r="A100" s="20" t="s">
        <v>265</v>
      </c>
      <c r="B100" s="17" t="s">
        <v>217</v>
      </c>
      <c r="C100" s="22" t="s">
        <v>215</v>
      </c>
      <c r="D100" s="49" t="str">
        <f>IFERROR(D99/D9,"")</f>
        <v/>
      </c>
      <c r="E100" s="49" t="str">
        <f>IFERROR(E99/E9,"")</f>
        <v/>
      </c>
      <c r="F100" s="49" t="str">
        <f>IFERROR(F99/F9,"")</f>
        <v/>
      </c>
      <c r="G100" s="49" t="str">
        <f>IFERROR(G99/G9,"")</f>
        <v/>
      </c>
      <c r="H100" s="49" t="str">
        <f>IFERROR(H99/H9,"")</f>
        <v/>
      </c>
      <c r="I100" s="49" t="str">
        <f>IFERROR(I99/I9,"")</f>
        <v/>
      </c>
      <c r="J100" s="49" t="str">
        <f>IFERROR(J99/J9,"")</f>
        <v/>
      </c>
      <c r="K100" s="49" t="str">
        <f>IFERROR(K99/K9,"")</f>
        <v/>
      </c>
      <c r="L100" s="49">
        <f>IFERROR(L99/L9,"")</f>
        <v>5.1670248919697508E-2</v>
      </c>
      <c r="M100" s="49" t="str">
        <f>IFERROR(M99/M9,"")</f>
        <v/>
      </c>
      <c r="N100" s="49">
        <f>IFERROR(N99/N9,"")</f>
        <v>5.521808499338661E-2</v>
      </c>
      <c r="O100" s="49">
        <f>IFERROR(O99/O9,"")</f>
        <v>5.5925130996774555E-2</v>
      </c>
      <c r="P100" s="49">
        <f>IFERROR(P99/P9,"")</f>
        <v>5.5048078299763492E-2</v>
      </c>
      <c r="Q100" s="49">
        <f>IFERROR(Q99/Q9,"")</f>
        <v>5.5293000629420649E-2</v>
      </c>
      <c r="R100" s="49">
        <f>IFERROR(R99/R9,"")</f>
        <v>6.2093939246915808E-2</v>
      </c>
      <c r="S100" s="49">
        <f>IFERROR(S99/S9,"")</f>
        <v>6.4677751047648654E-2</v>
      </c>
      <c r="T100" s="49">
        <f>IFERROR(T99/T9,"")</f>
        <v>6.9923060502844636E-2</v>
      </c>
      <c r="U100" s="49">
        <f>IFERROR(U99/U9,"")</f>
        <v>7.2869333924415372E-2</v>
      </c>
      <c r="V100" s="49">
        <f>IFERROR(V99/V9,"")</f>
        <v>8.7621725844511097E-2</v>
      </c>
      <c r="W100" s="49">
        <f>IFERROR(W99/W9,"")</f>
        <v>8.3836858006042292E-2</v>
      </c>
      <c r="AB100" s="19"/>
      <c r="AC100" s="52" t="str">
        <f>IFERROR(AC99/AC9,"")</f>
        <v/>
      </c>
      <c r="AD100" s="52" t="str">
        <f>IFERROR(AD99/AD9,"")</f>
        <v/>
      </c>
      <c r="AE100" s="52" t="str">
        <f>IFERROR(AE99/AE9,"")</f>
        <v/>
      </c>
      <c r="AF100" s="52" t="str">
        <f>IFERROR(AF99/AF9,"")</f>
        <v/>
      </c>
      <c r="AG100" s="52" t="str">
        <f>IFERROR(AG99/AG9,"")</f>
        <v/>
      </c>
      <c r="AH100" s="52">
        <f>IFERROR(AH99/AH9,"")</f>
        <v>5.4207841173285164E-2</v>
      </c>
      <c r="AI100" s="52">
        <f>IFERROR(AI99/AI9,"")</f>
        <v>5.9612670475558009E-2</v>
      </c>
      <c r="AJ100" s="52">
        <f>IFERROR(AJ99/AJ9,"")</f>
        <v>7.9362972926050046E-2</v>
      </c>
      <c r="AK100" s="52">
        <f>IFERROR(AK99/AK9,"")</f>
        <v>7.9413499924253783E-2</v>
      </c>
      <c r="AL100" s="52">
        <f>IFERROR(AL99/AL9,"")</f>
        <v>7.9221825419935277E-2</v>
      </c>
      <c r="AM100" s="52">
        <f>IFERROR(AM99/AM9,"")</f>
        <v>7.9027573155797809E-2</v>
      </c>
      <c r="AN100" s="52">
        <f>IFERROR(AN99/AN9,"")</f>
        <v>7.8830713543073139E-2</v>
      </c>
    </row>
    <row r="101" spans="1:40" hidden="1" outlineLevel="1" x14ac:dyDescent="0.3">
      <c r="A101" s="20" t="s">
        <v>266</v>
      </c>
      <c r="B101" s="17" t="s">
        <v>214</v>
      </c>
      <c r="C101" s="22" t="s">
        <v>267</v>
      </c>
      <c r="D101" s="56">
        <f>'Raw Data - financials'!D15</f>
        <v>194.97</v>
      </c>
      <c r="E101" s="56">
        <f>'Raw Data - financials'!E15</f>
        <v>213.08</v>
      </c>
      <c r="F101" s="56">
        <f>'Raw Data - financials'!F15</f>
        <v>251.24</v>
      </c>
      <c r="G101" s="56">
        <f>'Raw Data - financials'!G15</f>
        <v>304.83999999999997</v>
      </c>
      <c r="H101" s="56">
        <f>'Raw Data - financials'!H15</f>
        <v>310.12</v>
      </c>
      <c r="I101" s="56">
        <f>'Raw Data - financials'!I15</f>
        <v>385.02</v>
      </c>
      <c r="J101" s="56">
        <f>'Raw Data - financials'!J15</f>
        <v>507</v>
      </c>
      <c r="K101" s="56">
        <f>'Raw Data - financials'!K15</f>
        <v>530.41999999999996</v>
      </c>
      <c r="L101" s="56">
        <f>'Raw Data - financials'!L15</f>
        <v>519.20000000000005</v>
      </c>
      <c r="M101" s="56">
        <f>'Raw Data - financials'!M15</f>
        <v>546.36</v>
      </c>
      <c r="N101" s="56">
        <f>'Raw Data - financials'!N15</f>
        <v>580.28</v>
      </c>
      <c r="O101" s="56">
        <f>'Raw Data - financials'!O15</f>
        <v>596.49</v>
      </c>
      <c r="P101" s="56">
        <f>'Raw Data - financials'!P15</f>
        <v>600.6</v>
      </c>
      <c r="Q101" s="56">
        <f>'Raw Data - financials'!Q15</f>
        <v>636.20000000000005</v>
      </c>
      <c r="R101" s="56">
        <f>'Raw Data - financials'!R15</f>
        <v>698.2</v>
      </c>
      <c r="S101" s="56">
        <f>'Raw Data - financials'!S15</f>
        <v>729</v>
      </c>
      <c r="T101" s="56">
        <f>'Raw Data - financials'!T15</f>
        <v>761.4</v>
      </c>
      <c r="U101" s="56">
        <f>'Raw Data - financials'!U15</f>
        <v>790.9</v>
      </c>
      <c r="V101" s="56">
        <f>'Raw Data - financials'!V15</f>
        <v>808.8</v>
      </c>
      <c r="W101" s="56">
        <f>'Raw Data - financials'!W15</f>
        <v>842.2</v>
      </c>
      <c r="AB101" s="19"/>
      <c r="AC101" s="56">
        <f>'Raw Data - financials'!AC15</f>
        <v>308.76</v>
      </c>
      <c r="AD101" s="56">
        <f>'Raw Data - financials'!AD15</f>
        <v>595.09</v>
      </c>
      <c r="AE101" s="56">
        <f>'Raw Data - financials'!AE15</f>
        <v>671.28</v>
      </c>
      <c r="AF101" s="56">
        <f>'Raw Data - financials'!AF15</f>
        <v>964.13</v>
      </c>
      <c r="AG101" s="56">
        <f>'Raw Data - financials'!AG15</f>
        <v>1732.56</v>
      </c>
      <c r="AH101" s="56">
        <f>'Raw Data - financials'!AH15</f>
        <v>2242.33</v>
      </c>
      <c r="AI101" s="56">
        <f>'Raw Data - financials'!AI15</f>
        <v>2664</v>
      </c>
      <c r="AJ101" s="56">
        <f>'Raw Data - financials'!AJ15</f>
        <v>3203.3</v>
      </c>
      <c r="AK101" s="56">
        <f>AK9*AK102</f>
        <v>4216.041865705035</v>
      </c>
      <c r="AL101" s="56">
        <f>AL9*AL102</f>
        <v>5538.6228421043752</v>
      </c>
      <c r="AM101" s="56">
        <f>AM9*AM102</f>
        <v>7276.2725111443451</v>
      </c>
      <c r="AN101" s="56">
        <f>AN9*AN102</f>
        <v>9559.3100532718363</v>
      </c>
    </row>
    <row r="102" spans="1:40" hidden="1" outlineLevel="1" x14ac:dyDescent="0.3">
      <c r="A102" s="20" t="s">
        <v>268</v>
      </c>
      <c r="B102" s="17" t="s">
        <v>217</v>
      </c>
      <c r="C102" s="48" t="s">
        <v>238</v>
      </c>
      <c r="D102" s="49" t="str">
        <f>IFERROR(D101/D9,"")</f>
        <v/>
      </c>
      <c r="E102" s="49" t="str">
        <f>IFERROR(E101/E9,"")</f>
        <v/>
      </c>
      <c r="F102" s="49" t="str">
        <f>IFERROR(F101/F9,"")</f>
        <v/>
      </c>
      <c r="G102" s="49" t="str">
        <f>IFERROR(G101/G9,"")</f>
        <v/>
      </c>
      <c r="H102" s="49" t="str">
        <f>IFERROR(H101/H9,"")</f>
        <v/>
      </c>
      <c r="I102" s="49" t="str">
        <f>IFERROR(I101/I9,"")</f>
        <v/>
      </c>
      <c r="J102" s="49" t="str">
        <f>IFERROR(J101/J9,"")</f>
        <v/>
      </c>
      <c r="K102" s="49" t="str">
        <f>IFERROR(K101/K9,"")</f>
        <v/>
      </c>
      <c r="L102" s="49">
        <f>IFERROR(L101/L9,"")</f>
        <v>3.6516474612891613E-2</v>
      </c>
      <c r="M102" s="49" t="str">
        <f>IFERROR(M101/M9,"")</f>
        <v/>
      </c>
      <c r="N102" s="49">
        <f>IFERROR(N101/N9,"")</f>
        <v>3.2439660598904962E-2</v>
      </c>
      <c r="O102" s="49">
        <f>IFERROR(O101/O9,"")</f>
        <v>3.5761220158515093E-2</v>
      </c>
      <c r="P102" s="49">
        <f>IFERROR(P101/P9,"")</f>
        <v>3.4396458413272935E-2</v>
      </c>
      <c r="Q102" s="49">
        <f>IFERROR(Q101/Q9,"")</f>
        <v>3.3935372371635533E-2</v>
      </c>
      <c r="R102" s="49">
        <f>IFERROR(R101/R9,"")</f>
        <v>3.0795559299756092E-2</v>
      </c>
      <c r="S102" s="49">
        <f>IFERROR(S101/S9,"")</f>
        <v>3.5358140617724666E-2</v>
      </c>
      <c r="T102" s="49">
        <f>IFERROR(T101/T9,"")</f>
        <v>3.5332770285947633E-2</v>
      </c>
      <c r="U102" s="49">
        <f>IFERROR(U101/U9,"")</f>
        <v>3.3712989880561643E-2</v>
      </c>
      <c r="V102" s="49">
        <f>IFERROR(V101/V9,"")</f>
        <v>2.8149210304671348E-2</v>
      </c>
      <c r="W102" s="49">
        <f>IFERROR(W101/W9,"")</f>
        <v>3.180513595166163E-2</v>
      </c>
      <c r="AB102" s="19"/>
      <c r="AC102" s="52" t="str">
        <f>IFERROR(AC101/AC9,"")</f>
        <v/>
      </c>
      <c r="AD102" s="52" t="str">
        <f>IFERROR(AD101/AD9,"")</f>
        <v/>
      </c>
      <c r="AE102" s="52" t="str">
        <f>IFERROR(AE101/AE9,"")</f>
        <v/>
      </c>
      <c r="AF102" s="52" t="str">
        <f>IFERROR(AF101/AF9,"")</f>
        <v/>
      </c>
      <c r="AG102" s="52" t="str">
        <f>IFERROR(AG101/AG9,"")</f>
        <v/>
      </c>
      <c r="AH102" s="52">
        <f>IFERROR(AH101/AH9,"")</f>
        <v>3.5115272958359915E-2</v>
      </c>
      <c r="AI102" s="52">
        <f>IFERROR(AI101/AI9,"")</f>
        <v>3.3510192683607935E-2</v>
      </c>
      <c r="AJ102" s="52">
        <f>IFERROR(AJ101/AJ9,"")</f>
        <v>3.1962108044357618E-2</v>
      </c>
      <c r="AK102" s="50">
        <v>3.2000000000000001E-2</v>
      </c>
      <c r="AL102" s="50">
        <v>3.2000000000000001E-2</v>
      </c>
      <c r="AM102" s="50">
        <v>3.2000000000000001E-2</v>
      </c>
      <c r="AN102" s="50">
        <v>3.2000000000000001E-2</v>
      </c>
    </row>
    <row r="103" spans="1:40" hidden="1" outlineLevel="1" x14ac:dyDescent="0.3">
      <c r="A103" s="20" t="s">
        <v>269</v>
      </c>
      <c r="B103" s="17" t="s">
        <v>214</v>
      </c>
      <c r="C103" s="22" t="s">
        <v>215</v>
      </c>
      <c r="D103" s="55" t="str">
        <f t="shared" ref="D103:W103" si="71">IFERROR(D99-D101,"")</f>
        <v/>
      </c>
      <c r="E103" s="55" t="str">
        <f t="shared" si="71"/>
        <v/>
      </c>
      <c r="F103" s="55" t="str">
        <f t="shared" si="71"/>
        <v/>
      </c>
      <c r="G103" s="55" t="str">
        <f t="shared" si="71"/>
        <v/>
      </c>
      <c r="H103" s="55" t="str">
        <f t="shared" si="71"/>
        <v/>
      </c>
      <c r="I103" s="55" t="str">
        <f t="shared" si="71"/>
        <v/>
      </c>
      <c r="J103" s="55" t="str">
        <f t="shared" si="71"/>
        <v/>
      </c>
      <c r="K103" s="55" t="str">
        <f t="shared" si="71"/>
        <v/>
      </c>
      <c r="L103" s="55">
        <f t="shared" si="71"/>
        <v>215.45999999999981</v>
      </c>
      <c r="M103" s="55" t="str">
        <f t="shared" si="71"/>
        <v/>
      </c>
      <c r="N103" s="55">
        <f t="shared" si="71"/>
        <v>407.45999999999981</v>
      </c>
      <c r="O103" s="55">
        <f t="shared" si="71"/>
        <v>336.33000000000015</v>
      </c>
      <c r="P103" s="55">
        <f t="shared" si="71"/>
        <v>360.60000000000025</v>
      </c>
      <c r="Q103" s="55">
        <f t="shared" si="71"/>
        <v>400.40000000000077</v>
      </c>
      <c r="R103" s="55">
        <f t="shared" si="71"/>
        <v>709.59999999999968</v>
      </c>
      <c r="S103" s="55">
        <f t="shared" si="71"/>
        <v>604.50000000000091</v>
      </c>
      <c r="T103" s="55">
        <f t="shared" si="71"/>
        <v>745.4000000000002</v>
      </c>
      <c r="U103" s="55">
        <f t="shared" si="71"/>
        <v>918.59999999999957</v>
      </c>
      <c r="V103" s="55">
        <f t="shared" si="71"/>
        <v>1708.7999999999995</v>
      </c>
      <c r="W103" s="55">
        <f t="shared" si="71"/>
        <v>1377.8</v>
      </c>
      <c r="AB103" s="19"/>
      <c r="AC103" s="56" t="str">
        <f t="shared" ref="AC103:AN103" si="72">IFERROR(AC99-AC101,"")</f>
        <v/>
      </c>
      <c r="AD103" s="56" t="str">
        <f t="shared" si="72"/>
        <v/>
      </c>
      <c r="AE103" s="56" t="str">
        <f t="shared" si="72"/>
        <v/>
      </c>
      <c r="AF103" s="56" t="str">
        <f t="shared" si="72"/>
        <v/>
      </c>
      <c r="AG103" s="56" t="str">
        <f t="shared" si="72"/>
        <v/>
      </c>
      <c r="AH103" s="56">
        <f t="shared" si="72"/>
        <v>1219.1800000000021</v>
      </c>
      <c r="AI103" s="56">
        <f t="shared" si="72"/>
        <v>2075.1000000000058</v>
      </c>
      <c r="AJ103" s="56">
        <f t="shared" si="72"/>
        <v>4750.6000000000013</v>
      </c>
      <c r="AK103" s="56">
        <f t="shared" si="72"/>
        <v>6246.7906462580131</v>
      </c>
      <c r="AL103" s="56">
        <f t="shared" si="72"/>
        <v>8173.2462786474562</v>
      </c>
      <c r="AM103" s="56">
        <f t="shared" si="72"/>
        <v>10693.29493185504</v>
      </c>
      <c r="AN103" s="56">
        <f t="shared" si="72"/>
        <v>13989.665961693516</v>
      </c>
    </row>
    <row r="104" spans="1:40" hidden="1" outlineLevel="1" x14ac:dyDescent="0.3">
      <c r="A104" s="20" t="s">
        <v>47</v>
      </c>
      <c r="B104" s="17" t="s">
        <v>214</v>
      </c>
      <c r="C104" s="22" t="s">
        <v>267</v>
      </c>
      <c r="D104" s="56">
        <f>'Raw Data - financials'!D14</f>
        <v>90.14</v>
      </c>
      <c r="E104" s="56">
        <f>'Raw Data - financials'!E14</f>
        <v>113.49</v>
      </c>
      <c r="F104" s="56">
        <f>'Raw Data - financials'!F14</f>
        <v>127.9</v>
      </c>
      <c r="G104" s="56">
        <f>'Raw Data - financials'!G14</f>
        <v>133.58000000000001</v>
      </c>
      <c r="H104" s="56">
        <f>'Raw Data - financials'!H14</f>
        <v>150.63</v>
      </c>
      <c r="I104" s="56">
        <f>'Raw Data - financials'!I14</f>
        <v>203.56</v>
      </c>
      <c r="J104" s="56">
        <f>'Raw Data - financials'!J14</f>
        <v>204.25</v>
      </c>
      <c r="K104" s="56">
        <f>'Raw Data - financials'!K14</f>
        <v>187.61</v>
      </c>
      <c r="L104" s="56">
        <f>'Raw Data - financials'!L14</f>
        <v>185.48</v>
      </c>
      <c r="M104" s="56">
        <f>'Raw Data - financials'!M14</f>
        <v>213.09</v>
      </c>
      <c r="N104" s="56">
        <f>'Raw Data - financials'!N14</f>
        <v>218.41</v>
      </c>
      <c r="O104" s="56">
        <f>'Raw Data - financials'!O14</f>
        <v>211.34</v>
      </c>
      <c r="P104" s="56">
        <f>'Raw Data - financials'!P14</f>
        <v>213.1</v>
      </c>
      <c r="Q104" s="56">
        <f>'Raw Data - financials'!Q14</f>
        <v>242.3</v>
      </c>
      <c r="R104" s="56">
        <f>'Raw Data - financials'!R14</f>
        <v>319.3</v>
      </c>
      <c r="S104" s="56">
        <f>'Raw Data - financials'!S14</f>
        <v>298.5</v>
      </c>
      <c r="T104" s="56">
        <f>'Raw Data - financials'!T14</f>
        <v>301.60000000000002</v>
      </c>
      <c r="U104" s="56">
        <f>'Raw Data - financials'!U14</f>
        <v>314.7</v>
      </c>
      <c r="V104" s="56">
        <f>'Raw Data - financials'!V14</f>
        <v>291.60000000000002</v>
      </c>
      <c r="W104" s="56">
        <f>'Raw Data - financials'!W14</f>
        <v>263.3</v>
      </c>
      <c r="AB104" s="19"/>
      <c r="AC104" s="56">
        <f>'Raw Data - financials'!AC14</f>
        <v>263.42</v>
      </c>
      <c r="AD104" s="56">
        <f>'Raw Data - financials'!AD14</f>
        <v>442.93</v>
      </c>
      <c r="AE104" s="56">
        <f>'Raw Data - financials'!AE14</f>
        <v>307.01</v>
      </c>
      <c r="AF104" s="56">
        <f>'Raw Data - financials'!AF14</f>
        <v>465.11</v>
      </c>
      <c r="AG104" s="56">
        <f>'Raw Data - financials'!AG14</f>
        <v>746.05</v>
      </c>
      <c r="AH104" s="56">
        <f>'Raw Data - financials'!AH14</f>
        <v>828.32</v>
      </c>
      <c r="AI104" s="56">
        <f>'Raw Data - financials'!AI14</f>
        <v>1073.2</v>
      </c>
      <c r="AJ104" s="56">
        <f>'Raw Data - financials'!AJ14</f>
        <v>1171.2</v>
      </c>
      <c r="AK104" s="56">
        <f>AK9*AK105</f>
        <v>1541.4903071484034</v>
      </c>
      <c r="AL104" s="56">
        <f>AL9*AL105</f>
        <v>2025.0589766444123</v>
      </c>
      <c r="AM104" s="56">
        <f>AM9*AM105</f>
        <v>2660.387136887151</v>
      </c>
      <c r="AN104" s="56">
        <f>AN9*AN105</f>
        <v>3495.1227382275151</v>
      </c>
    </row>
    <row r="105" spans="1:40" hidden="1" outlineLevel="1" x14ac:dyDescent="0.3">
      <c r="A105" s="20" t="s">
        <v>270</v>
      </c>
      <c r="B105" s="17" t="s">
        <v>217</v>
      </c>
      <c r="C105" s="48" t="s">
        <v>238</v>
      </c>
      <c r="D105" s="49" t="str">
        <f>IFERROR(D104/D9,"")</f>
        <v/>
      </c>
      <c r="E105" s="49" t="str">
        <f>IFERROR(E104/E9,"")</f>
        <v/>
      </c>
      <c r="F105" s="49" t="str">
        <f>IFERROR(F104/F9,"")</f>
        <v/>
      </c>
      <c r="G105" s="49" t="str">
        <f>IFERROR(G104/G9,"")</f>
        <v/>
      </c>
      <c r="H105" s="49" t="str">
        <f>IFERROR(H104/H9,"")</f>
        <v/>
      </c>
      <c r="I105" s="49" t="str">
        <f>IFERROR(I104/I9,"")</f>
        <v/>
      </c>
      <c r="J105" s="49" t="str">
        <f>IFERROR(J104/J9,"")</f>
        <v/>
      </c>
      <c r="K105" s="49" t="str">
        <f>IFERROR(K104/K9,"")</f>
        <v/>
      </c>
      <c r="L105" s="49">
        <f>IFERROR(L104/L9,"")</f>
        <v>1.3045215160244868E-2</v>
      </c>
      <c r="M105" s="49" t="str">
        <f>IFERROR(M104/M9,"")</f>
        <v/>
      </c>
      <c r="N105" s="49">
        <f>IFERROR(N104/N9,"")</f>
        <v>1.2209875011040934E-2</v>
      </c>
      <c r="O105" s="49">
        <f>IFERROR(O104/O9,"")</f>
        <v>1.2670415712418615E-2</v>
      </c>
      <c r="P105" s="49">
        <f>IFERROR(P104/P9,"")</f>
        <v>1.2204271208572199E-2</v>
      </c>
      <c r="Q105" s="49">
        <f>IFERROR(Q104/Q9,"")</f>
        <v>1.2924458858295016E-2</v>
      </c>
      <c r="R105" s="49">
        <f>IFERROR(R104/R9,"")</f>
        <v>1.4083388834735205E-2</v>
      </c>
      <c r="S105" s="49">
        <f>IFERROR(S104/S9,"")</f>
        <v>1.4477921775570387E-2</v>
      </c>
      <c r="T105" s="49">
        <f>IFERROR(T104/T9,"")</f>
        <v>1.3995749301604686E-2</v>
      </c>
      <c r="U105" s="49">
        <f>IFERROR(U104/U9,"")</f>
        <v>1.3414436610712793E-2</v>
      </c>
      <c r="V105" s="49">
        <f>IFERROR(V104/V9,"")</f>
        <v>1.0148750896194568E-2</v>
      </c>
      <c r="W105" s="49">
        <f>IFERROR(W104/W9,"")</f>
        <v>9.9433534743202413E-3</v>
      </c>
      <c r="AB105" s="19"/>
      <c r="AC105" s="52" t="str">
        <f>IFERROR(AC104/AC9,"")</f>
        <v/>
      </c>
      <c r="AD105" s="52" t="str">
        <f>IFERROR(AD104/AD9,"")</f>
        <v/>
      </c>
      <c r="AE105" s="52" t="str">
        <f>IFERROR(AE104/AE9,"")</f>
        <v/>
      </c>
      <c r="AF105" s="52" t="str">
        <f>IFERROR(AF104/AF9,"")</f>
        <v/>
      </c>
      <c r="AG105" s="52" t="str">
        <f>IFERROR(AG104/AG9,"")</f>
        <v/>
      </c>
      <c r="AH105" s="52">
        <f>IFERROR(AH104/AH9,"")</f>
        <v>1.2971633478064643E-2</v>
      </c>
      <c r="AI105" s="52">
        <f>IFERROR(AI104/AI9,"")</f>
        <v>1.3499676722240252E-2</v>
      </c>
      <c r="AJ105" s="52">
        <f>IFERROR(AJ104/AJ9,"")</f>
        <v>1.1686080273952376E-2</v>
      </c>
      <c r="AK105" s="50">
        <v>1.17E-2</v>
      </c>
      <c r="AL105" s="50">
        <v>1.17E-2</v>
      </c>
      <c r="AM105" s="50">
        <v>1.17E-2</v>
      </c>
      <c r="AN105" s="50">
        <v>1.17E-2</v>
      </c>
    </row>
    <row r="106" spans="1:40" hidden="1" outlineLevel="1" x14ac:dyDescent="0.3">
      <c r="A106" s="20" t="s">
        <v>40</v>
      </c>
      <c r="B106" s="17" t="s">
        <v>214</v>
      </c>
      <c r="C106" s="22" t="s">
        <v>267</v>
      </c>
      <c r="D106" s="56">
        <f>'Raw Data - financials'!D6</f>
        <v>47.22</v>
      </c>
      <c r="E106" s="56">
        <f>'Raw Data - financials'!E6</f>
        <v>51.98</v>
      </c>
      <c r="F106" s="56">
        <f>'Raw Data - financials'!F6</f>
        <v>59.13</v>
      </c>
      <c r="G106" s="56">
        <f>'Raw Data - financials'!G6</f>
        <v>111.39</v>
      </c>
      <c r="H106" s="56">
        <f>'Raw Data - financials'!H6</f>
        <v>83.63</v>
      </c>
      <c r="I106" s="56">
        <f>'Raw Data - financials'!I6</f>
        <v>64.760000000000005</v>
      </c>
      <c r="J106" s="56">
        <f>'Raw Data - financials'!J6</f>
        <v>56.36</v>
      </c>
      <c r="K106" s="56">
        <f>'Raw Data - financials'!K6</f>
        <v>97.38</v>
      </c>
      <c r="L106" s="56">
        <f>'Raw Data - financials'!L6</f>
        <v>67.209999999999994</v>
      </c>
      <c r="M106" s="56">
        <f>'Raw Data - financials'!M6</f>
        <v>85.73</v>
      </c>
      <c r="N106" s="56">
        <f>'Raw Data - financials'!N6</f>
        <v>75.84</v>
      </c>
      <c r="O106" s="56">
        <f>'Raw Data - financials'!O6</f>
        <v>70.63</v>
      </c>
      <c r="P106" s="56">
        <f>'Raw Data - financials'!P6</f>
        <v>73.3</v>
      </c>
      <c r="Q106" s="56">
        <f>'Raw Data - financials'!Q6</f>
        <v>54.5</v>
      </c>
      <c r="R106" s="56">
        <f>'Raw Data - financials'!R6</f>
        <v>55.3</v>
      </c>
      <c r="S106" s="56">
        <f>'Raw Data - financials'!S6</f>
        <v>89.5</v>
      </c>
      <c r="T106" s="56">
        <f>'Raw Data - financials'!T6</f>
        <v>93.3</v>
      </c>
      <c r="U106" s="56">
        <f>'Raw Data - financials'!U6</f>
        <v>80.3</v>
      </c>
      <c r="V106" s="56">
        <f>'Raw Data - financials'!V6</f>
        <v>62.6</v>
      </c>
      <c r="W106" s="56">
        <f>'Raw Data - financials'!W6</f>
        <v>91.5</v>
      </c>
      <c r="AB106" s="19"/>
      <c r="AC106" s="56">
        <f>'Raw Data - financials'!AC6</f>
        <v>49.88</v>
      </c>
      <c r="AD106" s="56">
        <f>'Raw Data - financials'!AD6</f>
        <v>103.17</v>
      </c>
      <c r="AE106" s="56">
        <f>'Raw Data - financials'!AE6</f>
        <v>117.41</v>
      </c>
      <c r="AF106" s="56">
        <f>'Raw Data - financials'!AF6</f>
        <v>269.72000000000003</v>
      </c>
      <c r="AG106" s="56">
        <f>'Raw Data - financials'!AG6</f>
        <v>302.13</v>
      </c>
      <c r="AH106" s="56">
        <f>'Raw Data - financials'!AH6</f>
        <v>299.42</v>
      </c>
      <c r="AI106" s="56">
        <f>'Raw Data - financials'!AI6</f>
        <v>272.60000000000002</v>
      </c>
      <c r="AJ106" s="56">
        <f>'Raw Data - financials'!AJ6</f>
        <v>327.7</v>
      </c>
      <c r="AK106" s="56">
        <f>AK9*AK107</f>
        <v>434.7793174008317</v>
      </c>
      <c r="AL106" s="56">
        <f>AL9*AL107</f>
        <v>571.17048059201375</v>
      </c>
      <c r="AM106" s="56">
        <f>AM9*AM107</f>
        <v>750.36560271176052</v>
      </c>
      <c r="AN106" s="56">
        <f>AN9*AN107</f>
        <v>985.80384924365808</v>
      </c>
    </row>
    <row r="107" spans="1:40" hidden="1" outlineLevel="1" x14ac:dyDescent="0.3">
      <c r="A107" s="20" t="s">
        <v>271</v>
      </c>
      <c r="B107" s="17" t="s">
        <v>217</v>
      </c>
      <c r="C107" s="48" t="s">
        <v>238</v>
      </c>
      <c r="D107" s="49" t="str">
        <f>IFERROR(D106/D9,"")</f>
        <v/>
      </c>
      <c r="E107" s="49" t="str">
        <f>IFERROR(E106/E9,"")</f>
        <v/>
      </c>
      <c r="F107" s="49" t="str">
        <f>IFERROR(F106/F9,"")</f>
        <v/>
      </c>
      <c r="G107" s="49" t="str">
        <f>IFERROR(G106/G9,"")</f>
        <v/>
      </c>
      <c r="H107" s="49" t="str">
        <f>IFERROR(H106/H9,"")</f>
        <v/>
      </c>
      <c r="I107" s="49" t="str">
        <f>IFERROR(I106/I9,"")</f>
        <v/>
      </c>
      <c r="J107" s="49" t="str">
        <f>IFERROR(J106/J9,"")</f>
        <v/>
      </c>
      <c r="K107" s="49" t="str">
        <f>IFERROR(K106/K9,"")</f>
        <v/>
      </c>
      <c r="L107" s="49">
        <f>IFERROR(L106/L9,"")</f>
        <v>4.7270266924738921E-3</v>
      </c>
      <c r="M107" s="49" t="str">
        <f>IFERROR(M106/M9,"")</f>
        <v/>
      </c>
      <c r="N107" s="49">
        <f>IFERROR(N106/N9,"")</f>
        <v>4.2397185148910057E-3</v>
      </c>
      <c r="O107" s="49">
        <f>IFERROR(O106/O9,"")</f>
        <v>4.2344632429645443E-3</v>
      </c>
      <c r="P107" s="49">
        <f>IFERROR(P106/P9,"")</f>
        <v>4.1979027667214553E-3</v>
      </c>
      <c r="Q107" s="49">
        <f>IFERROR(Q106/Q9,"")</f>
        <v>2.9070697803428741E-3</v>
      </c>
      <c r="R107" s="49">
        <f>IFERROR(R106/R9,"")</f>
        <v>2.4391212106509765E-3</v>
      </c>
      <c r="S107" s="49">
        <f>IFERROR(S106/S9,"")</f>
        <v>4.3409514201458946E-3</v>
      </c>
      <c r="T107" s="49">
        <f>IFERROR(T106/T9,"")</f>
        <v>4.3295869026515818E-3</v>
      </c>
      <c r="U107" s="49">
        <f>IFERROR(U106/U9,"")</f>
        <v>3.4228765803630038E-3</v>
      </c>
      <c r="V107" s="49">
        <f>IFERROR(V106/V9,"")</f>
        <v>2.1787098974683809E-3</v>
      </c>
      <c r="W107" s="49">
        <f>IFERROR(W106/W9,"")</f>
        <v>3.4554380664652568E-3</v>
      </c>
      <c r="AB107" s="19"/>
      <c r="AC107" s="52" t="str">
        <f>IFERROR(AC106/AC9,"")</f>
        <v/>
      </c>
      <c r="AD107" s="52" t="str">
        <f>IFERROR(AD106/AD9,"")</f>
        <v/>
      </c>
      <c r="AE107" s="52" t="str">
        <f>IFERROR(AE106/AE9,"")</f>
        <v/>
      </c>
      <c r="AF107" s="52" t="str">
        <f>IFERROR(AF106/AF9,"")</f>
        <v/>
      </c>
      <c r="AG107" s="52" t="str">
        <f>IFERROR(AG106/AG9,"")</f>
        <v/>
      </c>
      <c r="AH107" s="52">
        <f>IFERROR(AH106/AH9,"")</f>
        <v>4.6889686304835273E-3</v>
      </c>
      <c r="AI107" s="52">
        <f>IFERROR(AI106/AI9,"")</f>
        <v>3.4290084555373586E-3</v>
      </c>
      <c r="AJ107" s="52">
        <f>IFERROR(AJ106/AJ9,"")</f>
        <v>3.2697476996022823E-3</v>
      </c>
      <c r="AK107" s="50">
        <v>3.3E-3</v>
      </c>
      <c r="AL107" s="50">
        <v>3.3E-3</v>
      </c>
      <c r="AM107" s="50">
        <v>3.3E-3</v>
      </c>
      <c r="AN107" s="50">
        <v>3.3E-3</v>
      </c>
    </row>
    <row r="108" spans="1:40" hidden="1" outlineLevel="1" x14ac:dyDescent="0.3">
      <c r="A108" s="20" t="s">
        <v>53</v>
      </c>
      <c r="B108" s="17" t="s">
        <v>214</v>
      </c>
      <c r="C108" s="22" t="s">
        <v>215</v>
      </c>
      <c r="D108" s="55" t="str">
        <f t="shared" ref="D108:W108" si="73">IFERROR(D103-D104+D106,"")</f>
        <v/>
      </c>
      <c r="E108" s="55" t="str">
        <f t="shared" si="73"/>
        <v/>
      </c>
      <c r="F108" s="55" t="str">
        <f t="shared" si="73"/>
        <v/>
      </c>
      <c r="G108" s="55" t="str">
        <f t="shared" si="73"/>
        <v/>
      </c>
      <c r="H108" s="55" t="str">
        <f t="shared" si="73"/>
        <v/>
      </c>
      <c r="I108" s="55" t="str">
        <f t="shared" si="73"/>
        <v/>
      </c>
      <c r="J108" s="55" t="str">
        <f t="shared" si="73"/>
        <v/>
      </c>
      <c r="K108" s="55" t="str">
        <f t="shared" si="73"/>
        <v/>
      </c>
      <c r="L108" s="55">
        <f t="shared" si="73"/>
        <v>97.189999999999813</v>
      </c>
      <c r="M108" s="55" t="str">
        <f t="shared" si="73"/>
        <v/>
      </c>
      <c r="N108" s="55">
        <f t="shared" si="73"/>
        <v>264.88999999999982</v>
      </c>
      <c r="O108" s="55">
        <f t="shared" si="73"/>
        <v>195.62000000000015</v>
      </c>
      <c r="P108" s="55">
        <f t="shared" si="73"/>
        <v>220.80000000000024</v>
      </c>
      <c r="Q108" s="55">
        <f t="shared" si="73"/>
        <v>212.60000000000076</v>
      </c>
      <c r="R108" s="55">
        <f t="shared" si="73"/>
        <v>445.59999999999968</v>
      </c>
      <c r="S108" s="55">
        <f t="shared" si="73"/>
        <v>395.50000000000091</v>
      </c>
      <c r="T108" s="55">
        <f t="shared" si="73"/>
        <v>537.10000000000014</v>
      </c>
      <c r="U108" s="55">
        <f t="shared" si="73"/>
        <v>684.19999999999959</v>
      </c>
      <c r="V108" s="55">
        <f t="shared" si="73"/>
        <v>1479.7999999999993</v>
      </c>
      <c r="W108" s="55">
        <f t="shared" si="73"/>
        <v>1206</v>
      </c>
      <c r="AB108" s="19"/>
      <c r="AC108" s="56" t="str">
        <f t="shared" ref="AC108:AN108" si="74">IFERROR(AC103-AC104+AC106,"")</f>
        <v/>
      </c>
      <c r="AD108" s="56" t="str">
        <f t="shared" si="74"/>
        <v/>
      </c>
      <c r="AE108" s="56" t="str">
        <f t="shared" si="74"/>
        <v/>
      </c>
      <c r="AF108" s="56" t="str">
        <f t="shared" si="74"/>
        <v/>
      </c>
      <c r="AG108" s="56" t="str">
        <f t="shared" si="74"/>
        <v/>
      </c>
      <c r="AH108" s="56">
        <f t="shared" si="74"/>
        <v>690.28000000000202</v>
      </c>
      <c r="AI108" s="56">
        <f t="shared" si="74"/>
        <v>1274.5000000000059</v>
      </c>
      <c r="AJ108" s="56">
        <f t="shared" si="74"/>
        <v>3907.1000000000013</v>
      </c>
      <c r="AK108" s="56">
        <f t="shared" si="74"/>
        <v>5140.079656510442</v>
      </c>
      <c r="AL108" s="56">
        <f t="shared" si="74"/>
        <v>6719.357782595057</v>
      </c>
      <c r="AM108" s="56">
        <f t="shared" si="74"/>
        <v>8783.2733976796499</v>
      </c>
      <c r="AN108" s="56">
        <f t="shared" si="74"/>
        <v>11480.347072709657</v>
      </c>
    </row>
    <row r="109" spans="1:40" hidden="1" outlineLevel="1" x14ac:dyDescent="0.3">
      <c r="A109" s="20" t="s">
        <v>54</v>
      </c>
      <c r="B109" s="17" t="s">
        <v>214</v>
      </c>
      <c r="C109" s="22" t="s">
        <v>267</v>
      </c>
      <c r="D109" s="56">
        <f>'Raw Data - financials'!D28</f>
        <v>-3.7300000000000182</v>
      </c>
      <c r="E109" s="56">
        <f>'Raw Data - financials'!E28</f>
        <v>1.9300000000000002</v>
      </c>
      <c r="F109" s="56">
        <f>'Raw Data - financials'!F28</f>
        <v>79.61</v>
      </c>
      <c r="G109" s="56">
        <f>'Raw Data - financials'!G28</f>
        <v>-17.629999999999988</v>
      </c>
      <c r="H109" s="56">
        <f>'Raw Data - financials'!H28</f>
        <v>26.53</v>
      </c>
      <c r="I109" s="56">
        <f>'Raw Data - financials'!I28</f>
        <v>31</v>
      </c>
      <c r="J109" s="56">
        <f>'Raw Data - financials'!J28</f>
        <v>34.670000000000016</v>
      </c>
      <c r="K109" s="56">
        <f>'Raw Data - financials'!K28</f>
        <v>43.539999999999992</v>
      </c>
      <c r="L109" s="56">
        <f>'Raw Data - financials'!L28</f>
        <v>32.629999999999995</v>
      </c>
      <c r="M109" s="56">
        <f>'Raw Data - financials'!M28</f>
        <v>39.680000000000007</v>
      </c>
      <c r="N109" s="56">
        <f>'Raw Data - financials'!N28</f>
        <v>82.550000000000011</v>
      </c>
      <c r="O109" s="56">
        <f>'Raw Data - financials'!O28</f>
        <v>98.249999999999972</v>
      </c>
      <c r="P109" s="56">
        <f>'Raw Data - financials'!P28</f>
        <v>78.400000000000034</v>
      </c>
      <c r="Q109" s="56">
        <f>'Raw Data - financials'!Q28</f>
        <v>78.199999999999989</v>
      </c>
      <c r="R109" s="56">
        <f>'Raw Data - financials'!R28</f>
        <v>175.89999999999998</v>
      </c>
      <c r="S109" s="56">
        <f>'Raw Data - financials'!S28</f>
        <v>205</v>
      </c>
      <c r="T109" s="56">
        <f>'Raw Data - financials'!T28</f>
        <v>192.4</v>
      </c>
      <c r="U109" s="56">
        <f>'Raw Data - financials'!U28</f>
        <v>224</v>
      </c>
      <c r="V109" s="56">
        <f>'Raw Data - financials'!V28</f>
        <v>418.79999999999995</v>
      </c>
      <c r="W109" s="56">
        <f>'Raw Data - financials'!W28</f>
        <v>427.70000000000005</v>
      </c>
      <c r="AB109" s="19"/>
      <c r="AC109" s="56">
        <f>'Raw Data - financials'!AC28</f>
        <v>-71.81</v>
      </c>
      <c r="AD109" s="56">
        <f>'Raw Data - financials'!AD28</f>
        <v>39.099999999999994</v>
      </c>
      <c r="AE109" s="56">
        <f>'Raw Data - financials'!AE28</f>
        <v>133.92999999999995</v>
      </c>
      <c r="AF109" s="56">
        <f>'Raw Data - financials'!AF28</f>
        <v>60.179999999999971</v>
      </c>
      <c r="AG109" s="56">
        <f>'Raw Data - financials'!AG28</f>
        <v>135.74</v>
      </c>
      <c r="AH109" s="56">
        <f>'Raw Data - financials'!AH28</f>
        <v>253.1099999999999</v>
      </c>
      <c r="AI109" s="56">
        <f>'Raw Data - financials'!AI28</f>
        <v>537.5</v>
      </c>
      <c r="AJ109" s="56">
        <f>'Raw Data - financials'!AJ28</f>
        <v>1262.9000000000001</v>
      </c>
      <c r="AK109" s="56">
        <f>MAX(AK108,0)*AK110</f>
        <v>1965.5664606495932</v>
      </c>
      <c r="AL109" s="56">
        <f>MAX(AL108,0)*AL110</f>
        <v>2569.4824160643498</v>
      </c>
      <c r="AM109" s="56">
        <f>MAX(AM108,0)*AM110</f>
        <v>3358.7237472726983</v>
      </c>
      <c r="AN109" s="56">
        <f>MAX(AN108,0)*AN110</f>
        <v>4390.0847206041735</v>
      </c>
    </row>
    <row r="110" spans="1:40" hidden="1" outlineLevel="1" x14ac:dyDescent="0.3">
      <c r="A110" s="20" t="s">
        <v>272</v>
      </c>
      <c r="B110" s="17" t="s">
        <v>217</v>
      </c>
      <c r="C110" s="48" t="s">
        <v>238</v>
      </c>
      <c r="D110" s="49" t="str">
        <f t="shared" ref="D110:W110" si="75">IFERROR(D109/D108,"")</f>
        <v/>
      </c>
      <c r="E110" s="49" t="str">
        <f t="shared" si="75"/>
        <v/>
      </c>
      <c r="F110" s="49" t="str">
        <f t="shared" si="75"/>
        <v/>
      </c>
      <c r="G110" s="49" t="str">
        <f t="shared" si="75"/>
        <v/>
      </c>
      <c r="H110" s="49" t="str">
        <f t="shared" si="75"/>
        <v/>
      </c>
      <c r="I110" s="49" t="str">
        <f t="shared" si="75"/>
        <v/>
      </c>
      <c r="J110" s="49" t="str">
        <f t="shared" si="75"/>
        <v/>
      </c>
      <c r="K110" s="49" t="str">
        <f t="shared" si="75"/>
        <v/>
      </c>
      <c r="L110" s="49">
        <f t="shared" si="75"/>
        <v>0.3357341290256205</v>
      </c>
      <c r="M110" s="49" t="str">
        <f t="shared" si="75"/>
        <v/>
      </c>
      <c r="N110" s="49">
        <f t="shared" si="75"/>
        <v>0.31163879346143708</v>
      </c>
      <c r="O110" s="49">
        <f t="shared" si="75"/>
        <v>0.50224925876699666</v>
      </c>
      <c r="P110" s="49">
        <f t="shared" si="75"/>
        <v>0.35507246376811569</v>
      </c>
      <c r="Q110" s="49">
        <f t="shared" si="75"/>
        <v>0.3678269049858876</v>
      </c>
      <c r="R110" s="49">
        <f t="shared" si="75"/>
        <v>0.39474865350089788</v>
      </c>
      <c r="S110" s="49">
        <f t="shared" si="75"/>
        <v>0.51833122629582684</v>
      </c>
      <c r="T110" s="49">
        <f t="shared" si="75"/>
        <v>0.35822007075032575</v>
      </c>
      <c r="U110" s="49">
        <f t="shared" si="75"/>
        <v>0.3273896521484948</v>
      </c>
      <c r="V110" s="49">
        <f t="shared" si="75"/>
        <v>0.28301121773212606</v>
      </c>
      <c r="W110" s="49">
        <f t="shared" si="75"/>
        <v>0.35464344941956888</v>
      </c>
      <c r="AB110" s="19"/>
      <c r="AC110" s="52" t="str">
        <f t="shared" ref="AC110:AJ110" si="76">IFERROR(AC109/AC108,"")</f>
        <v/>
      </c>
      <c r="AD110" s="52" t="str">
        <f t="shared" si="76"/>
        <v/>
      </c>
      <c r="AE110" s="52" t="str">
        <f t="shared" si="76"/>
        <v/>
      </c>
      <c r="AF110" s="52" t="str">
        <f t="shared" si="76"/>
        <v/>
      </c>
      <c r="AG110" s="52" t="str">
        <f t="shared" si="76"/>
        <v/>
      </c>
      <c r="AH110" s="52">
        <f t="shared" si="76"/>
        <v>0.36667729037491908</v>
      </c>
      <c r="AI110" s="52">
        <f t="shared" si="76"/>
        <v>0.4217340133385622</v>
      </c>
      <c r="AJ110" s="52">
        <f t="shared" si="76"/>
        <v>0.32323206470272059</v>
      </c>
      <c r="AK110" s="50">
        <v>0.38240000000000002</v>
      </c>
      <c r="AL110" s="50">
        <v>0.38240000000000002</v>
      </c>
      <c r="AM110" s="50">
        <v>0.38240000000000002</v>
      </c>
      <c r="AN110" s="50">
        <v>0.38240000000000002</v>
      </c>
    </row>
    <row r="111" spans="1:40" hidden="1" outlineLevel="1" x14ac:dyDescent="0.3">
      <c r="A111" s="20" t="s">
        <v>225</v>
      </c>
      <c r="B111" s="17" t="s">
        <v>214</v>
      </c>
      <c r="C111" s="22" t="s">
        <v>215</v>
      </c>
      <c r="D111" s="55" t="str">
        <f t="shared" ref="D111:W111" si="77">IFERROR(D108-D109,"")</f>
        <v/>
      </c>
      <c r="E111" s="55" t="str">
        <f t="shared" si="77"/>
        <v/>
      </c>
      <c r="F111" s="55" t="str">
        <f t="shared" si="77"/>
        <v/>
      </c>
      <c r="G111" s="55" t="str">
        <f t="shared" si="77"/>
        <v/>
      </c>
      <c r="H111" s="55" t="str">
        <f t="shared" si="77"/>
        <v/>
      </c>
      <c r="I111" s="55" t="str">
        <f t="shared" si="77"/>
        <v/>
      </c>
      <c r="J111" s="55" t="str">
        <f t="shared" si="77"/>
        <v/>
      </c>
      <c r="K111" s="55" t="str">
        <f t="shared" si="77"/>
        <v/>
      </c>
      <c r="L111" s="55">
        <f t="shared" si="77"/>
        <v>64.559999999999818</v>
      </c>
      <c r="M111" s="55" t="str">
        <f t="shared" si="77"/>
        <v/>
      </c>
      <c r="N111" s="55">
        <f t="shared" si="77"/>
        <v>182.3399999999998</v>
      </c>
      <c r="O111" s="55">
        <f t="shared" si="77"/>
        <v>97.370000000000175</v>
      </c>
      <c r="P111" s="55">
        <f t="shared" si="77"/>
        <v>142.4000000000002</v>
      </c>
      <c r="Q111" s="55">
        <f t="shared" si="77"/>
        <v>134.40000000000077</v>
      </c>
      <c r="R111" s="55">
        <f t="shared" si="77"/>
        <v>269.6999999999997</v>
      </c>
      <c r="S111" s="55">
        <f t="shared" si="77"/>
        <v>190.50000000000091</v>
      </c>
      <c r="T111" s="55">
        <f t="shared" si="77"/>
        <v>344.70000000000016</v>
      </c>
      <c r="U111" s="55">
        <f t="shared" si="77"/>
        <v>460.19999999999959</v>
      </c>
      <c r="V111" s="55">
        <f t="shared" si="77"/>
        <v>1060.9999999999993</v>
      </c>
      <c r="W111" s="55">
        <f t="shared" si="77"/>
        <v>778.3</v>
      </c>
      <c r="AB111" s="19"/>
      <c r="AC111" s="56" t="str">
        <f t="shared" ref="AC111:AN111" si="78">IFERROR(AC108-AC109,"")</f>
        <v/>
      </c>
      <c r="AD111" s="56" t="str">
        <f t="shared" si="78"/>
        <v/>
      </c>
      <c r="AE111" s="56" t="str">
        <f t="shared" si="78"/>
        <v/>
      </c>
      <c r="AF111" s="56" t="str">
        <f t="shared" si="78"/>
        <v/>
      </c>
      <c r="AG111" s="56" t="str">
        <f t="shared" si="78"/>
        <v/>
      </c>
      <c r="AH111" s="56">
        <f t="shared" si="78"/>
        <v>437.17000000000212</v>
      </c>
      <c r="AI111" s="56">
        <f t="shared" si="78"/>
        <v>737.00000000000591</v>
      </c>
      <c r="AJ111" s="56">
        <f t="shared" si="78"/>
        <v>2644.2000000000012</v>
      </c>
      <c r="AK111" s="56">
        <f t="shared" si="78"/>
        <v>3174.513195860849</v>
      </c>
      <c r="AL111" s="56">
        <f t="shared" si="78"/>
        <v>4149.8753665307067</v>
      </c>
      <c r="AM111" s="56">
        <f t="shared" si="78"/>
        <v>5424.5496504069515</v>
      </c>
      <c r="AN111" s="56">
        <f t="shared" si="78"/>
        <v>7090.2623521054838</v>
      </c>
    </row>
    <row r="112" spans="1:40" hidden="1" outlineLevel="1" x14ac:dyDescent="0.3">
      <c r="A112" s="20" t="s">
        <v>226</v>
      </c>
      <c r="B112" s="17" t="s">
        <v>217</v>
      </c>
      <c r="C112" s="22" t="s">
        <v>215</v>
      </c>
      <c r="D112" s="49" t="str">
        <f>IFERROR(D111/D9,"")</f>
        <v/>
      </c>
      <c r="E112" s="49" t="str">
        <f>IFERROR(E111/E9,"")</f>
        <v/>
      </c>
      <c r="F112" s="49" t="str">
        <f>IFERROR(F111/F9,"")</f>
        <v/>
      </c>
      <c r="G112" s="49" t="str">
        <f>IFERROR(G111/G9,"")</f>
        <v/>
      </c>
      <c r="H112" s="49" t="str">
        <f>IFERROR(H111/H9,"")</f>
        <v/>
      </c>
      <c r="I112" s="49" t="str">
        <f>IFERROR(I111/I9,"")</f>
        <v/>
      </c>
      <c r="J112" s="49" t="str">
        <f>IFERROR(J111/J9,"")</f>
        <v/>
      </c>
      <c r="K112" s="49" t="str">
        <f>IFERROR(K111/K9,"")</f>
        <v/>
      </c>
      <c r="L112" s="49">
        <f>IFERROR(L111/L9,"")</f>
        <v>4.5406463809866638E-3</v>
      </c>
      <c r="M112" s="49" t="str">
        <f>IFERROR(M111/M9,"")</f>
        <v/>
      </c>
      <c r="N112" s="49">
        <f>IFERROR(N111/N9,"")</f>
        <v>1.0193437157241891E-2</v>
      </c>
      <c r="O112" s="49">
        <f>IFERROR(O111/O9,"")</f>
        <v>5.8375999712226871E-3</v>
      </c>
      <c r="P112" s="49">
        <f>IFERROR(P111/P9,"")</f>
        <v>8.1552708592242309E-3</v>
      </c>
      <c r="Q112" s="49">
        <f>IFERROR(Q111/Q9,"")</f>
        <v>7.1689941005153119E-3</v>
      </c>
      <c r="R112" s="49">
        <f>IFERROR(R111/R9,"")</f>
        <v>1.1895677947786032E-2</v>
      </c>
      <c r="S112" s="49">
        <f>IFERROR(S111/S9,"")</f>
        <v>9.2396787210927041E-3</v>
      </c>
      <c r="T112" s="49">
        <f>IFERROR(T111/T9,"")</f>
        <v>1.5995804987609871E-2</v>
      </c>
      <c r="U112" s="49">
        <f>IFERROR(U111/U9,"")</f>
        <v>1.9616535520336899E-2</v>
      </c>
      <c r="V112" s="49">
        <f>IFERROR(V111/V9,"")</f>
        <v>3.6926696505015184E-2</v>
      </c>
      <c r="W112" s="49">
        <f>IFERROR(W111/W9,"")</f>
        <v>2.9391993957703925E-2</v>
      </c>
      <c r="AB112" s="19"/>
      <c r="AC112" s="52" t="str">
        <f>IFERROR(AC111/AC9,"")</f>
        <v/>
      </c>
      <c r="AD112" s="52" t="str">
        <f>IFERROR(AD111/AD9,"")</f>
        <v/>
      </c>
      <c r="AE112" s="52" t="str">
        <f>IFERROR(AE111/AE9,"")</f>
        <v/>
      </c>
      <c r="AF112" s="52" t="str">
        <f>IFERROR(AF111/AF9,"")</f>
        <v/>
      </c>
      <c r="AG112" s="52" t="str">
        <f>IFERROR(AG111/AG9,"")</f>
        <v/>
      </c>
      <c r="AH112" s="52">
        <f>IFERROR(AH111/AH9,"")</f>
        <v>6.8461572913916689E-3</v>
      </c>
      <c r="AI112" s="52">
        <f>IFERROR(AI111/AI9,"")</f>
        <v>9.2706501530853015E-3</v>
      </c>
      <c r="AJ112" s="52">
        <f>IFERROR(AJ111/AJ9,"")</f>
        <v>2.6383481438170153E-2</v>
      </c>
      <c r="AK112" s="52">
        <f>IFERROR(AK111/AK9,"")</f>
        <v>2.4094737553219135E-2</v>
      </c>
      <c r="AL112" s="52">
        <f>IFERROR(AL111/AL9,"")</f>
        <v>2.3976359379352025E-2</v>
      </c>
      <c r="AM112" s="52">
        <f>IFERROR(AM111/AM9,"")</f>
        <v>2.3856389181020725E-2</v>
      </c>
      <c r="AN112" s="52">
        <f>IFERROR(AN111/AN9,"")</f>
        <v>2.3734808684201962E-2</v>
      </c>
    </row>
    <row r="113" spans="1:40" hidden="1" outlineLevel="1" x14ac:dyDescent="0.3">
      <c r="A113" s="20" t="s">
        <v>227</v>
      </c>
      <c r="B113" s="17" t="s">
        <v>228</v>
      </c>
      <c r="C113" s="22" t="s">
        <v>267</v>
      </c>
      <c r="D113" s="13">
        <f>'Raw Data - financials'!D42</f>
        <v>7.0000000000000007E-2</v>
      </c>
      <c r="E113" s="13">
        <f>'Raw Data - financials'!E42</f>
        <v>0.03</v>
      </c>
      <c r="F113" s="13">
        <f>'Raw Data - financials'!F42</f>
        <v>0.6</v>
      </c>
      <c r="G113" s="13">
        <f>'Raw Data - financials'!G42</f>
        <v>0.18</v>
      </c>
      <c r="H113" s="13">
        <f>'Raw Data - financials'!H42</f>
        <v>0</v>
      </c>
      <c r="I113" s="13">
        <f>'Raw Data - financials'!I42</f>
        <v>0.01</v>
      </c>
      <c r="J113" s="13">
        <f>'Raw Data - financials'!J42</f>
        <v>0.03</v>
      </c>
      <c r="K113" s="13">
        <f>'Raw Data - financials'!K42</f>
        <v>0.01</v>
      </c>
      <c r="L113" s="13">
        <f>'Raw Data - financials'!L42</f>
        <v>0.02</v>
      </c>
      <c r="M113" s="13">
        <f>'Raw Data - financials'!M42</f>
        <v>0.02</v>
      </c>
      <c r="N113" s="13">
        <f>'Raw Data - financials'!N42</f>
        <v>0.06</v>
      </c>
      <c r="O113" s="13">
        <f>'Raw Data - financials'!O42</f>
        <v>0.02</v>
      </c>
      <c r="P113" s="13">
        <f>'Raw Data - financials'!P42</f>
        <v>0.03</v>
      </c>
      <c r="Q113" s="13">
        <f>'Raw Data - financials'!Q42</f>
        <v>0.04</v>
      </c>
      <c r="R113" s="13">
        <f>'Raw Data - financials'!R42</f>
        <v>0.09</v>
      </c>
      <c r="S113" s="13">
        <f>'Raw Data - financials'!S42</f>
        <v>7.0000000000000007E-2</v>
      </c>
      <c r="T113" s="13">
        <f>'Raw Data - financials'!T42</f>
        <v>0.08</v>
      </c>
      <c r="U113" s="13">
        <f>'Raw Data - financials'!U42</f>
        <v>0.12</v>
      </c>
      <c r="V113" s="13">
        <f>'Raw Data - financials'!V42</f>
        <v>0.22</v>
      </c>
      <c r="W113" s="13">
        <f>'Raw Data - financials'!W42</f>
        <v>0.27</v>
      </c>
      <c r="AB113" s="19"/>
      <c r="AC113" s="13">
        <f>'Raw Data - financials'!AC42</f>
        <v>-17.7</v>
      </c>
      <c r="AD113" s="13">
        <f>'Raw Data - financials'!AD42</f>
        <v>-11.63</v>
      </c>
      <c r="AE113" s="13">
        <f>'Raw Data - financials'!AE42</f>
        <v>40.07</v>
      </c>
      <c r="AF113" s="13">
        <f>'Raw Data - financials'!AF42</f>
        <v>0.87</v>
      </c>
      <c r="AG113" s="13">
        <f>'Raw Data - financials'!AG42</f>
        <v>7.0000000000000007E-2</v>
      </c>
      <c r="AH113" s="13">
        <f>'Raw Data - financials'!AH42</f>
        <v>0.11</v>
      </c>
      <c r="AI113" s="13">
        <f>'Raw Data - financials'!AI42</f>
        <v>0.23</v>
      </c>
      <c r="AJ113" s="13">
        <f>'Raw Data - financials'!AJ42</f>
        <v>0.7</v>
      </c>
      <c r="AK113" s="13">
        <f>IFERROR(AK111/AK114,"")</f>
        <v>1.114255246002404</v>
      </c>
      <c r="AL113" s="13">
        <f>IFERROR(AL111/AL114,"")</f>
        <v>1.4566077102599884</v>
      </c>
      <c r="AM113" s="13">
        <f>IFERROR(AM111/AM114,"")</f>
        <v>1.9040188313116713</v>
      </c>
      <c r="AN113" s="13">
        <f>IFERROR(AN111/AN114,"")</f>
        <v>2.488684574273599</v>
      </c>
    </row>
    <row r="114" spans="1:40" hidden="1" outlineLevel="1" x14ac:dyDescent="0.3">
      <c r="A114" s="20" t="s">
        <v>273</v>
      </c>
      <c r="B114" s="17" t="s">
        <v>274</v>
      </c>
      <c r="C114" s="48" t="s">
        <v>238</v>
      </c>
      <c r="D114" s="57" t="str">
        <f t="shared" ref="D114:W114" si="79">IFERROR(D111/D113,"")</f>
        <v/>
      </c>
      <c r="E114" s="57" t="str">
        <f t="shared" si="79"/>
        <v/>
      </c>
      <c r="F114" s="57" t="str">
        <f t="shared" si="79"/>
        <v/>
      </c>
      <c r="G114" s="57" t="str">
        <f t="shared" si="79"/>
        <v/>
      </c>
      <c r="H114" s="57" t="str">
        <f t="shared" si="79"/>
        <v/>
      </c>
      <c r="I114" s="57" t="str">
        <f t="shared" si="79"/>
        <v/>
      </c>
      <c r="J114" s="57" t="str">
        <f t="shared" si="79"/>
        <v/>
      </c>
      <c r="K114" s="57" t="str">
        <f t="shared" si="79"/>
        <v/>
      </c>
      <c r="L114" s="57">
        <f t="shared" si="79"/>
        <v>3227.9999999999909</v>
      </c>
      <c r="M114" s="57" t="str">
        <f t="shared" si="79"/>
        <v/>
      </c>
      <c r="N114" s="57">
        <f t="shared" si="79"/>
        <v>3038.9999999999968</v>
      </c>
      <c r="O114" s="57">
        <f t="shared" si="79"/>
        <v>4868.5000000000091</v>
      </c>
      <c r="P114" s="57">
        <f t="shared" si="79"/>
        <v>4746.6666666666733</v>
      </c>
      <c r="Q114" s="57">
        <f t="shared" si="79"/>
        <v>3360.0000000000191</v>
      </c>
      <c r="R114" s="57">
        <f t="shared" si="79"/>
        <v>2996.6666666666633</v>
      </c>
      <c r="S114" s="57">
        <f t="shared" si="79"/>
        <v>2721.4285714285843</v>
      </c>
      <c r="T114" s="57">
        <f t="shared" si="79"/>
        <v>4308.7500000000018</v>
      </c>
      <c r="U114" s="57">
        <f t="shared" si="79"/>
        <v>3834.9999999999968</v>
      </c>
      <c r="V114" s="57">
        <f t="shared" si="79"/>
        <v>4822.7272727272693</v>
      </c>
      <c r="W114" s="57">
        <f t="shared" si="79"/>
        <v>2882.5925925925922</v>
      </c>
      <c r="AB114" s="19"/>
      <c r="AC114" s="58" t="str">
        <f t="shared" ref="AC114:AJ114" si="80">IFERROR(AC111/AC113,"")</f>
        <v/>
      </c>
      <c r="AD114" s="58" t="str">
        <f t="shared" si="80"/>
        <v/>
      </c>
      <c r="AE114" s="58" t="str">
        <f t="shared" si="80"/>
        <v/>
      </c>
      <c r="AF114" s="58" t="str">
        <f t="shared" si="80"/>
        <v/>
      </c>
      <c r="AG114" s="58" t="str">
        <f t="shared" si="80"/>
        <v/>
      </c>
      <c r="AH114" s="58">
        <f t="shared" si="80"/>
        <v>3974.2727272727466</v>
      </c>
      <c r="AI114" s="58">
        <f t="shared" si="80"/>
        <v>3204.347826086982</v>
      </c>
      <c r="AJ114" s="58">
        <f t="shared" si="80"/>
        <v>3777.4285714285734</v>
      </c>
      <c r="AK114" s="51">
        <v>2849</v>
      </c>
      <c r="AL114" s="51">
        <v>2849</v>
      </c>
      <c r="AM114" s="51">
        <v>2849</v>
      </c>
      <c r="AN114" s="51">
        <v>2849</v>
      </c>
    </row>
    <row r="115" spans="1:40" x14ac:dyDescent="0.3">
      <c r="AB115" s="19"/>
    </row>
    <row r="116" spans="1:40" collapsed="1" x14ac:dyDescent="0.3">
      <c r="A116" s="5" t="s">
        <v>275</v>
      </c>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44"/>
      <c r="AC116" s="5"/>
      <c r="AD116" s="5"/>
      <c r="AE116" s="5"/>
      <c r="AF116" s="5"/>
      <c r="AG116" s="5"/>
      <c r="AH116" s="5"/>
      <c r="AI116" s="5"/>
      <c r="AJ116" s="5"/>
      <c r="AK116" s="5"/>
      <c r="AL116" s="5"/>
      <c r="AM116" s="5"/>
      <c r="AN116" s="5"/>
    </row>
    <row r="117" spans="1:40" hidden="1" outlineLevel="1" x14ac:dyDescent="0.3">
      <c r="A117" s="17" t="s">
        <v>276</v>
      </c>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45"/>
      <c r="AC117" s="17"/>
      <c r="AD117" s="17"/>
      <c r="AE117" s="17"/>
      <c r="AF117" s="17"/>
      <c r="AG117" s="17"/>
      <c r="AH117" s="17"/>
      <c r="AI117" s="17"/>
      <c r="AJ117" s="17"/>
      <c r="AK117" s="17"/>
      <c r="AL117" s="17"/>
      <c r="AM117" s="17"/>
      <c r="AN117" s="17"/>
    </row>
    <row r="118" spans="1:40" hidden="1" outlineLevel="1" x14ac:dyDescent="0.3">
      <c r="A118" s="20" t="s">
        <v>38</v>
      </c>
      <c r="B118" s="17" t="s">
        <v>214</v>
      </c>
      <c r="C118" s="22" t="s">
        <v>215</v>
      </c>
      <c r="D118" s="55" t="str">
        <f>IF(D9="","",D9)</f>
        <v/>
      </c>
      <c r="E118" s="55" t="str">
        <f>IF(E9="","",E9)</f>
        <v/>
      </c>
      <c r="F118" s="55" t="str">
        <f>IF(F9="","",F9)</f>
        <v/>
      </c>
      <c r="G118" s="55" t="str">
        <f>IF(G9="","",G9)</f>
        <v/>
      </c>
      <c r="H118" s="55" t="str">
        <f>IF(H9="","",H9)</f>
        <v/>
      </c>
      <c r="I118" s="55" t="str">
        <f>IF(I9="","",I9)</f>
        <v/>
      </c>
      <c r="J118" s="55" t="str">
        <f>IF(J9="","",J9)</f>
        <v/>
      </c>
      <c r="K118" s="55" t="str">
        <f>IF(K9="","",K9)</f>
        <v/>
      </c>
      <c r="L118" s="55">
        <f>IF(L9="","",L9)</f>
        <v>14218.24</v>
      </c>
      <c r="M118" s="55" t="str">
        <f>IF(M9="","",M9)</f>
        <v/>
      </c>
      <c r="N118" s="55">
        <f>IF(N9="","",N9)</f>
        <v>17887.98</v>
      </c>
      <c r="O118" s="55">
        <f>IF(O9="","",O9)</f>
        <v>16679.8</v>
      </c>
      <c r="P118" s="55">
        <f>IF(P9="","",P9)</f>
        <v>17461.099999999999</v>
      </c>
      <c r="Q118" s="55">
        <f>IF(Q9="","",Q9)</f>
        <v>18747.400000000001</v>
      </c>
      <c r="R118" s="55">
        <f>IF(R9="","",R9)</f>
        <v>22672.1</v>
      </c>
      <c r="S118" s="55">
        <f>IF(S9="","",S9)</f>
        <v>20617.599999999999</v>
      </c>
      <c r="T118" s="55">
        <f>IF(T9="","",T9)</f>
        <v>21549.4</v>
      </c>
      <c r="U118" s="55">
        <f>IF(U9="","",U9)</f>
        <v>23459.8</v>
      </c>
      <c r="V118" s="55">
        <f>IF(V9="","",V9)</f>
        <v>28732.6</v>
      </c>
      <c r="W118" s="55">
        <f>IF(W9="","",W9)</f>
        <v>26480</v>
      </c>
      <c r="AB118" s="19"/>
      <c r="AC118" s="56">
        <f>IF(AC9="","",AC9)</f>
        <v>0</v>
      </c>
      <c r="AD118" s="56">
        <f>IF(AD9="","",AD9)</f>
        <v>0</v>
      </c>
      <c r="AE118" s="56">
        <f>IF(AE9="","",AE9)</f>
        <v>0</v>
      </c>
      <c r="AF118" s="56" t="str">
        <f>IF(AF9="","",AF9)</f>
        <v/>
      </c>
      <c r="AG118" s="56" t="str">
        <f>IF(AG9="","",AG9)</f>
        <v/>
      </c>
      <c r="AH118" s="56">
        <f>IF(AH9="","",AH9)</f>
        <v>63856.259999999995</v>
      </c>
      <c r="AI118" s="56">
        <f>IF(AI9="","",AI9)</f>
        <v>79498.2</v>
      </c>
      <c r="AJ118" s="56">
        <f>IF(AJ9="","",AJ9)</f>
        <v>100221.79999999999</v>
      </c>
      <c r="AK118" s="56">
        <f>IF(AK9="","",AK9)</f>
        <v>131751.30830328233</v>
      </c>
      <c r="AL118" s="56">
        <f>IF(AL9="","",AL9)</f>
        <v>173081.96381576173</v>
      </c>
      <c r="AM118" s="56">
        <f>IF(AM9="","",AM9)</f>
        <v>227383.51597326077</v>
      </c>
      <c r="AN118" s="56">
        <f>IF(AN9="","",AN9)</f>
        <v>298728.43916474486</v>
      </c>
    </row>
    <row r="119" spans="1:40" hidden="1" outlineLevel="1" x14ac:dyDescent="0.3">
      <c r="A119" s="20" t="s">
        <v>40</v>
      </c>
      <c r="B119" s="17" t="s">
        <v>214</v>
      </c>
      <c r="C119" s="22" t="s">
        <v>215</v>
      </c>
      <c r="D119" s="55">
        <f t="shared" ref="D119:W119" si="81">IF(D106="","",D106)</f>
        <v>47.22</v>
      </c>
      <c r="E119" s="55">
        <f t="shared" si="81"/>
        <v>51.98</v>
      </c>
      <c r="F119" s="55">
        <f t="shared" si="81"/>
        <v>59.13</v>
      </c>
      <c r="G119" s="55">
        <f t="shared" si="81"/>
        <v>111.39</v>
      </c>
      <c r="H119" s="55">
        <f t="shared" si="81"/>
        <v>83.63</v>
      </c>
      <c r="I119" s="55">
        <f t="shared" si="81"/>
        <v>64.760000000000005</v>
      </c>
      <c r="J119" s="55">
        <f t="shared" si="81"/>
        <v>56.36</v>
      </c>
      <c r="K119" s="55">
        <f t="shared" si="81"/>
        <v>97.38</v>
      </c>
      <c r="L119" s="55">
        <f t="shared" si="81"/>
        <v>67.209999999999994</v>
      </c>
      <c r="M119" s="55">
        <f t="shared" si="81"/>
        <v>85.73</v>
      </c>
      <c r="N119" s="55">
        <f t="shared" si="81"/>
        <v>75.84</v>
      </c>
      <c r="O119" s="55">
        <f t="shared" si="81"/>
        <v>70.63</v>
      </c>
      <c r="P119" s="55">
        <f t="shared" si="81"/>
        <v>73.3</v>
      </c>
      <c r="Q119" s="55">
        <f t="shared" si="81"/>
        <v>54.5</v>
      </c>
      <c r="R119" s="55">
        <f t="shared" si="81"/>
        <v>55.3</v>
      </c>
      <c r="S119" s="55">
        <f t="shared" si="81"/>
        <v>89.5</v>
      </c>
      <c r="T119" s="55">
        <f t="shared" si="81"/>
        <v>93.3</v>
      </c>
      <c r="U119" s="55">
        <f t="shared" si="81"/>
        <v>80.3</v>
      </c>
      <c r="V119" s="55">
        <f t="shared" si="81"/>
        <v>62.6</v>
      </c>
      <c r="W119" s="55">
        <f t="shared" si="81"/>
        <v>91.5</v>
      </c>
      <c r="AB119" s="19"/>
      <c r="AC119" s="56">
        <f t="shared" ref="AC119:AN119" si="82">IF(AC106="","",AC106)</f>
        <v>49.88</v>
      </c>
      <c r="AD119" s="56">
        <f t="shared" si="82"/>
        <v>103.17</v>
      </c>
      <c r="AE119" s="56">
        <f t="shared" si="82"/>
        <v>117.41</v>
      </c>
      <c r="AF119" s="56">
        <f t="shared" si="82"/>
        <v>269.72000000000003</v>
      </c>
      <c r="AG119" s="56">
        <f t="shared" si="82"/>
        <v>302.13</v>
      </c>
      <c r="AH119" s="56">
        <f t="shared" si="82"/>
        <v>299.42</v>
      </c>
      <c r="AI119" s="56">
        <f t="shared" si="82"/>
        <v>272.60000000000002</v>
      </c>
      <c r="AJ119" s="56">
        <f t="shared" si="82"/>
        <v>327.7</v>
      </c>
      <c r="AK119" s="56">
        <f t="shared" si="82"/>
        <v>434.7793174008317</v>
      </c>
      <c r="AL119" s="56">
        <f t="shared" si="82"/>
        <v>571.17048059201375</v>
      </c>
      <c r="AM119" s="56">
        <f t="shared" si="82"/>
        <v>750.36560271176052</v>
      </c>
      <c r="AN119" s="56">
        <f t="shared" si="82"/>
        <v>985.80384924365808</v>
      </c>
    </row>
    <row r="120" spans="1:40" hidden="1" outlineLevel="1" x14ac:dyDescent="0.3">
      <c r="A120" s="20" t="s">
        <v>41</v>
      </c>
      <c r="B120" s="17" t="s">
        <v>214</v>
      </c>
      <c r="C120" s="22" t="s">
        <v>215</v>
      </c>
      <c r="D120" s="55" t="str">
        <f t="shared" ref="D120:W120" si="83">IFERROR(D118+D119,"")</f>
        <v/>
      </c>
      <c r="E120" s="55" t="str">
        <f t="shared" si="83"/>
        <v/>
      </c>
      <c r="F120" s="55" t="str">
        <f t="shared" si="83"/>
        <v/>
      </c>
      <c r="G120" s="55" t="str">
        <f t="shared" si="83"/>
        <v/>
      </c>
      <c r="H120" s="55" t="str">
        <f t="shared" si="83"/>
        <v/>
      </c>
      <c r="I120" s="55" t="str">
        <f t="shared" si="83"/>
        <v/>
      </c>
      <c r="J120" s="55" t="str">
        <f t="shared" si="83"/>
        <v/>
      </c>
      <c r="K120" s="55" t="str">
        <f t="shared" si="83"/>
        <v/>
      </c>
      <c r="L120" s="55">
        <f t="shared" si="83"/>
        <v>14285.449999999999</v>
      </c>
      <c r="M120" s="55" t="str">
        <f t="shared" si="83"/>
        <v/>
      </c>
      <c r="N120" s="55">
        <f t="shared" si="83"/>
        <v>17963.82</v>
      </c>
      <c r="O120" s="55">
        <f t="shared" si="83"/>
        <v>16750.43</v>
      </c>
      <c r="P120" s="55">
        <f t="shared" si="83"/>
        <v>17534.399999999998</v>
      </c>
      <c r="Q120" s="55">
        <f t="shared" si="83"/>
        <v>18801.900000000001</v>
      </c>
      <c r="R120" s="55">
        <f t="shared" si="83"/>
        <v>22727.399999999998</v>
      </c>
      <c r="S120" s="55">
        <f t="shared" si="83"/>
        <v>20707.099999999999</v>
      </c>
      <c r="T120" s="55">
        <f t="shared" si="83"/>
        <v>21642.7</v>
      </c>
      <c r="U120" s="55">
        <f t="shared" si="83"/>
        <v>23540.1</v>
      </c>
      <c r="V120" s="55">
        <f t="shared" si="83"/>
        <v>28795.199999999997</v>
      </c>
      <c r="W120" s="55">
        <f t="shared" si="83"/>
        <v>26571.5</v>
      </c>
      <c r="AB120" s="19"/>
      <c r="AC120" s="56">
        <f t="shared" ref="AC120:AN120" si="84">IFERROR(AC118+AC119,"")</f>
        <v>49.88</v>
      </c>
      <c r="AD120" s="56">
        <f t="shared" si="84"/>
        <v>103.17</v>
      </c>
      <c r="AE120" s="56">
        <f t="shared" si="84"/>
        <v>117.41</v>
      </c>
      <c r="AF120" s="56" t="str">
        <f t="shared" si="84"/>
        <v/>
      </c>
      <c r="AG120" s="56" t="str">
        <f t="shared" si="84"/>
        <v/>
      </c>
      <c r="AH120" s="56">
        <f t="shared" si="84"/>
        <v>64155.679999999993</v>
      </c>
      <c r="AI120" s="56">
        <f t="shared" si="84"/>
        <v>79770.8</v>
      </c>
      <c r="AJ120" s="56">
        <f t="shared" si="84"/>
        <v>100549.49999999999</v>
      </c>
      <c r="AK120" s="56">
        <f t="shared" si="84"/>
        <v>132186.08762068316</v>
      </c>
      <c r="AL120" s="56">
        <f t="shared" si="84"/>
        <v>173653.13429635373</v>
      </c>
      <c r="AM120" s="56">
        <f t="shared" si="84"/>
        <v>228133.88157597254</v>
      </c>
      <c r="AN120" s="56">
        <f t="shared" si="84"/>
        <v>299714.24301398854</v>
      </c>
    </row>
    <row r="121" spans="1:40" hidden="1" outlineLevel="1" x14ac:dyDescent="0.3">
      <c r="A121" s="9" t="s">
        <v>42</v>
      </c>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46"/>
      <c r="AC121" s="9"/>
      <c r="AD121" s="9"/>
      <c r="AE121" s="9"/>
      <c r="AF121" s="9"/>
      <c r="AG121" s="9"/>
      <c r="AH121" s="9"/>
      <c r="AI121" s="9"/>
      <c r="AJ121" s="9"/>
      <c r="AK121" s="9"/>
      <c r="AL121" s="9"/>
      <c r="AM121" s="9"/>
      <c r="AN121" s="9"/>
    </row>
    <row r="122" spans="1:40" hidden="1" outlineLevel="1" x14ac:dyDescent="0.3">
      <c r="A122" s="20" t="s">
        <v>277</v>
      </c>
      <c r="B122" s="17" t="s">
        <v>214</v>
      </c>
      <c r="C122" s="22" t="s">
        <v>215</v>
      </c>
      <c r="D122" s="55">
        <f>IF(COUNT('Raw Data - financials'!D10,'Raw Data - financials'!D11,'Raw Data - financials'!D12)=0,"",SUM('Raw Data - financials'!D10,'Raw Data - financials'!D11,'Raw Data - financials'!D12))</f>
        <v>4853.32</v>
      </c>
      <c r="E122" s="55">
        <f>IF(COUNT('Raw Data - financials'!E10,'Raw Data - financials'!E11,'Raw Data - financials'!E12)=0,"",SUM('Raw Data - financials'!E10,'Raw Data - financials'!E11,'Raw Data - financials'!E12))</f>
        <v>5070.2199999999993</v>
      </c>
      <c r="F122" s="55">
        <f>IF(COUNT('Raw Data - financials'!F10,'Raw Data - financials'!F11,'Raw Data - financials'!F12)=0,"",SUM('Raw Data - financials'!F10,'Raw Data - financials'!F11,'Raw Data - financials'!F12))</f>
        <v>5896.02</v>
      </c>
      <c r="G122" s="55">
        <f>IF(COUNT('Raw Data - financials'!G10,'Raw Data - financials'!G11,'Raw Data - financials'!G12)=0,"",SUM('Raw Data - financials'!G10,'Raw Data - financials'!G11,'Raw Data - financials'!G12))</f>
        <v>5480.59</v>
      </c>
      <c r="H122" s="55">
        <f>IF(COUNT('Raw Data - financials'!H10,'Raw Data - financials'!H11,'Raw Data - financials'!H12)=0,"",SUM('Raw Data - financials'!H10,'Raw Data - financials'!H11,'Raw Data - financials'!H12))</f>
        <v>6385.42</v>
      </c>
      <c r="I122" s="55">
        <f>IF(COUNT('Raw Data - financials'!I10,'Raw Data - financials'!I11,'Raw Data - financials'!I12)=0,"",SUM('Raw Data - financials'!I10,'Raw Data - financials'!I11,'Raw Data - financials'!I12))</f>
        <v>6730.9100000000008</v>
      </c>
      <c r="J122" s="55">
        <f>IF(COUNT('Raw Data - financials'!J10,'Raw Data - financials'!J11,'Raw Data - financials'!J12)=0,"",SUM('Raw Data - financials'!J10,'Raw Data - financials'!J11,'Raw Data - financials'!J12))</f>
        <v>8281.56</v>
      </c>
      <c r="K122" s="55">
        <f>IF(COUNT('Raw Data - financials'!K10,'Raw Data - financials'!K11,'Raw Data - financials'!K12)=0,"",SUM('Raw Data - financials'!K10,'Raw Data - financials'!K11,'Raw Data - financials'!K12))</f>
        <v>7258.9199999999992</v>
      </c>
      <c r="L122" s="55">
        <f>IF(COUNT('Raw Data - financials'!L10,'Raw Data - financials'!L11,'Raw Data - financials'!L12)=0,"",SUM('Raw Data - financials'!L10,'Raw Data - financials'!L11,'Raw Data - financials'!L12))</f>
        <v>8031.99</v>
      </c>
      <c r="M122" s="55">
        <f>IF(COUNT('Raw Data - financials'!M10,'Raw Data - financials'!M11,'Raw Data - financials'!M12)=0,"",SUM('Raw Data - financials'!M10,'Raw Data - financials'!M11,'Raw Data - financials'!M12))</f>
        <v>8574</v>
      </c>
      <c r="N122" s="55">
        <f>IF(COUNT('Raw Data - financials'!N10,'Raw Data - financials'!N11,'Raw Data - financials'!N12)=0,"",SUM('Raw Data - financials'!N10,'Raw Data - financials'!N11,'Raw Data - financials'!N12))</f>
        <v>10280.5</v>
      </c>
      <c r="O122" s="55">
        <f>IF(COUNT('Raw Data - financials'!O10,'Raw Data - financials'!O11,'Raw Data - financials'!O12)=0,"",SUM('Raw Data - financials'!O10,'Raw Data - financials'!O11,'Raw Data - financials'!O12))</f>
        <v>9577.3700000000008</v>
      </c>
      <c r="P122" s="55">
        <f>IF(COUNT('Raw Data - financials'!P10,'Raw Data - financials'!P11,'Raw Data - financials'!P12)=0,"",SUM('Raw Data - financials'!P10,'Raw Data - financials'!P11,'Raw Data - financials'!P12))</f>
        <v>9901.2999999999993</v>
      </c>
      <c r="Q122" s="55">
        <f>IF(COUNT('Raw Data - financials'!Q10,'Raw Data - financials'!Q11,'Raw Data - financials'!Q12)=0,"",SUM('Raw Data - financials'!Q10,'Raw Data - financials'!Q11,'Raw Data - financials'!Q12))</f>
        <v>10537.199999999999</v>
      </c>
      <c r="R122" s="55">
        <f>IF(COUNT('Raw Data - financials'!R10,'Raw Data - financials'!R11,'Raw Data - financials'!R12)=0,"",SUM('Raw Data - financials'!R10,'Raw Data - financials'!R11,'Raw Data - financials'!R12))</f>
        <v>12760.699999999999</v>
      </c>
      <c r="S122" s="55">
        <f>IF(COUNT('Raw Data - financials'!S10,'Raw Data - financials'!S11,'Raw Data - financials'!S12)=0,"",SUM('Raw Data - financials'!S10,'Raw Data - financials'!S11,'Raw Data - financials'!S12))</f>
        <v>11527.399999999998</v>
      </c>
      <c r="T122" s="55">
        <f>IF(COUNT('Raw Data - financials'!T10,'Raw Data - financials'!T11,'Raw Data - financials'!T12)=0,"",SUM('Raw Data - financials'!T10,'Raw Data - financials'!T11,'Raw Data - financials'!T12))</f>
        <v>11934.3</v>
      </c>
      <c r="U122" s="55">
        <f>IF(COUNT('Raw Data - financials'!U10,'Raw Data - financials'!U11,'Raw Data - financials'!U12)=0,"",SUM('Raw Data - financials'!U10,'Raw Data - financials'!U11,'Raw Data - financials'!U12))</f>
        <v>12924.4</v>
      </c>
      <c r="V122" s="55">
        <f>IF(COUNT('Raw Data - financials'!V10,'Raw Data - financials'!V11,'Raw Data - financials'!V12)=0,"",SUM('Raw Data - financials'!V10,'Raw Data - financials'!V11,'Raw Data - financials'!V12))</f>
        <v>15757.800000000001</v>
      </c>
      <c r="W122" s="55">
        <f>IF(COUNT('Raw Data - financials'!W10,'Raw Data - financials'!W11,'Raw Data - financials'!W12)=0,"",SUM('Raw Data - financials'!W10,'Raw Data - financials'!W11,'Raw Data - financials'!W12))</f>
        <v>14448.8</v>
      </c>
      <c r="AB122" s="19"/>
      <c r="AC122" s="56">
        <f>IF(COUNT('Raw Data - financials'!AC10,'Raw Data - financials'!AC11,'Raw Data - financials'!AC12)=0,"",SUM('Raw Data - financials'!AC10,'Raw Data - financials'!AC11,'Raw Data - financials'!AC12))</f>
        <v>6602.77</v>
      </c>
      <c r="AD122" s="56">
        <f>IF(COUNT('Raw Data - financials'!AD10,'Raw Data - financials'!AD11,'Raw Data - financials'!AD12)=0,"",SUM('Raw Data - financials'!AD10,'Raw Data - financials'!AD11,'Raw Data - financials'!AD12))</f>
        <v>10142.049999999999</v>
      </c>
      <c r="AE122" s="56">
        <f>IF(COUNT('Raw Data - financials'!AE10,'Raw Data - financials'!AE11,'Raw Data - financials'!AE12)=0,"",SUM('Raw Data - financials'!AE10,'Raw Data - financials'!AE11,'Raw Data - financials'!AE12))</f>
        <v>14878.25</v>
      </c>
      <c r="AF122" s="56">
        <f>IF(COUNT('Raw Data - financials'!AF10,'Raw Data - financials'!AF11,'Raw Data - financials'!AF12)=0,"",SUM('Raw Data - financials'!AF10,'Raw Data - financials'!AF11,'Raw Data - financials'!AF12))</f>
        <v>21300.15</v>
      </c>
      <c r="AG122" s="56">
        <f>IF(COUNT('Raw Data - financials'!AG10,'Raw Data - financials'!AG11,'Raw Data - financials'!AG12)=0,"",SUM('Raw Data - financials'!AG10,'Raw Data - financials'!AG11,'Raw Data - financials'!AG12))</f>
        <v>28656.809999999998</v>
      </c>
      <c r="AH122" s="56">
        <f>IF(COUNT('Raw Data - financials'!AH10,'Raw Data - financials'!AH11,'Raw Data - financials'!AH12)=0,"",SUM('Raw Data - financials'!AH10,'Raw Data - financials'!AH11,'Raw Data - financials'!AH12))</f>
        <v>36463.86</v>
      </c>
      <c r="AI122" s="56">
        <f>IF(COUNT('Raw Data - financials'!AI10,'Raw Data - financials'!AI11,'Raw Data - financials'!AI12)=0,"",SUM('Raw Data - financials'!AI10,'Raw Data - financials'!AI11,'Raw Data - financials'!AI12))</f>
        <v>44726.600000000006</v>
      </c>
      <c r="AJ122" s="56">
        <f>IF(COUNT('Raw Data - financials'!AJ10,'Raw Data - financials'!AJ11,'Raw Data - financials'!AJ12)=0,"",SUM('Raw Data - financials'!AJ10,'Raw Data - financials'!AJ11,'Raw Data - financials'!AJ12))</f>
        <v>55065.3</v>
      </c>
      <c r="AK122" s="56">
        <f>AK118*AK123</f>
        <v>83003.324231067876</v>
      </c>
      <c r="AL122" s="56">
        <f>AL118*AL123</f>
        <v>109041.63720392989</v>
      </c>
      <c r="AM122" s="56">
        <f>AM118*AM123</f>
        <v>143251.61506315428</v>
      </c>
      <c r="AN122" s="56">
        <f>AN118*AN123</f>
        <v>188198.91667378927</v>
      </c>
    </row>
    <row r="123" spans="1:40" hidden="1" outlineLevel="1" x14ac:dyDescent="0.3">
      <c r="A123" s="20" t="s">
        <v>278</v>
      </c>
      <c r="B123" s="17" t="s">
        <v>217</v>
      </c>
      <c r="C123" s="48" t="s">
        <v>238</v>
      </c>
      <c r="D123" s="49" t="str">
        <f t="shared" ref="D123:W123" si="85">IFERROR(D122/D118,"")</f>
        <v/>
      </c>
      <c r="E123" s="49" t="str">
        <f t="shared" si="85"/>
        <v/>
      </c>
      <c r="F123" s="49" t="str">
        <f t="shared" si="85"/>
        <v/>
      </c>
      <c r="G123" s="49" t="str">
        <f t="shared" si="85"/>
        <v/>
      </c>
      <c r="H123" s="49" t="str">
        <f t="shared" si="85"/>
        <v/>
      </c>
      <c r="I123" s="49" t="str">
        <f t="shared" si="85"/>
        <v/>
      </c>
      <c r="J123" s="49" t="str">
        <f t="shared" si="85"/>
        <v/>
      </c>
      <c r="K123" s="49" t="str">
        <f t="shared" si="85"/>
        <v/>
      </c>
      <c r="L123" s="49">
        <f t="shared" si="85"/>
        <v>0.56490747096687066</v>
      </c>
      <c r="M123" s="49" t="str">
        <f t="shared" si="85"/>
        <v/>
      </c>
      <c r="N123" s="49">
        <f t="shared" si="85"/>
        <v>0.57471553523651076</v>
      </c>
      <c r="O123" s="49">
        <f t="shared" si="85"/>
        <v>0.57418973848607302</v>
      </c>
      <c r="P123" s="49">
        <f t="shared" si="85"/>
        <v>0.56704904043846038</v>
      </c>
      <c r="Q123" s="49">
        <f t="shared" si="85"/>
        <v>0.56206193925557668</v>
      </c>
      <c r="R123" s="49">
        <f t="shared" si="85"/>
        <v>0.5628371434494378</v>
      </c>
      <c r="S123" s="49">
        <f t="shared" si="85"/>
        <v>0.55910484246469028</v>
      </c>
      <c r="T123" s="49">
        <f t="shared" si="85"/>
        <v>0.55381124300444551</v>
      </c>
      <c r="U123" s="49">
        <f t="shared" si="85"/>
        <v>0.55091688761200008</v>
      </c>
      <c r="V123" s="49">
        <f t="shared" si="85"/>
        <v>0.54842931026081876</v>
      </c>
      <c r="W123" s="49">
        <f t="shared" si="85"/>
        <v>0.54564954682779454</v>
      </c>
      <c r="AB123" s="19"/>
      <c r="AC123" s="52" t="str">
        <f t="shared" ref="AC123:AJ123" si="86">IFERROR(AC122/AC118,"")</f>
        <v/>
      </c>
      <c r="AD123" s="52" t="str">
        <f t="shared" si="86"/>
        <v/>
      </c>
      <c r="AE123" s="52" t="str">
        <f t="shared" si="86"/>
        <v/>
      </c>
      <c r="AF123" s="52" t="str">
        <f t="shared" si="86"/>
        <v/>
      </c>
      <c r="AG123" s="52" t="str">
        <f t="shared" si="86"/>
        <v/>
      </c>
      <c r="AH123" s="52">
        <f t="shared" si="86"/>
        <v>0.57103031088886202</v>
      </c>
      <c r="AI123" s="52">
        <f t="shared" si="86"/>
        <v>0.56261148051150855</v>
      </c>
      <c r="AJ123" s="52">
        <f t="shared" si="86"/>
        <v>0.54943435460149392</v>
      </c>
      <c r="AK123" s="50">
        <v>0.63</v>
      </c>
      <c r="AL123" s="50">
        <v>0.63</v>
      </c>
      <c r="AM123" s="50">
        <v>0.63</v>
      </c>
      <c r="AN123" s="50">
        <v>0.63</v>
      </c>
    </row>
    <row r="124" spans="1:40" hidden="1" outlineLevel="1" x14ac:dyDescent="0.3">
      <c r="A124" s="20" t="s">
        <v>46</v>
      </c>
      <c r="B124" s="17" t="s">
        <v>214</v>
      </c>
      <c r="C124" s="22" t="s">
        <v>215</v>
      </c>
      <c r="D124" s="55">
        <f>'Raw Data - financials'!D13</f>
        <v>726.05</v>
      </c>
      <c r="E124" s="55">
        <f>'Raw Data - financials'!E13</f>
        <v>694.01</v>
      </c>
      <c r="F124" s="55">
        <f>'Raw Data - financials'!F13</f>
        <v>933.21</v>
      </c>
      <c r="G124" s="55">
        <f>'Raw Data - financials'!G13</f>
        <v>908</v>
      </c>
      <c r="H124" s="55">
        <f>'Raw Data - financials'!H13</f>
        <v>1147.0899999999999</v>
      </c>
      <c r="I124" s="55">
        <f>'Raw Data - financials'!I13</f>
        <v>1217.6099999999999</v>
      </c>
      <c r="J124" s="55">
        <f>'Raw Data - financials'!J13</f>
        <v>1279.1600000000001</v>
      </c>
      <c r="K124" s="55">
        <f>'Raw Data - financials'!K13</f>
        <v>1273.31</v>
      </c>
      <c r="L124" s="55">
        <f>'Raw Data - financials'!L13</f>
        <v>1385.76</v>
      </c>
      <c r="M124" s="55">
        <f>'Raw Data - financials'!M13</f>
        <v>1363.2</v>
      </c>
      <c r="N124" s="55">
        <f>'Raw Data - financials'!N13</f>
        <v>1479.3</v>
      </c>
      <c r="O124" s="55">
        <f>'Raw Data - financials'!O13</f>
        <v>1420.75</v>
      </c>
      <c r="P124" s="55">
        <f>'Raw Data - financials'!P13</f>
        <v>1558.6</v>
      </c>
      <c r="Q124" s="55">
        <f>'Raw Data - financials'!Q13</f>
        <v>1614.9</v>
      </c>
      <c r="R124" s="55">
        <f>'Raw Data - financials'!R13</f>
        <v>1746</v>
      </c>
      <c r="S124" s="55">
        <f>'Raw Data - financials'!S13</f>
        <v>1741.2</v>
      </c>
      <c r="T124" s="55">
        <f>'Raw Data - financials'!T13</f>
        <v>1820.2</v>
      </c>
      <c r="U124" s="55">
        <f>'Raw Data - financials'!U13</f>
        <v>1827.7</v>
      </c>
      <c r="V124" s="55">
        <f>'Raw Data - financials'!V13</f>
        <v>2029</v>
      </c>
      <c r="W124" s="55">
        <f>'Raw Data - financials'!W13</f>
        <v>2038.4</v>
      </c>
      <c r="AB124" s="19"/>
      <c r="AC124" s="56">
        <f>'Raw Data - financials'!AC13</f>
        <v>1172.96</v>
      </c>
      <c r="AD124" s="56">
        <f>'Raw Data - financials'!AD13</f>
        <v>1956.13</v>
      </c>
      <c r="AE124" s="56">
        <f>'Raw Data - financials'!AE13</f>
        <v>2836.47</v>
      </c>
      <c r="AF124" s="56">
        <f>'Raw Data - financials'!AF13</f>
        <v>3259.39</v>
      </c>
      <c r="AG124" s="56">
        <f>'Raw Data - financials'!AG13</f>
        <v>4917.17</v>
      </c>
      <c r="AH124" s="56">
        <f>'Raw Data - financials'!AH13</f>
        <v>5649.01</v>
      </c>
      <c r="AI124" s="56">
        <f>'Raw Data - financials'!AI13</f>
        <v>6660.7</v>
      </c>
      <c r="AJ124" s="56">
        <f>'Raw Data - financials'!AJ13</f>
        <v>7715.3</v>
      </c>
      <c r="AK124" s="56">
        <f>AK118*AK125</f>
        <v>15810.15699639388</v>
      </c>
      <c r="AL124" s="56">
        <f>AL118*AL125</f>
        <v>20769.835657891406</v>
      </c>
      <c r="AM124" s="56">
        <f>AM118*AM125</f>
        <v>27286.021916791291</v>
      </c>
      <c r="AN124" s="56">
        <f>AN118*AN125</f>
        <v>35847.412699769382</v>
      </c>
    </row>
    <row r="125" spans="1:40" hidden="1" outlineLevel="1" x14ac:dyDescent="0.3">
      <c r="A125" s="20" t="s">
        <v>279</v>
      </c>
      <c r="B125" s="17" t="s">
        <v>217</v>
      </c>
      <c r="C125" s="48" t="s">
        <v>238</v>
      </c>
      <c r="D125" s="49" t="str">
        <f t="shared" ref="D125:W125" si="87">IFERROR(D124/D118,"")</f>
        <v/>
      </c>
      <c r="E125" s="49" t="str">
        <f t="shared" si="87"/>
        <v/>
      </c>
      <c r="F125" s="49" t="str">
        <f t="shared" si="87"/>
        <v/>
      </c>
      <c r="G125" s="49" t="str">
        <f t="shared" si="87"/>
        <v/>
      </c>
      <c r="H125" s="49" t="str">
        <f t="shared" si="87"/>
        <v/>
      </c>
      <c r="I125" s="49" t="str">
        <f t="shared" si="87"/>
        <v/>
      </c>
      <c r="J125" s="49" t="str">
        <f t="shared" si="87"/>
        <v/>
      </c>
      <c r="K125" s="49" t="str">
        <f t="shared" si="87"/>
        <v/>
      </c>
      <c r="L125" s="49">
        <f t="shared" si="87"/>
        <v>9.7463539791141515E-2</v>
      </c>
      <c r="M125" s="49" t="str">
        <f t="shared" si="87"/>
        <v/>
      </c>
      <c r="N125" s="49">
        <f t="shared" si="87"/>
        <v>8.2697990494175422E-2</v>
      </c>
      <c r="O125" s="49">
        <f t="shared" si="87"/>
        <v>8.5177879830693415E-2</v>
      </c>
      <c r="P125" s="49">
        <f t="shared" si="87"/>
        <v>8.9261272199345973E-2</v>
      </c>
      <c r="Q125" s="49">
        <f t="shared" si="87"/>
        <v>8.6139944739003813E-2</v>
      </c>
      <c r="R125" s="49">
        <f t="shared" si="87"/>
        <v>7.701095178655705E-2</v>
      </c>
      <c r="S125" s="49">
        <f t="shared" si="87"/>
        <v>8.4452118578302038E-2</v>
      </c>
      <c r="T125" s="49">
        <f t="shared" si="87"/>
        <v>8.4466388855374164E-2</v>
      </c>
      <c r="U125" s="49">
        <f t="shared" si="87"/>
        <v>7.7907740048934776E-2</v>
      </c>
      <c r="V125" s="49">
        <f t="shared" si="87"/>
        <v>7.0616651469063013E-2</v>
      </c>
      <c r="W125" s="49">
        <f t="shared" si="87"/>
        <v>7.6978851963746223E-2</v>
      </c>
      <c r="AB125" s="19"/>
      <c r="AC125" s="52" t="str">
        <f t="shared" ref="AC125:AJ125" si="88">IFERROR(AC124/AC118,"")</f>
        <v/>
      </c>
      <c r="AD125" s="52" t="str">
        <f t="shared" si="88"/>
        <v/>
      </c>
      <c r="AE125" s="52" t="str">
        <f t="shared" si="88"/>
        <v/>
      </c>
      <c r="AF125" s="52" t="str">
        <f t="shared" si="88"/>
        <v/>
      </c>
      <c r="AG125" s="52" t="str">
        <f t="shared" si="88"/>
        <v/>
      </c>
      <c r="AH125" s="52">
        <f t="shared" si="88"/>
        <v>8.8464466913658904E-2</v>
      </c>
      <c r="AI125" s="52">
        <f t="shared" si="88"/>
        <v>8.3784286939830088E-2</v>
      </c>
      <c r="AJ125" s="52">
        <f t="shared" si="88"/>
        <v>7.6982253362042993E-2</v>
      </c>
      <c r="AK125" s="50">
        <v>0.12</v>
      </c>
      <c r="AL125" s="50">
        <v>0.12</v>
      </c>
      <c r="AM125" s="50">
        <v>0.12</v>
      </c>
      <c r="AN125" s="50">
        <v>0.12</v>
      </c>
    </row>
    <row r="126" spans="1:40" hidden="1" outlineLevel="1" x14ac:dyDescent="0.3">
      <c r="A126" s="20" t="s">
        <v>47</v>
      </c>
      <c r="B126" s="17" t="s">
        <v>214</v>
      </c>
      <c r="C126" s="22" t="s">
        <v>280</v>
      </c>
      <c r="D126" s="55">
        <f t="shared" ref="D126:W126" si="89">IF(D104="","",D104)</f>
        <v>90.14</v>
      </c>
      <c r="E126" s="55">
        <f t="shared" si="89"/>
        <v>113.49</v>
      </c>
      <c r="F126" s="55">
        <f t="shared" si="89"/>
        <v>127.9</v>
      </c>
      <c r="G126" s="55">
        <f t="shared" si="89"/>
        <v>133.58000000000001</v>
      </c>
      <c r="H126" s="55">
        <f t="shared" si="89"/>
        <v>150.63</v>
      </c>
      <c r="I126" s="55">
        <f t="shared" si="89"/>
        <v>203.56</v>
      </c>
      <c r="J126" s="55">
        <f t="shared" si="89"/>
        <v>204.25</v>
      </c>
      <c r="K126" s="55">
        <f t="shared" si="89"/>
        <v>187.61</v>
      </c>
      <c r="L126" s="55">
        <f t="shared" si="89"/>
        <v>185.48</v>
      </c>
      <c r="M126" s="55">
        <f t="shared" si="89"/>
        <v>213.09</v>
      </c>
      <c r="N126" s="55">
        <f t="shared" si="89"/>
        <v>218.41</v>
      </c>
      <c r="O126" s="55">
        <f t="shared" si="89"/>
        <v>211.34</v>
      </c>
      <c r="P126" s="55">
        <f t="shared" si="89"/>
        <v>213.1</v>
      </c>
      <c r="Q126" s="55">
        <f t="shared" si="89"/>
        <v>242.3</v>
      </c>
      <c r="R126" s="55">
        <f t="shared" si="89"/>
        <v>319.3</v>
      </c>
      <c r="S126" s="55">
        <f t="shared" si="89"/>
        <v>298.5</v>
      </c>
      <c r="T126" s="55">
        <f t="shared" si="89"/>
        <v>301.60000000000002</v>
      </c>
      <c r="U126" s="55">
        <f t="shared" si="89"/>
        <v>314.7</v>
      </c>
      <c r="V126" s="55">
        <f t="shared" si="89"/>
        <v>291.60000000000002</v>
      </c>
      <c r="W126" s="55">
        <f t="shared" si="89"/>
        <v>263.3</v>
      </c>
      <c r="AB126" s="19"/>
      <c r="AC126" s="56">
        <f t="shared" ref="AC126:AN126" si="90">IF(AC104="","",AC104)</f>
        <v>263.42</v>
      </c>
      <c r="AD126" s="56">
        <f t="shared" si="90"/>
        <v>442.93</v>
      </c>
      <c r="AE126" s="56">
        <f t="shared" si="90"/>
        <v>307.01</v>
      </c>
      <c r="AF126" s="56">
        <f t="shared" si="90"/>
        <v>465.11</v>
      </c>
      <c r="AG126" s="56">
        <f t="shared" si="90"/>
        <v>746.05</v>
      </c>
      <c r="AH126" s="56">
        <f t="shared" si="90"/>
        <v>828.32</v>
      </c>
      <c r="AI126" s="56">
        <f t="shared" si="90"/>
        <v>1073.2</v>
      </c>
      <c r="AJ126" s="56">
        <f t="shared" si="90"/>
        <v>1171.2</v>
      </c>
      <c r="AK126" s="56">
        <f t="shared" si="90"/>
        <v>1541.4903071484034</v>
      </c>
      <c r="AL126" s="56">
        <f t="shared" si="90"/>
        <v>2025.0589766444123</v>
      </c>
      <c r="AM126" s="56">
        <f t="shared" si="90"/>
        <v>2660.387136887151</v>
      </c>
      <c r="AN126" s="56">
        <f t="shared" si="90"/>
        <v>3495.1227382275151</v>
      </c>
    </row>
    <row r="127" spans="1:40" hidden="1" outlineLevel="1" x14ac:dyDescent="0.3">
      <c r="A127" s="20" t="s">
        <v>266</v>
      </c>
      <c r="B127" s="17" t="s">
        <v>214</v>
      </c>
      <c r="C127" s="22" t="s">
        <v>281</v>
      </c>
      <c r="D127" s="55">
        <f t="shared" ref="D127:W127" si="91">IF(D101="","",D101)</f>
        <v>194.97</v>
      </c>
      <c r="E127" s="55">
        <f t="shared" si="91"/>
        <v>213.08</v>
      </c>
      <c r="F127" s="55">
        <f t="shared" si="91"/>
        <v>251.24</v>
      </c>
      <c r="G127" s="55">
        <f t="shared" si="91"/>
        <v>304.83999999999997</v>
      </c>
      <c r="H127" s="55">
        <f t="shared" si="91"/>
        <v>310.12</v>
      </c>
      <c r="I127" s="55">
        <f t="shared" si="91"/>
        <v>385.02</v>
      </c>
      <c r="J127" s="55">
        <f t="shared" si="91"/>
        <v>507</v>
      </c>
      <c r="K127" s="55">
        <f t="shared" si="91"/>
        <v>530.41999999999996</v>
      </c>
      <c r="L127" s="55">
        <f t="shared" si="91"/>
        <v>519.20000000000005</v>
      </c>
      <c r="M127" s="55">
        <f t="shared" si="91"/>
        <v>546.36</v>
      </c>
      <c r="N127" s="55">
        <f t="shared" si="91"/>
        <v>580.28</v>
      </c>
      <c r="O127" s="55">
        <f t="shared" si="91"/>
        <v>596.49</v>
      </c>
      <c r="P127" s="55">
        <f t="shared" si="91"/>
        <v>600.6</v>
      </c>
      <c r="Q127" s="55">
        <f t="shared" si="91"/>
        <v>636.20000000000005</v>
      </c>
      <c r="R127" s="55">
        <f t="shared" si="91"/>
        <v>698.2</v>
      </c>
      <c r="S127" s="55">
        <f t="shared" si="91"/>
        <v>729</v>
      </c>
      <c r="T127" s="55">
        <f t="shared" si="91"/>
        <v>761.4</v>
      </c>
      <c r="U127" s="55">
        <f t="shared" si="91"/>
        <v>790.9</v>
      </c>
      <c r="V127" s="55">
        <f t="shared" si="91"/>
        <v>808.8</v>
      </c>
      <c r="W127" s="55">
        <f t="shared" si="91"/>
        <v>842.2</v>
      </c>
      <c r="AB127" s="19"/>
      <c r="AC127" s="56">
        <f t="shared" ref="AC127:AN127" si="92">IF(AC101="","",AC101)</f>
        <v>308.76</v>
      </c>
      <c r="AD127" s="56">
        <f t="shared" si="92"/>
        <v>595.09</v>
      </c>
      <c r="AE127" s="56">
        <f t="shared" si="92"/>
        <v>671.28</v>
      </c>
      <c r="AF127" s="56">
        <f t="shared" si="92"/>
        <v>964.13</v>
      </c>
      <c r="AG127" s="56">
        <f t="shared" si="92"/>
        <v>1732.56</v>
      </c>
      <c r="AH127" s="56">
        <f t="shared" si="92"/>
        <v>2242.33</v>
      </c>
      <c r="AI127" s="56">
        <f t="shared" si="92"/>
        <v>2664</v>
      </c>
      <c r="AJ127" s="56">
        <f t="shared" si="92"/>
        <v>3203.3</v>
      </c>
      <c r="AK127" s="56">
        <f t="shared" si="92"/>
        <v>4216.041865705035</v>
      </c>
      <c r="AL127" s="56">
        <f t="shared" si="92"/>
        <v>5538.6228421043752</v>
      </c>
      <c r="AM127" s="56">
        <f t="shared" si="92"/>
        <v>7276.2725111443451</v>
      </c>
      <c r="AN127" s="56">
        <f t="shared" si="92"/>
        <v>9559.3100532718363</v>
      </c>
    </row>
    <row r="128" spans="1:40" hidden="1" outlineLevel="1" x14ac:dyDescent="0.3">
      <c r="A128" s="20" t="s">
        <v>49</v>
      </c>
      <c r="B128" s="17" t="s">
        <v>214</v>
      </c>
      <c r="C128" s="22" t="s">
        <v>215</v>
      </c>
      <c r="D128" s="55">
        <f>'Raw Data - financials'!D16</f>
        <v>2321.16</v>
      </c>
      <c r="E128" s="55">
        <f>'Raw Data - financials'!E16</f>
        <v>2800.17</v>
      </c>
      <c r="F128" s="55">
        <f>'Raw Data - financials'!F16</f>
        <v>3464.6</v>
      </c>
      <c r="G128" s="55">
        <f>'Raw Data - financials'!G16</f>
        <v>2959.42</v>
      </c>
      <c r="H128" s="55">
        <f>'Raw Data - financials'!H16</f>
        <v>3491.18</v>
      </c>
      <c r="I128" s="55">
        <f>'Raw Data - financials'!I16</f>
        <v>3748.4</v>
      </c>
      <c r="J128" s="55">
        <f>'Raw Data - financials'!J16</f>
        <v>4285.9399999999996</v>
      </c>
      <c r="K128" s="55">
        <f>'Raw Data - financials'!K16</f>
        <v>3778.07</v>
      </c>
      <c r="L128" s="55">
        <f>'Raw Data - financials'!L16</f>
        <v>4065.83</v>
      </c>
      <c r="M128" s="55">
        <f>'Raw Data - financials'!M16</f>
        <v>4326.75</v>
      </c>
      <c r="N128" s="55">
        <f>'Raw Data - financials'!N16</f>
        <v>5140.4399999999996</v>
      </c>
      <c r="O128" s="55">
        <f>'Raw Data - financials'!O16</f>
        <v>4748.8599999999997</v>
      </c>
      <c r="P128" s="55">
        <f>'Raw Data - financials'!P16</f>
        <v>5040</v>
      </c>
      <c r="Q128" s="55">
        <f>'Raw Data - financials'!Q16</f>
        <v>5558.7</v>
      </c>
      <c r="R128" s="55">
        <f>'Raw Data - financials'!R16</f>
        <v>6757.6</v>
      </c>
      <c r="S128" s="55">
        <f>'Raw Data - financials'!S16</f>
        <v>6015.5</v>
      </c>
      <c r="T128" s="55">
        <f>'Raw Data - financials'!T16</f>
        <v>6388.1</v>
      </c>
      <c r="U128" s="55">
        <f>'Raw Data - financials'!U16</f>
        <v>7118.2</v>
      </c>
      <c r="V128" s="55">
        <f>'Raw Data - financials'!V16</f>
        <v>8648.2000000000007</v>
      </c>
      <c r="W128" s="55">
        <f>'Raw Data - financials'!W16</f>
        <v>7765.3</v>
      </c>
      <c r="AB128" s="19"/>
      <c r="AC128" s="56">
        <f>'Raw Data - financials'!AC16</f>
        <v>3133.11</v>
      </c>
      <c r="AD128" s="56">
        <f>'Raw Data - financials'!AD16</f>
        <v>4766.6000000000004</v>
      </c>
      <c r="AE128" s="56">
        <f>'Raw Data - financials'!AE16</f>
        <v>5079.9799999999996</v>
      </c>
      <c r="AF128" s="56">
        <f>'Raw Data - financials'!AF16</f>
        <v>11547.23</v>
      </c>
      <c r="AG128" s="56">
        <f>'Raw Data - financials'!AG16</f>
        <v>15303.59</v>
      </c>
      <c r="AH128" s="56">
        <f>'Raw Data - financials'!AH16</f>
        <v>18281.89</v>
      </c>
      <c r="AI128" s="56">
        <f>'Raw Data - financials'!AI16</f>
        <v>23371.8</v>
      </c>
      <c r="AJ128" s="56">
        <f>'Raw Data - financials'!AJ16</f>
        <v>29919.8</v>
      </c>
      <c r="AK128" s="56">
        <f>IFERROR(AK120-AK122-AK124-AK126-AK127-AK108,"")</f>
        <v>22474.994563857519</v>
      </c>
      <c r="AL128" s="56">
        <f>IFERROR(AL120-AL122-AL124-AL126-AL127-AL108,"")</f>
        <v>29558.62183318859</v>
      </c>
      <c r="AM128" s="56">
        <f>IFERROR(AM120-AM122-AM124-AM126-AM127-AM108,"")</f>
        <v>38876.311550315826</v>
      </c>
      <c r="AN128" s="56">
        <f>IFERROR(AN120-AN122-AN124-AN126-AN127-AN108,"")</f>
        <v>51133.133776220886</v>
      </c>
    </row>
    <row r="129" spans="1:40" hidden="1" outlineLevel="1" x14ac:dyDescent="0.3">
      <c r="A129" s="20" t="s">
        <v>50</v>
      </c>
      <c r="B129" s="17" t="s">
        <v>214</v>
      </c>
      <c r="C129" s="22" t="s">
        <v>215</v>
      </c>
      <c r="D129" s="55">
        <f t="shared" ref="D129:W129" si="93">IFERROR(D122+D124+D126+D127+D128,"")</f>
        <v>8185.64</v>
      </c>
      <c r="E129" s="55">
        <f t="shared" si="93"/>
        <v>8890.9699999999993</v>
      </c>
      <c r="F129" s="55">
        <f t="shared" si="93"/>
        <v>10672.97</v>
      </c>
      <c r="G129" s="55">
        <f t="shared" si="93"/>
        <v>9786.43</v>
      </c>
      <c r="H129" s="55">
        <f t="shared" si="93"/>
        <v>11484.44</v>
      </c>
      <c r="I129" s="55">
        <f t="shared" si="93"/>
        <v>12285.5</v>
      </c>
      <c r="J129" s="55">
        <f t="shared" si="93"/>
        <v>14557.91</v>
      </c>
      <c r="K129" s="55">
        <f t="shared" si="93"/>
        <v>13028.33</v>
      </c>
      <c r="L129" s="55">
        <f t="shared" si="93"/>
        <v>14188.26</v>
      </c>
      <c r="M129" s="55">
        <f t="shared" si="93"/>
        <v>15023.400000000001</v>
      </c>
      <c r="N129" s="55">
        <f t="shared" si="93"/>
        <v>17698.93</v>
      </c>
      <c r="O129" s="55">
        <f t="shared" si="93"/>
        <v>16554.810000000001</v>
      </c>
      <c r="P129" s="55">
        <f t="shared" si="93"/>
        <v>17313.599999999999</v>
      </c>
      <c r="Q129" s="55">
        <f t="shared" si="93"/>
        <v>18589.3</v>
      </c>
      <c r="R129" s="55">
        <f t="shared" si="93"/>
        <v>22281.8</v>
      </c>
      <c r="S129" s="55">
        <f t="shared" si="93"/>
        <v>20311.599999999999</v>
      </c>
      <c r="T129" s="55">
        <f t="shared" si="93"/>
        <v>21205.599999999999</v>
      </c>
      <c r="U129" s="55">
        <f t="shared" si="93"/>
        <v>22975.9</v>
      </c>
      <c r="V129" s="55">
        <f t="shared" si="93"/>
        <v>27535.4</v>
      </c>
      <c r="W129" s="55">
        <f t="shared" si="93"/>
        <v>25358</v>
      </c>
      <c r="AB129" s="19"/>
      <c r="AC129" s="56">
        <f t="shared" ref="AC129:AN129" si="94">IFERROR(AC122+AC124+AC126+AC127+AC128,"")</f>
        <v>11481.02</v>
      </c>
      <c r="AD129" s="56">
        <f t="shared" si="94"/>
        <v>17902.800000000003</v>
      </c>
      <c r="AE129" s="56">
        <f t="shared" si="94"/>
        <v>23772.989999999998</v>
      </c>
      <c r="AF129" s="56">
        <f t="shared" si="94"/>
        <v>37536.01</v>
      </c>
      <c r="AG129" s="56">
        <f t="shared" si="94"/>
        <v>51356.179999999993</v>
      </c>
      <c r="AH129" s="56">
        <f t="shared" si="94"/>
        <v>63465.41</v>
      </c>
      <c r="AI129" s="56">
        <f t="shared" si="94"/>
        <v>78496.3</v>
      </c>
      <c r="AJ129" s="56">
        <f t="shared" si="94"/>
        <v>97074.900000000009</v>
      </c>
      <c r="AK129" s="56">
        <f t="shared" si="94"/>
        <v>127046.00796417271</v>
      </c>
      <c r="AL129" s="56">
        <f t="shared" si="94"/>
        <v>166933.7765137587</v>
      </c>
      <c r="AM129" s="56">
        <f t="shared" si="94"/>
        <v>219350.6081782929</v>
      </c>
      <c r="AN129" s="56">
        <f t="shared" si="94"/>
        <v>288233.89594127884</v>
      </c>
    </row>
    <row r="130" spans="1:40" hidden="1" outlineLevel="1" x14ac:dyDescent="0.3">
      <c r="A130" s="20" t="s">
        <v>53</v>
      </c>
      <c r="B130" s="17" t="s">
        <v>214</v>
      </c>
      <c r="C130" s="22" t="s">
        <v>215</v>
      </c>
      <c r="D130" s="55" t="str">
        <f t="shared" ref="D130:W130" si="95">IFERROR(D120-D129,"")</f>
        <v/>
      </c>
      <c r="E130" s="55" t="str">
        <f t="shared" si="95"/>
        <v/>
      </c>
      <c r="F130" s="55" t="str">
        <f t="shared" si="95"/>
        <v/>
      </c>
      <c r="G130" s="55" t="str">
        <f t="shared" si="95"/>
        <v/>
      </c>
      <c r="H130" s="55" t="str">
        <f t="shared" si="95"/>
        <v/>
      </c>
      <c r="I130" s="55" t="str">
        <f t="shared" si="95"/>
        <v/>
      </c>
      <c r="J130" s="55" t="str">
        <f t="shared" si="95"/>
        <v/>
      </c>
      <c r="K130" s="55" t="str">
        <f t="shared" si="95"/>
        <v/>
      </c>
      <c r="L130" s="55">
        <f t="shared" si="95"/>
        <v>97.18999999999869</v>
      </c>
      <c r="M130" s="55" t="str">
        <f t="shared" si="95"/>
        <v/>
      </c>
      <c r="N130" s="55">
        <f t="shared" si="95"/>
        <v>264.88999999999942</v>
      </c>
      <c r="O130" s="55">
        <f t="shared" si="95"/>
        <v>195.61999999999898</v>
      </c>
      <c r="P130" s="55">
        <f t="shared" si="95"/>
        <v>220.79999999999927</v>
      </c>
      <c r="Q130" s="55">
        <f t="shared" si="95"/>
        <v>212.60000000000218</v>
      </c>
      <c r="R130" s="55">
        <f t="shared" si="95"/>
        <v>445.59999999999854</v>
      </c>
      <c r="S130" s="55">
        <f t="shared" si="95"/>
        <v>395.5</v>
      </c>
      <c r="T130" s="55">
        <f t="shared" si="95"/>
        <v>437.10000000000218</v>
      </c>
      <c r="U130" s="55">
        <f t="shared" si="95"/>
        <v>564.19999999999709</v>
      </c>
      <c r="V130" s="55">
        <f t="shared" si="95"/>
        <v>1259.7999999999956</v>
      </c>
      <c r="W130" s="55">
        <f t="shared" si="95"/>
        <v>1213.5</v>
      </c>
      <c r="AB130" s="19"/>
      <c r="AC130" s="56">
        <f t="shared" ref="AC130:AN130" si="96">IFERROR(AC120-AC129,"")</f>
        <v>-11431.140000000001</v>
      </c>
      <c r="AD130" s="56">
        <f t="shared" si="96"/>
        <v>-17799.630000000005</v>
      </c>
      <c r="AE130" s="56">
        <f t="shared" si="96"/>
        <v>-23655.579999999998</v>
      </c>
      <c r="AF130" s="56" t="str">
        <f t="shared" si="96"/>
        <v/>
      </c>
      <c r="AG130" s="56" t="str">
        <f t="shared" si="96"/>
        <v/>
      </c>
      <c r="AH130" s="56">
        <f t="shared" si="96"/>
        <v>690.26999999998952</v>
      </c>
      <c r="AI130" s="56">
        <f t="shared" si="96"/>
        <v>1274.5</v>
      </c>
      <c r="AJ130" s="56">
        <f t="shared" si="96"/>
        <v>3474.5999999999767</v>
      </c>
      <c r="AK130" s="56">
        <f t="shared" si="96"/>
        <v>5140.0796565104538</v>
      </c>
      <c r="AL130" s="56">
        <f t="shared" si="96"/>
        <v>6719.3577825950342</v>
      </c>
      <c r="AM130" s="56">
        <f t="shared" si="96"/>
        <v>8783.2733976796444</v>
      </c>
      <c r="AN130" s="56">
        <f t="shared" si="96"/>
        <v>11480.347072709701</v>
      </c>
    </row>
    <row r="131" spans="1:40" hidden="1" outlineLevel="1" x14ac:dyDescent="0.3">
      <c r="A131" s="20" t="s">
        <v>54</v>
      </c>
      <c r="B131" s="17" t="s">
        <v>214</v>
      </c>
      <c r="C131" s="22" t="s">
        <v>282</v>
      </c>
      <c r="D131" s="55">
        <f t="shared" ref="D131:W131" si="97">IF(D109="","",D109)</f>
        <v>-3.7300000000000182</v>
      </c>
      <c r="E131" s="55">
        <f t="shared" si="97"/>
        <v>1.9300000000000002</v>
      </c>
      <c r="F131" s="55">
        <f t="shared" si="97"/>
        <v>79.61</v>
      </c>
      <c r="G131" s="55">
        <f t="shared" si="97"/>
        <v>-17.629999999999988</v>
      </c>
      <c r="H131" s="55">
        <f t="shared" si="97"/>
        <v>26.53</v>
      </c>
      <c r="I131" s="55">
        <f t="shared" si="97"/>
        <v>31</v>
      </c>
      <c r="J131" s="55">
        <f t="shared" si="97"/>
        <v>34.670000000000016</v>
      </c>
      <c r="K131" s="55">
        <f t="shared" si="97"/>
        <v>43.539999999999992</v>
      </c>
      <c r="L131" s="55">
        <f t="shared" si="97"/>
        <v>32.629999999999995</v>
      </c>
      <c r="M131" s="55">
        <f t="shared" si="97"/>
        <v>39.680000000000007</v>
      </c>
      <c r="N131" s="55">
        <f t="shared" si="97"/>
        <v>82.550000000000011</v>
      </c>
      <c r="O131" s="55">
        <f t="shared" si="97"/>
        <v>98.249999999999972</v>
      </c>
      <c r="P131" s="55">
        <f t="shared" si="97"/>
        <v>78.400000000000034</v>
      </c>
      <c r="Q131" s="55">
        <f t="shared" si="97"/>
        <v>78.199999999999989</v>
      </c>
      <c r="R131" s="55">
        <f t="shared" si="97"/>
        <v>175.89999999999998</v>
      </c>
      <c r="S131" s="55">
        <f t="shared" si="97"/>
        <v>205</v>
      </c>
      <c r="T131" s="55">
        <f t="shared" si="97"/>
        <v>192.4</v>
      </c>
      <c r="U131" s="55">
        <f t="shared" si="97"/>
        <v>224</v>
      </c>
      <c r="V131" s="55">
        <f t="shared" si="97"/>
        <v>418.79999999999995</v>
      </c>
      <c r="W131" s="55">
        <f t="shared" si="97"/>
        <v>427.70000000000005</v>
      </c>
      <c r="AB131" s="19"/>
      <c r="AC131" s="56">
        <f t="shared" ref="AC131:AN131" si="98">IF(AC109="","",AC109)</f>
        <v>-71.81</v>
      </c>
      <c r="AD131" s="56">
        <f t="shared" si="98"/>
        <v>39.099999999999994</v>
      </c>
      <c r="AE131" s="56">
        <f t="shared" si="98"/>
        <v>133.92999999999995</v>
      </c>
      <c r="AF131" s="56">
        <f t="shared" si="98"/>
        <v>60.179999999999971</v>
      </c>
      <c r="AG131" s="56">
        <f t="shared" si="98"/>
        <v>135.74</v>
      </c>
      <c r="AH131" s="56">
        <f t="shared" si="98"/>
        <v>253.1099999999999</v>
      </c>
      <c r="AI131" s="56">
        <f t="shared" si="98"/>
        <v>537.5</v>
      </c>
      <c r="AJ131" s="56">
        <f t="shared" si="98"/>
        <v>1262.9000000000001</v>
      </c>
      <c r="AK131" s="56">
        <f t="shared" si="98"/>
        <v>1965.5664606495932</v>
      </c>
      <c r="AL131" s="56">
        <f t="shared" si="98"/>
        <v>2569.4824160643498</v>
      </c>
      <c r="AM131" s="56">
        <f t="shared" si="98"/>
        <v>3358.7237472726983</v>
      </c>
      <c r="AN131" s="56">
        <f t="shared" si="98"/>
        <v>4390.0847206041735</v>
      </c>
    </row>
    <row r="132" spans="1:40" hidden="1" outlineLevel="1" x14ac:dyDescent="0.3">
      <c r="A132" s="20" t="s">
        <v>283</v>
      </c>
      <c r="B132" s="17" t="s">
        <v>214</v>
      </c>
      <c r="C132" s="22" t="s">
        <v>215</v>
      </c>
      <c r="D132" s="55" t="str">
        <f t="shared" ref="D132:W132" si="99">IFERROR(D130-D131,"")</f>
        <v/>
      </c>
      <c r="E132" s="55" t="str">
        <f t="shared" si="99"/>
        <v/>
      </c>
      <c r="F132" s="55" t="str">
        <f t="shared" si="99"/>
        <v/>
      </c>
      <c r="G132" s="55" t="str">
        <f t="shared" si="99"/>
        <v/>
      </c>
      <c r="H132" s="55" t="str">
        <f t="shared" si="99"/>
        <v/>
      </c>
      <c r="I132" s="55" t="str">
        <f t="shared" si="99"/>
        <v/>
      </c>
      <c r="J132" s="55" t="str">
        <f t="shared" si="99"/>
        <v/>
      </c>
      <c r="K132" s="55" t="str">
        <f t="shared" si="99"/>
        <v/>
      </c>
      <c r="L132" s="55">
        <f t="shared" si="99"/>
        <v>64.559999999998695</v>
      </c>
      <c r="M132" s="55" t="str">
        <f t="shared" si="99"/>
        <v/>
      </c>
      <c r="N132" s="55">
        <f t="shared" si="99"/>
        <v>182.33999999999941</v>
      </c>
      <c r="O132" s="55">
        <f t="shared" si="99"/>
        <v>97.36999999999901</v>
      </c>
      <c r="P132" s="55">
        <f t="shared" si="99"/>
        <v>142.39999999999924</v>
      </c>
      <c r="Q132" s="55">
        <f t="shared" si="99"/>
        <v>134.40000000000219</v>
      </c>
      <c r="R132" s="55">
        <f t="shared" si="99"/>
        <v>269.69999999999857</v>
      </c>
      <c r="S132" s="55">
        <f t="shared" si="99"/>
        <v>190.5</v>
      </c>
      <c r="T132" s="55">
        <f t="shared" si="99"/>
        <v>244.70000000000218</v>
      </c>
      <c r="U132" s="55">
        <f t="shared" si="99"/>
        <v>340.19999999999709</v>
      </c>
      <c r="V132" s="55">
        <f t="shared" si="99"/>
        <v>840.99999999999568</v>
      </c>
      <c r="W132" s="55">
        <f t="shared" si="99"/>
        <v>785.8</v>
      </c>
      <c r="AB132" s="19"/>
      <c r="AC132" s="56">
        <f t="shared" ref="AC132:AN132" si="100">IFERROR(AC130-AC131,"")</f>
        <v>-11359.330000000002</v>
      </c>
      <c r="AD132" s="56">
        <f t="shared" si="100"/>
        <v>-17838.730000000003</v>
      </c>
      <c r="AE132" s="56">
        <f t="shared" si="100"/>
        <v>-23789.51</v>
      </c>
      <c r="AF132" s="56" t="str">
        <f t="shared" si="100"/>
        <v/>
      </c>
      <c r="AG132" s="56" t="str">
        <f t="shared" si="100"/>
        <v/>
      </c>
      <c r="AH132" s="56">
        <f t="shared" si="100"/>
        <v>437.15999999998962</v>
      </c>
      <c r="AI132" s="56">
        <f t="shared" si="100"/>
        <v>737</v>
      </c>
      <c r="AJ132" s="56">
        <f t="shared" si="100"/>
        <v>2211.6999999999766</v>
      </c>
      <c r="AK132" s="56">
        <f t="shared" si="100"/>
        <v>3174.5131958608608</v>
      </c>
      <c r="AL132" s="56">
        <f t="shared" si="100"/>
        <v>4149.8753665306849</v>
      </c>
      <c r="AM132" s="56">
        <f t="shared" si="100"/>
        <v>5424.5496504069461</v>
      </c>
      <c r="AN132" s="56">
        <f t="shared" si="100"/>
        <v>7090.2623521055275</v>
      </c>
    </row>
    <row r="133" spans="1:40" hidden="1" outlineLevel="1" x14ac:dyDescent="0.3">
      <c r="A133" s="20" t="s">
        <v>227</v>
      </c>
      <c r="B133" s="17" t="s">
        <v>228</v>
      </c>
      <c r="C133" s="22" t="s">
        <v>284</v>
      </c>
      <c r="D133" s="54">
        <f t="shared" ref="D133:W133" si="101">IF(D113="","",D113)</f>
        <v>7.0000000000000007E-2</v>
      </c>
      <c r="E133" s="54">
        <f t="shared" si="101"/>
        <v>0.03</v>
      </c>
      <c r="F133" s="54">
        <f t="shared" si="101"/>
        <v>0.6</v>
      </c>
      <c r="G133" s="54">
        <f t="shared" si="101"/>
        <v>0.18</v>
      </c>
      <c r="H133" s="54">
        <f t="shared" si="101"/>
        <v>0</v>
      </c>
      <c r="I133" s="54">
        <f t="shared" si="101"/>
        <v>0.01</v>
      </c>
      <c r="J133" s="54">
        <f t="shared" si="101"/>
        <v>0.03</v>
      </c>
      <c r="K133" s="54">
        <f t="shared" si="101"/>
        <v>0.01</v>
      </c>
      <c r="L133" s="54">
        <f t="shared" si="101"/>
        <v>0.02</v>
      </c>
      <c r="M133" s="54">
        <f t="shared" si="101"/>
        <v>0.02</v>
      </c>
      <c r="N133" s="54">
        <f t="shared" si="101"/>
        <v>0.06</v>
      </c>
      <c r="O133" s="54">
        <f t="shared" si="101"/>
        <v>0.02</v>
      </c>
      <c r="P133" s="54">
        <f t="shared" si="101"/>
        <v>0.03</v>
      </c>
      <c r="Q133" s="54">
        <f t="shared" si="101"/>
        <v>0.04</v>
      </c>
      <c r="R133" s="54">
        <f t="shared" si="101"/>
        <v>0.09</v>
      </c>
      <c r="S133" s="54">
        <f t="shared" si="101"/>
        <v>7.0000000000000007E-2</v>
      </c>
      <c r="T133" s="54">
        <f t="shared" si="101"/>
        <v>0.08</v>
      </c>
      <c r="U133" s="54">
        <f t="shared" si="101"/>
        <v>0.12</v>
      </c>
      <c r="V133" s="54">
        <f t="shared" si="101"/>
        <v>0.22</v>
      </c>
      <c r="W133" s="54">
        <f t="shared" si="101"/>
        <v>0.27</v>
      </c>
      <c r="AB133" s="19"/>
      <c r="AC133" s="13">
        <f t="shared" ref="AC133:AN133" si="102">IF(AC113="","",AC113)</f>
        <v>-17.7</v>
      </c>
      <c r="AD133" s="13">
        <f t="shared" si="102"/>
        <v>-11.63</v>
      </c>
      <c r="AE133" s="13">
        <f t="shared" si="102"/>
        <v>40.07</v>
      </c>
      <c r="AF133" s="13">
        <f t="shared" si="102"/>
        <v>0.87</v>
      </c>
      <c r="AG133" s="13">
        <f t="shared" si="102"/>
        <v>7.0000000000000007E-2</v>
      </c>
      <c r="AH133" s="13">
        <f t="shared" si="102"/>
        <v>0.11</v>
      </c>
      <c r="AI133" s="13">
        <f t="shared" si="102"/>
        <v>0.23</v>
      </c>
      <c r="AJ133" s="13">
        <f t="shared" si="102"/>
        <v>0.7</v>
      </c>
      <c r="AK133" s="13">
        <f t="shared" si="102"/>
        <v>1.114255246002404</v>
      </c>
      <c r="AL133" s="13">
        <f t="shared" si="102"/>
        <v>1.4566077102599884</v>
      </c>
      <c r="AM133" s="13">
        <f t="shared" si="102"/>
        <v>1.9040188313116713</v>
      </c>
      <c r="AN133" s="13">
        <f t="shared" si="102"/>
        <v>2.488684574273599</v>
      </c>
    </row>
    <row r="134" spans="1:40" x14ac:dyDescent="0.3">
      <c r="AB134" s="19"/>
    </row>
    <row r="135" spans="1:40" x14ac:dyDescent="0.3">
      <c r="A135" s="5" t="s">
        <v>285</v>
      </c>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44"/>
      <c r="AC135" s="5"/>
      <c r="AD135" s="5"/>
      <c r="AE135" s="5"/>
      <c r="AF135" s="5"/>
      <c r="AG135" s="5"/>
      <c r="AH135" s="5"/>
      <c r="AI135" s="5"/>
      <c r="AJ135" s="5"/>
      <c r="AK135" s="5"/>
      <c r="AL135" s="5"/>
      <c r="AM135" s="5"/>
      <c r="AN135" s="5"/>
    </row>
    <row r="136" spans="1:40" x14ac:dyDescent="0.3">
      <c r="A136" s="17" t="s">
        <v>286</v>
      </c>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45"/>
      <c r="AC136" s="17"/>
      <c r="AD136" s="17"/>
      <c r="AE136" s="17"/>
      <c r="AF136" s="17"/>
      <c r="AG136" s="17"/>
      <c r="AH136" s="17"/>
      <c r="AI136" s="17"/>
      <c r="AJ136" s="17"/>
      <c r="AK136" s="17"/>
      <c r="AL136" s="17"/>
      <c r="AM136" s="17"/>
      <c r="AN136" s="17"/>
    </row>
    <row r="137" spans="1:40" x14ac:dyDescent="0.3">
      <c r="A137" s="1" t="s">
        <v>287</v>
      </c>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46"/>
      <c r="AC137" s="9"/>
      <c r="AD137" s="9"/>
      <c r="AE137" s="9"/>
      <c r="AF137" s="9"/>
      <c r="AG137" s="9"/>
      <c r="AH137" s="9"/>
      <c r="AI137" s="9"/>
      <c r="AJ137" s="9"/>
      <c r="AK137" s="9"/>
      <c r="AL137" s="9"/>
      <c r="AM137" s="9"/>
      <c r="AN137" s="9"/>
    </row>
    <row r="138" spans="1:40" x14ac:dyDescent="0.3">
      <c r="A138" s="12" t="s">
        <v>74</v>
      </c>
      <c r="B138" s="17"/>
      <c r="C138" s="22"/>
      <c r="E138" s="55"/>
      <c r="G138" s="55"/>
      <c r="I138" s="55"/>
      <c r="K138" s="55"/>
      <c r="M138" s="55"/>
      <c r="O138" s="55"/>
      <c r="Q138" s="55"/>
      <c r="S138" s="55"/>
      <c r="U138" s="55"/>
      <c r="W138" s="55"/>
      <c r="AB138" s="19"/>
      <c r="AC138" s="56"/>
      <c r="AD138" s="56"/>
      <c r="AE138" s="56"/>
      <c r="AF138" s="56"/>
      <c r="AG138" s="56"/>
      <c r="AH138" s="56"/>
      <c r="AI138" s="56"/>
      <c r="AJ138" s="56"/>
      <c r="AK138" s="56"/>
      <c r="AL138" s="56"/>
      <c r="AM138" s="56"/>
      <c r="AN138" s="56"/>
    </row>
    <row r="139" spans="1:40" x14ac:dyDescent="0.3">
      <c r="A139" s="12" t="s">
        <v>75</v>
      </c>
      <c r="B139" s="12" t="s">
        <v>214</v>
      </c>
      <c r="C139" s="12" t="s">
        <v>288</v>
      </c>
      <c r="AB139" s="19"/>
      <c r="AC139" s="56" t="str">
        <f t="shared" ref="AC139:AN139" si="103">AC230</f>
        <v/>
      </c>
      <c r="AD139" s="56" t="str">
        <f t="shared" si="103"/>
        <v/>
      </c>
      <c r="AE139" s="56">
        <f t="shared" si="103"/>
        <v>686.5200000000001</v>
      </c>
      <c r="AF139" s="56">
        <f t="shared" si="103"/>
        <v>1244.42</v>
      </c>
      <c r="AG139" s="56">
        <f t="shared" si="103"/>
        <v>2313.46</v>
      </c>
      <c r="AH139" s="56">
        <f t="shared" si="103"/>
        <v>2357.7200000000003</v>
      </c>
      <c r="AI139" s="56">
        <f t="shared" si="103"/>
        <v>2717.2000000000003</v>
      </c>
      <c r="AJ139" s="56">
        <f t="shared" si="103"/>
        <v>2999.7</v>
      </c>
      <c r="AK139" s="56">
        <f t="shared" si="103"/>
        <v>2999.7</v>
      </c>
      <c r="AL139" s="56">
        <f t="shared" si="103"/>
        <v>2999.7</v>
      </c>
      <c r="AM139" s="56">
        <f t="shared" si="103"/>
        <v>2999.7</v>
      </c>
      <c r="AN139" s="56">
        <f t="shared" si="103"/>
        <v>2999.7</v>
      </c>
    </row>
    <row r="140" spans="1:40" x14ac:dyDescent="0.3">
      <c r="A140" s="12" t="s">
        <v>76</v>
      </c>
      <c r="B140" s="12" t="s">
        <v>214</v>
      </c>
      <c r="C140" s="12" t="s">
        <v>289</v>
      </c>
      <c r="E140" s="55"/>
      <c r="G140" s="55"/>
      <c r="I140" s="55"/>
      <c r="K140" s="55"/>
      <c r="M140" s="55"/>
      <c r="O140" s="55"/>
      <c r="Q140" s="55"/>
      <c r="S140" s="55"/>
      <c r="U140" s="55"/>
      <c r="W140" s="55"/>
      <c r="AB140" s="19"/>
      <c r="AC140" s="56">
        <f>IF('Raw Data - financials'!AC50="","",'Raw Data - financials'!AC50)</f>
        <v>3.2</v>
      </c>
      <c r="AD140" s="56">
        <f>IF('Raw Data - financials'!AD50="","",'Raw Data - financials'!AD50)</f>
        <v>7.78</v>
      </c>
      <c r="AE140" s="56">
        <f>IF('Raw Data - financials'!AE50="","",'Raw Data - financials'!AE50)</f>
        <v>19.690000000000001</v>
      </c>
      <c r="AF140" s="56">
        <f>IF('Raw Data - financials'!AF50="","",'Raw Data - financials'!AF50)</f>
        <v>97.64</v>
      </c>
      <c r="AG140" s="56">
        <f>IF('Raw Data - financials'!AG50="","",'Raw Data - financials'!AG50)</f>
        <v>20.22</v>
      </c>
      <c r="AH140" s="56">
        <f>IF('Raw Data - financials'!AH50="","",'Raw Data - financials'!AH50)</f>
        <v>60.77</v>
      </c>
      <c r="AI140" s="56">
        <f>IF('Raw Data - financials'!AI50="","",'Raw Data - financials'!AI50)</f>
        <v>31.7</v>
      </c>
      <c r="AJ140" s="56">
        <f>IF('Raw Data - financials'!AJ50="","",'Raw Data - financials'!AJ50)</f>
        <v>92.5</v>
      </c>
      <c r="AK140" s="56">
        <f t="shared" ref="AK140:AN141" si="104">AJ140</f>
        <v>92.5</v>
      </c>
      <c r="AL140" s="56">
        <f t="shared" si="104"/>
        <v>92.5</v>
      </c>
      <c r="AM140" s="56">
        <f t="shared" si="104"/>
        <v>92.5</v>
      </c>
      <c r="AN140" s="56">
        <f t="shared" si="104"/>
        <v>92.5</v>
      </c>
    </row>
    <row r="141" spans="1:40" x14ac:dyDescent="0.3">
      <c r="A141" s="12" t="s">
        <v>77</v>
      </c>
      <c r="B141" s="12" t="s">
        <v>214</v>
      </c>
      <c r="C141" s="12" t="s">
        <v>290</v>
      </c>
      <c r="E141" s="55"/>
      <c r="G141" s="55"/>
      <c r="I141" s="55"/>
      <c r="K141" s="55"/>
      <c r="M141" s="55"/>
      <c r="O141" s="55"/>
      <c r="Q141" s="55"/>
      <c r="S141" s="55"/>
      <c r="U141" s="55"/>
      <c r="W141" s="55"/>
      <c r="AB141" s="19"/>
      <c r="AC141" s="56">
        <f>IF('Raw Data - financials'!AC51="","",'Raw Data - financials'!AC51)</f>
        <v>1.43</v>
      </c>
      <c r="AD141" s="56">
        <f>IF('Raw Data - financials'!AD51="","",'Raw Data - financials'!AD51)</f>
        <v>1.43</v>
      </c>
      <c r="AE141" s="56">
        <f>IF('Raw Data - financials'!AE51="","",'Raw Data - financials'!AE51)</f>
        <v>5.43</v>
      </c>
      <c r="AF141" s="56">
        <f>IF('Raw Data - financials'!AF51="","",'Raw Data - financials'!AF51)</f>
        <v>474.78</v>
      </c>
      <c r="AG141" s="56">
        <f>IF('Raw Data - financials'!AG51="","",'Raw Data - financials'!AG51)</f>
        <v>610.65</v>
      </c>
      <c r="AH141" s="56">
        <f>IF('Raw Data - financials'!AH51="","",'Raw Data - financials'!AH51)</f>
        <v>610.65</v>
      </c>
      <c r="AI141" s="56">
        <f>IF('Raw Data - financials'!AI51="","",'Raw Data - financials'!AI51)</f>
        <v>975</v>
      </c>
      <c r="AJ141" s="56">
        <f>IF('Raw Data - financials'!AJ51="","",'Raw Data - financials'!AJ51)</f>
        <v>975</v>
      </c>
      <c r="AK141" s="56">
        <f t="shared" si="104"/>
        <v>975</v>
      </c>
      <c r="AL141" s="56">
        <f t="shared" si="104"/>
        <v>975</v>
      </c>
      <c r="AM141" s="56">
        <f t="shared" si="104"/>
        <v>975</v>
      </c>
      <c r="AN141" s="56">
        <f t="shared" si="104"/>
        <v>975</v>
      </c>
    </row>
    <row r="142" spans="1:40" x14ac:dyDescent="0.3">
      <c r="A142" s="12" t="s">
        <v>78</v>
      </c>
      <c r="B142" s="12" t="s">
        <v>214</v>
      </c>
      <c r="C142" s="12" t="s">
        <v>291</v>
      </c>
      <c r="AB142" s="19"/>
      <c r="AC142" s="56" t="str">
        <f t="shared" ref="AC142:AN142" si="105">AC242</f>
        <v/>
      </c>
      <c r="AD142" s="56" t="str">
        <f t="shared" si="105"/>
        <v/>
      </c>
      <c r="AE142" s="56">
        <f t="shared" si="105"/>
        <v>231.08000000000004</v>
      </c>
      <c r="AF142" s="56">
        <f t="shared" si="105"/>
        <v>640.04999999999995</v>
      </c>
      <c r="AG142" s="56">
        <f t="shared" si="105"/>
        <v>944.85</v>
      </c>
      <c r="AH142" s="56">
        <f t="shared" si="105"/>
        <v>1104.67</v>
      </c>
      <c r="AI142" s="56">
        <f t="shared" si="105"/>
        <v>1357.3999999999999</v>
      </c>
      <c r="AJ142" s="56">
        <f t="shared" si="105"/>
        <v>1490.1</v>
      </c>
      <c r="AK142" s="56">
        <f t="shared" si="105"/>
        <v>1490.1</v>
      </c>
      <c r="AL142" s="56">
        <f t="shared" si="105"/>
        <v>1490.1</v>
      </c>
      <c r="AM142" s="56">
        <f t="shared" si="105"/>
        <v>1490.1</v>
      </c>
      <c r="AN142" s="56">
        <f t="shared" si="105"/>
        <v>1490.1</v>
      </c>
    </row>
    <row r="143" spans="1:40" x14ac:dyDescent="0.3">
      <c r="A143" s="12" t="s">
        <v>79</v>
      </c>
      <c r="B143" s="12" t="s">
        <v>214</v>
      </c>
      <c r="C143" s="12" t="s">
        <v>292</v>
      </c>
      <c r="E143" s="55"/>
      <c r="G143" s="55"/>
      <c r="I143" s="55"/>
      <c r="K143" s="55"/>
      <c r="M143" s="55"/>
      <c r="O143" s="55"/>
      <c r="Q143" s="55"/>
      <c r="S143" s="55"/>
      <c r="U143" s="55"/>
      <c r="W143" s="55"/>
      <c r="AB143" s="19"/>
      <c r="AC143" s="56" t="str">
        <f t="shared" ref="AC143:AN143" si="106">AC236</f>
        <v/>
      </c>
      <c r="AD143" s="56" t="str">
        <f t="shared" si="106"/>
        <v/>
      </c>
      <c r="AE143" s="56">
        <f t="shared" si="106"/>
        <v>1389.3400000000001</v>
      </c>
      <c r="AF143" s="56">
        <f t="shared" si="106"/>
        <v>2473.2600000000002</v>
      </c>
      <c r="AG143" s="56">
        <f t="shared" si="106"/>
        <v>3119.21</v>
      </c>
      <c r="AH143" s="56">
        <f t="shared" si="106"/>
        <v>2608.54</v>
      </c>
      <c r="AI143" s="56">
        <f t="shared" si="106"/>
        <v>3298.6</v>
      </c>
      <c r="AJ143" s="56">
        <f t="shared" si="106"/>
        <v>4614.7000000000007</v>
      </c>
      <c r="AK143" s="56">
        <f t="shared" si="106"/>
        <v>4614.7000000000007</v>
      </c>
      <c r="AL143" s="56">
        <f t="shared" si="106"/>
        <v>4614.7000000000007</v>
      </c>
      <c r="AM143" s="56">
        <f t="shared" si="106"/>
        <v>4614.7000000000007</v>
      </c>
      <c r="AN143" s="56">
        <f t="shared" si="106"/>
        <v>4614.7000000000007</v>
      </c>
    </row>
    <row r="144" spans="1:40" x14ac:dyDescent="0.3">
      <c r="A144" s="12" t="s">
        <v>80</v>
      </c>
      <c r="B144" s="12" t="s">
        <v>214</v>
      </c>
      <c r="C144" s="12" t="s">
        <v>293</v>
      </c>
      <c r="AB144" s="19"/>
      <c r="AC144" s="56">
        <f>IF('Raw Data - financials'!AC54="","",'Raw Data - financials'!AC54)</f>
        <v>0</v>
      </c>
      <c r="AD144" s="56">
        <f>IF('Raw Data - financials'!AD54="","",'Raw Data - financials'!AD54)</f>
        <v>12.45</v>
      </c>
      <c r="AE144" s="56">
        <f>IF('Raw Data - financials'!AE54="","",'Raw Data - financials'!AE54)</f>
        <v>3.88</v>
      </c>
      <c r="AF144" s="56">
        <f>IF('Raw Data - financials'!AF54="","",'Raw Data - financials'!AF54)</f>
        <v>147.31</v>
      </c>
      <c r="AG144" s="56">
        <f>IF('Raw Data - financials'!AG54="","",'Raw Data - financials'!AG54)</f>
        <v>288.56</v>
      </c>
      <c r="AH144" s="56">
        <f>IF('Raw Data - financials'!AH54="","",'Raw Data - financials'!AH54)</f>
        <v>236.99</v>
      </c>
      <c r="AI144" s="56">
        <f>IF('Raw Data - financials'!AI54="","",'Raw Data - financials'!AI54)</f>
        <v>335.7</v>
      </c>
      <c r="AJ144" s="56">
        <f>IF('Raw Data - financials'!AJ54="","",'Raw Data - financials'!AJ54)</f>
        <v>0</v>
      </c>
      <c r="AK144" s="56">
        <f t="shared" ref="AK144:AN146" si="107">AJ144</f>
        <v>0</v>
      </c>
      <c r="AL144" s="56">
        <f t="shared" si="107"/>
        <v>0</v>
      </c>
      <c r="AM144" s="56">
        <f t="shared" si="107"/>
        <v>0</v>
      </c>
      <c r="AN144" s="56">
        <f t="shared" si="107"/>
        <v>0</v>
      </c>
    </row>
    <row r="145" spans="1:40" x14ac:dyDescent="0.3">
      <c r="A145" s="12" t="s">
        <v>81</v>
      </c>
      <c r="B145" s="12" t="s">
        <v>214</v>
      </c>
      <c r="C145" s="12" t="s">
        <v>294</v>
      </c>
      <c r="E145" s="55"/>
      <c r="G145" s="55"/>
      <c r="I145" s="55"/>
      <c r="K145" s="55"/>
      <c r="M145" s="55"/>
      <c r="O145" s="55"/>
      <c r="Q145" s="55"/>
      <c r="S145" s="55"/>
      <c r="U145" s="55"/>
      <c r="W145" s="55"/>
      <c r="AB145" s="19"/>
      <c r="AC145" s="56">
        <f>IF('Raw Data - financials'!AC55="","",'Raw Data - financials'!AC55)</f>
        <v>0</v>
      </c>
      <c r="AD145" s="56">
        <f>IF('Raw Data - financials'!AD55="","",'Raw Data - financials'!AD55)</f>
        <v>0</v>
      </c>
      <c r="AE145" s="56">
        <f>IF('Raw Data - financials'!AE55="","",'Raw Data - financials'!AE55)</f>
        <v>0</v>
      </c>
      <c r="AF145" s="56">
        <f>IF('Raw Data - financials'!AF55="","",'Raw Data - financials'!AF55)</f>
        <v>0</v>
      </c>
      <c r="AG145" s="56">
        <f>IF('Raw Data - financials'!AG55="","",'Raw Data - financials'!AG55)</f>
        <v>0</v>
      </c>
      <c r="AH145" s="56">
        <f>IF('Raw Data - financials'!AH55="","",'Raw Data - financials'!AH55)</f>
        <v>338.23</v>
      </c>
      <c r="AI145" s="56">
        <f>IF('Raw Data - financials'!AI55="","",'Raw Data - financials'!AI55)</f>
        <v>0</v>
      </c>
      <c r="AJ145" s="56">
        <f>IF('Raw Data - financials'!AJ55="","",'Raw Data - financials'!AJ55)</f>
        <v>0</v>
      </c>
      <c r="AK145" s="56">
        <f t="shared" si="107"/>
        <v>0</v>
      </c>
      <c r="AL145" s="56">
        <f t="shared" si="107"/>
        <v>0</v>
      </c>
      <c r="AM145" s="56">
        <f t="shared" si="107"/>
        <v>0</v>
      </c>
      <c r="AN145" s="56">
        <f t="shared" si="107"/>
        <v>0</v>
      </c>
    </row>
    <row r="146" spans="1:40" x14ac:dyDescent="0.3">
      <c r="A146" s="12" t="s">
        <v>82</v>
      </c>
      <c r="B146" s="12" t="s">
        <v>214</v>
      </c>
      <c r="C146" s="12" t="s">
        <v>295</v>
      </c>
      <c r="AB146" s="19"/>
      <c r="AC146" s="56">
        <f>IF('Raw Data - financials'!AC56="","",'Raw Data - financials'!AC56)</f>
        <v>32.299999999999997</v>
      </c>
      <c r="AD146" s="56">
        <f>IF('Raw Data - financials'!AD56="","",'Raw Data - financials'!AD56)</f>
        <v>38.03</v>
      </c>
      <c r="AE146" s="56">
        <f>IF('Raw Data - financials'!AE56="","",'Raw Data - financials'!AE56)</f>
        <v>13.19</v>
      </c>
      <c r="AF146" s="56">
        <f>IF('Raw Data - financials'!AF56="","",'Raw Data - financials'!AF56)</f>
        <v>0</v>
      </c>
      <c r="AG146" s="56">
        <f>IF('Raw Data - financials'!AG56="","",'Raw Data - financials'!AG56)</f>
        <v>381.2</v>
      </c>
      <c r="AH146" s="56">
        <f>IF('Raw Data - financials'!AH56="","",'Raw Data - financials'!AH56)</f>
        <v>4.88</v>
      </c>
      <c r="AI146" s="56">
        <f>IF('Raw Data - financials'!AI56="","",'Raw Data - financials'!AI56)</f>
        <v>1.6</v>
      </c>
      <c r="AJ146" s="56">
        <f>IF('Raw Data - financials'!AJ56="","",'Raw Data - financials'!AJ56)</f>
        <v>1.6</v>
      </c>
      <c r="AK146" s="56">
        <f t="shared" si="107"/>
        <v>1.6</v>
      </c>
      <c r="AL146" s="56">
        <f t="shared" si="107"/>
        <v>1.6</v>
      </c>
      <c r="AM146" s="56">
        <f t="shared" si="107"/>
        <v>1.6</v>
      </c>
      <c r="AN146" s="56">
        <f t="shared" si="107"/>
        <v>1.6</v>
      </c>
    </row>
    <row r="147" spans="1:40" x14ac:dyDescent="0.3">
      <c r="A147" s="12" t="s">
        <v>83</v>
      </c>
      <c r="B147" s="12" t="s">
        <v>214</v>
      </c>
      <c r="C147" s="12" t="s">
        <v>296</v>
      </c>
      <c r="E147" s="55"/>
      <c r="G147" s="55"/>
      <c r="I147" s="55"/>
      <c r="K147" s="55"/>
      <c r="M147" s="55"/>
      <c r="O147" s="55"/>
      <c r="Q147" s="55"/>
      <c r="S147" s="55"/>
      <c r="U147" s="55"/>
      <c r="W147" s="55"/>
      <c r="AB147" s="19"/>
      <c r="AC147" s="56">
        <f>IF('Raw Data - financials'!AC57="","",'Raw Data - financials'!AC57)</f>
        <v>56.31</v>
      </c>
      <c r="AD147" s="56">
        <f>IF('Raw Data - financials'!AD57="","",'Raw Data - financials'!AD57)</f>
        <v>105.84</v>
      </c>
      <c r="AE147" s="56">
        <f>IF('Raw Data - financials'!AE57="","",'Raw Data - financials'!AE57)</f>
        <v>161.79</v>
      </c>
      <c r="AF147" s="56">
        <f>IF('Raw Data - financials'!AF57="","",'Raw Data - financials'!AF57)</f>
        <v>0</v>
      </c>
      <c r="AG147" s="56">
        <f>IF('Raw Data - financials'!AG57="","",'Raw Data - financials'!AG57)</f>
        <v>0</v>
      </c>
      <c r="AH147" s="56">
        <f>IF('Raw Data - financials'!AH57="","",'Raw Data - financials'!AH57)</f>
        <v>0</v>
      </c>
      <c r="AI147" s="56">
        <f>IF('Raw Data - financials'!AI57="","",'Raw Data - financials'!AI57)</f>
        <v>0</v>
      </c>
      <c r="AJ147" s="56">
        <f>IF('Raw Data - financials'!AJ57="","",'Raw Data - financials'!AJ57)</f>
        <v>0</v>
      </c>
      <c r="AK147" s="56">
        <f>AK118*AK148</f>
        <v>0</v>
      </c>
      <c r="AL147" s="56">
        <f>AL118*AL148</f>
        <v>0</v>
      </c>
      <c r="AM147" s="56">
        <f>AM118*AM148</f>
        <v>0</v>
      </c>
      <c r="AN147" s="56">
        <f>AN118*AN148</f>
        <v>0</v>
      </c>
    </row>
    <row r="148" spans="1:40" x14ac:dyDescent="0.3">
      <c r="A148" s="12" t="s">
        <v>297</v>
      </c>
      <c r="B148" s="12" t="s">
        <v>217</v>
      </c>
      <c r="C148" s="12" t="s">
        <v>238</v>
      </c>
      <c r="E148" s="55"/>
      <c r="G148" s="55"/>
      <c r="I148" s="55"/>
      <c r="K148" s="55"/>
      <c r="M148" s="55"/>
      <c r="O148" s="55"/>
      <c r="Q148" s="55"/>
      <c r="S148" s="55"/>
      <c r="U148" s="55"/>
      <c r="W148" s="55"/>
      <c r="AB148" s="19"/>
      <c r="AC148" s="52" t="str">
        <f t="shared" ref="AC148:AJ148" si="108">IFERROR(AC147/AC118,"")</f>
        <v/>
      </c>
      <c r="AD148" s="52" t="str">
        <f t="shared" si="108"/>
        <v/>
      </c>
      <c r="AE148" s="52" t="str">
        <f t="shared" si="108"/>
        <v/>
      </c>
      <c r="AF148" s="52" t="str">
        <f t="shared" si="108"/>
        <v/>
      </c>
      <c r="AG148" s="52" t="str">
        <f t="shared" si="108"/>
        <v/>
      </c>
      <c r="AH148" s="52">
        <f t="shared" si="108"/>
        <v>0</v>
      </c>
      <c r="AI148" s="52">
        <f t="shared" si="108"/>
        <v>0</v>
      </c>
      <c r="AJ148" s="52">
        <f t="shared" si="108"/>
        <v>0</v>
      </c>
      <c r="AK148" s="50">
        <v>0</v>
      </c>
      <c r="AL148" s="50">
        <v>0</v>
      </c>
      <c r="AM148" s="50">
        <v>0</v>
      </c>
      <c r="AN148" s="50">
        <v>0</v>
      </c>
    </row>
    <row r="149" spans="1:40" x14ac:dyDescent="0.3">
      <c r="A149" s="12" t="s">
        <v>84</v>
      </c>
      <c r="B149" s="12" t="s">
        <v>214</v>
      </c>
      <c r="C149" s="12" t="s">
        <v>298</v>
      </c>
      <c r="AB149" s="19"/>
      <c r="AC149" s="56">
        <f>IF('Raw Data - financials'!AC58="","",'Raw Data - financials'!AC58)</f>
        <v>0</v>
      </c>
      <c r="AD149" s="56">
        <f>IF('Raw Data - financials'!AD58="","",'Raw Data - financials'!AD58)</f>
        <v>0</v>
      </c>
      <c r="AE149" s="56">
        <f>IF('Raw Data - financials'!AE58="","",'Raw Data - financials'!AE58)</f>
        <v>0</v>
      </c>
      <c r="AF149" s="56">
        <f>IF('Raw Data - financials'!AF58="","",'Raw Data - financials'!AF58)</f>
        <v>718.79</v>
      </c>
      <c r="AG149" s="56">
        <f>IF('Raw Data - financials'!AG58="","",'Raw Data - financials'!AG58)</f>
        <v>434.5</v>
      </c>
      <c r="AH149" s="56">
        <f>IF('Raw Data - financials'!AH58="","",'Raw Data - financials'!AH58)</f>
        <v>492.36</v>
      </c>
      <c r="AI149" s="56">
        <f>IF('Raw Data - financials'!AI58="","",'Raw Data - financials'!AI58)</f>
        <v>986.8</v>
      </c>
      <c r="AJ149" s="56">
        <f>IF('Raw Data - financials'!AJ58="","",'Raw Data - financials'!AJ58)</f>
        <v>685.2</v>
      </c>
      <c r="AK149" s="56">
        <f>AK118*AK150</f>
        <v>922.25915812297637</v>
      </c>
      <c r="AL149" s="56">
        <f>AL118*AL150</f>
        <v>1211.5737467103322</v>
      </c>
      <c r="AM149" s="56">
        <f>AM118*AM150</f>
        <v>1591.6846118128253</v>
      </c>
      <c r="AN149" s="56">
        <f>AN118*AN150</f>
        <v>2091.0990741532141</v>
      </c>
    </row>
    <row r="150" spans="1:40" x14ac:dyDescent="0.3">
      <c r="A150" s="12" t="s">
        <v>297</v>
      </c>
      <c r="B150" s="12" t="s">
        <v>217</v>
      </c>
      <c r="C150" s="12" t="s">
        <v>238</v>
      </c>
      <c r="D150" s="9"/>
      <c r="E150" s="9"/>
      <c r="F150" s="9"/>
      <c r="G150" s="9"/>
      <c r="H150" s="9"/>
      <c r="I150" s="9"/>
      <c r="J150" s="9"/>
      <c r="K150" s="9"/>
      <c r="L150" s="9"/>
      <c r="M150" s="9"/>
      <c r="N150" s="9"/>
      <c r="O150" s="9"/>
      <c r="P150" s="9"/>
      <c r="Q150" s="9"/>
      <c r="R150" s="9"/>
      <c r="S150" s="9"/>
      <c r="T150" s="9"/>
      <c r="U150" s="9"/>
      <c r="V150" s="9"/>
      <c r="W150" s="9"/>
      <c r="X150" s="9"/>
      <c r="Y150" s="9"/>
      <c r="Z150" s="9"/>
      <c r="AA150" s="9"/>
      <c r="AB150" s="46"/>
      <c r="AC150" s="52" t="str">
        <f t="shared" ref="AC150:AJ150" si="109">IFERROR(AC149/AC118,"")</f>
        <v/>
      </c>
      <c r="AD150" s="52" t="str">
        <f t="shared" si="109"/>
        <v/>
      </c>
      <c r="AE150" s="52" t="str">
        <f t="shared" si="109"/>
        <v/>
      </c>
      <c r="AF150" s="52" t="str">
        <f t="shared" si="109"/>
        <v/>
      </c>
      <c r="AG150" s="52" t="str">
        <f t="shared" si="109"/>
        <v/>
      </c>
      <c r="AH150" s="52">
        <f t="shared" si="109"/>
        <v>7.7104421712139116E-3</v>
      </c>
      <c r="AI150" s="52">
        <f t="shared" si="109"/>
        <v>1.2412859662231346E-2</v>
      </c>
      <c r="AJ150" s="52">
        <f t="shared" si="109"/>
        <v>6.8368358979782858E-3</v>
      </c>
      <c r="AK150" s="50">
        <v>7.0000000000000001E-3</v>
      </c>
      <c r="AL150" s="50">
        <v>7.0000000000000001E-3</v>
      </c>
      <c r="AM150" s="50">
        <v>7.0000000000000001E-3</v>
      </c>
      <c r="AN150" s="50">
        <v>7.0000000000000001E-3</v>
      </c>
    </row>
    <row r="151" spans="1:40" x14ac:dyDescent="0.3">
      <c r="A151" s="12" t="s">
        <v>85</v>
      </c>
      <c r="B151" s="12" t="s">
        <v>214</v>
      </c>
      <c r="C151" s="12" t="s">
        <v>299</v>
      </c>
      <c r="E151" s="55"/>
      <c r="G151" s="55"/>
      <c r="I151" s="55"/>
      <c r="K151" s="55"/>
      <c r="M151" s="55"/>
      <c r="O151" s="55"/>
      <c r="Q151" s="55"/>
      <c r="S151" s="55"/>
      <c r="U151" s="55"/>
      <c r="W151" s="55"/>
      <c r="AB151" s="19"/>
      <c r="AC151" s="56">
        <f>IF('Raw Data - financials'!AC59="","",'Raw Data - financials'!AC59)</f>
        <v>501.48</v>
      </c>
      <c r="AD151" s="56">
        <f>IF('Raw Data - financials'!AD59="","",'Raw Data - financials'!AD59)</f>
        <v>506.11</v>
      </c>
      <c r="AE151" s="56">
        <f>IF('Raw Data - financials'!AE59="","",'Raw Data - financials'!AE59)</f>
        <v>780.41</v>
      </c>
      <c r="AF151" s="56">
        <f>IF('Raw Data - financials'!AF59="","",'Raw Data - financials'!AF59)</f>
        <v>1152.18</v>
      </c>
      <c r="AG151" s="56">
        <f>IF('Raw Data - financials'!AG59="","",'Raw Data - financials'!AG59)</f>
        <v>1877.73</v>
      </c>
      <c r="AH151" s="56">
        <f>IF('Raw Data - financials'!AH59="","",'Raw Data - financials'!AH59)</f>
        <v>2689.91</v>
      </c>
      <c r="AI151" s="56">
        <f>IF('Raw Data - financials'!AI59="","",'Raw Data - financials'!AI59)</f>
        <v>2579.5</v>
      </c>
      <c r="AJ151" s="56">
        <f>IF('Raw Data - financials'!AJ59="","",'Raw Data - financials'!AJ59)</f>
        <v>2687.8</v>
      </c>
      <c r="AK151" s="56">
        <f t="shared" ref="AK151:AN152" si="110">AJ151</f>
        <v>2687.8</v>
      </c>
      <c r="AL151" s="56">
        <f t="shared" si="110"/>
        <v>2687.8</v>
      </c>
      <c r="AM151" s="56">
        <f t="shared" si="110"/>
        <v>2687.8</v>
      </c>
      <c r="AN151" s="56">
        <f t="shared" si="110"/>
        <v>2687.8</v>
      </c>
    </row>
    <row r="152" spans="1:40" x14ac:dyDescent="0.3">
      <c r="A152" s="12" t="s">
        <v>86</v>
      </c>
      <c r="B152" s="12" t="s">
        <v>214</v>
      </c>
      <c r="C152" s="12" t="s">
        <v>300</v>
      </c>
      <c r="E152" s="55"/>
      <c r="G152" s="55"/>
      <c r="I152" s="55"/>
      <c r="K152" s="55"/>
      <c r="M152" s="55"/>
      <c r="O152" s="55"/>
      <c r="Q152" s="55"/>
      <c r="S152" s="55"/>
      <c r="U152" s="55"/>
      <c r="W152" s="55"/>
      <c r="AB152" s="19"/>
      <c r="AC152" s="56">
        <f>IF('Raw Data - financials'!AC60="","",'Raw Data - financials'!AC60)</f>
        <v>110.46</v>
      </c>
      <c r="AD152" s="56">
        <f>IF('Raw Data - financials'!AD60="","",'Raw Data - financials'!AD60)</f>
        <v>110.45</v>
      </c>
      <c r="AE152" s="56">
        <f>IF('Raw Data - financials'!AE60="","",'Raw Data - financials'!AE60)</f>
        <v>85.63</v>
      </c>
      <c r="AF152" s="56">
        <f>IF('Raw Data - financials'!AF60="","",'Raw Data - financials'!AF60)</f>
        <v>138.69999999999999</v>
      </c>
      <c r="AG152" s="56">
        <f>IF('Raw Data - financials'!AG60="","",'Raw Data - financials'!AG60)</f>
        <v>211.82</v>
      </c>
      <c r="AH152" s="56">
        <f>IF('Raw Data - financials'!AH60="","",'Raw Data - financials'!AH60)</f>
        <v>456.72</v>
      </c>
      <c r="AI152" s="56">
        <f>IF('Raw Data - financials'!AI60="","",'Raw Data - financials'!AI60)</f>
        <v>639.5</v>
      </c>
      <c r="AJ152" s="56">
        <f>IF('Raw Data - financials'!AJ60="","",'Raw Data - financials'!AJ60)</f>
        <v>622.6</v>
      </c>
      <c r="AK152" s="56">
        <f t="shared" si="110"/>
        <v>622.6</v>
      </c>
      <c r="AL152" s="56">
        <f t="shared" si="110"/>
        <v>622.6</v>
      </c>
      <c r="AM152" s="56">
        <f t="shared" si="110"/>
        <v>622.6</v>
      </c>
      <c r="AN152" s="56">
        <f t="shared" si="110"/>
        <v>622.6</v>
      </c>
    </row>
    <row r="153" spans="1:40" x14ac:dyDescent="0.3">
      <c r="A153" s="12" t="s">
        <v>87</v>
      </c>
      <c r="B153" s="12" t="s">
        <v>214</v>
      </c>
      <c r="C153" s="12" t="s">
        <v>301</v>
      </c>
      <c r="AB153" s="19"/>
      <c r="AC153" s="56">
        <f>IF('Raw Data - financials'!AC61="","",'Raw Data - financials'!AC61)</f>
        <v>16.73</v>
      </c>
      <c r="AD153" s="56">
        <f>IF('Raw Data - financials'!AD61="","",'Raw Data - financials'!AD61)</f>
        <v>38.909999999999997</v>
      </c>
      <c r="AE153" s="56">
        <f>IF('Raw Data - financials'!AE61="","",'Raw Data - financials'!AE61)</f>
        <v>13.53</v>
      </c>
      <c r="AF153" s="56">
        <f>IF('Raw Data - financials'!AF61="","",'Raw Data - financials'!AF61)</f>
        <v>102.69</v>
      </c>
      <c r="AG153" s="56">
        <f>IF('Raw Data - financials'!AG61="","",'Raw Data - financials'!AG61)</f>
        <v>241.6</v>
      </c>
      <c r="AH153" s="56">
        <f>IF('Raw Data - financials'!AH61="","",'Raw Data - financials'!AH61)</f>
        <v>115.36</v>
      </c>
      <c r="AI153" s="56">
        <f>IF('Raw Data - financials'!AI61="","",'Raw Data - financials'!AI61)</f>
        <v>101.5</v>
      </c>
      <c r="AJ153" s="56">
        <f>IF('Raw Data - financials'!AJ61="","",'Raw Data - financials'!AJ61)</f>
        <v>55.2</v>
      </c>
      <c r="AK153" s="56">
        <f>AK118*AK154</f>
        <v>131.75130830328234</v>
      </c>
      <c r="AL153" s="56">
        <f>AL118*AL154</f>
        <v>173.08196381576172</v>
      </c>
      <c r="AM153" s="56">
        <f>AM118*AM154</f>
        <v>227.38351597326078</v>
      </c>
      <c r="AN153" s="56">
        <f>AN118*AN154</f>
        <v>298.72843916474488</v>
      </c>
    </row>
    <row r="154" spans="1:40" x14ac:dyDescent="0.3">
      <c r="A154" s="12" t="s">
        <v>297</v>
      </c>
      <c r="B154" s="12" t="s">
        <v>217</v>
      </c>
      <c r="C154" s="12" t="s">
        <v>238</v>
      </c>
      <c r="E154" s="55"/>
      <c r="G154" s="55"/>
      <c r="I154" s="55"/>
      <c r="K154" s="55"/>
      <c r="M154" s="55"/>
      <c r="O154" s="55"/>
      <c r="Q154" s="55"/>
      <c r="S154" s="55"/>
      <c r="U154" s="55"/>
      <c r="W154" s="55"/>
      <c r="AB154" s="19"/>
      <c r="AC154" s="52" t="str">
        <f t="shared" ref="AC154:AJ154" si="111">IFERROR(AC153/AC118,"")</f>
        <v/>
      </c>
      <c r="AD154" s="52" t="str">
        <f t="shared" si="111"/>
        <v/>
      </c>
      <c r="AE154" s="52" t="str">
        <f t="shared" si="111"/>
        <v/>
      </c>
      <c r="AF154" s="52" t="str">
        <f t="shared" si="111"/>
        <v/>
      </c>
      <c r="AG154" s="52" t="str">
        <f t="shared" si="111"/>
        <v/>
      </c>
      <c r="AH154" s="52">
        <f t="shared" si="111"/>
        <v>1.8065574150443514E-3</v>
      </c>
      <c r="AI154" s="52">
        <f t="shared" si="111"/>
        <v>1.2767584674873143E-3</v>
      </c>
      <c r="AJ154" s="52">
        <f t="shared" si="111"/>
        <v>5.5077837356742757E-4</v>
      </c>
      <c r="AK154" s="50">
        <v>1E-3</v>
      </c>
      <c r="AL154" s="50">
        <v>1E-3</v>
      </c>
      <c r="AM154" s="50">
        <v>1E-3</v>
      </c>
      <c r="AN154" s="50">
        <v>1E-3</v>
      </c>
    </row>
    <row r="155" spans="1:40" x14ac:dyDescent="0.3">
      <c r="A155" s="1" t="s">
        <v>88</v>
      </c>
      <c r="B155" s="12" t="s">
        <v>214</v>
      </c>
      <c r="C155" s="12" t="s">
        <v>215</v>
      </c>
      <c r="E155" s="55"/>
      <c r="G155" s="55"/>
      <c r="I155" s="55"/>
      <c r="K155" s="55"/>
      <c r="M155" s="55"/>
      <c r="O155" s="55"/>
      <c r="Q155" s="55"/>
      <c r="S155" s="55"/>
      <c r="U155" s="55"/>
      <c r="W155" s="55"/>
      <c r="AB155" s="19"/>
      <c r="AC155" s="60" t="str">
        <f t="shared" ref="AC155:AN155" si="112">IFERROR(AC139+AC140+AC141+AC142+AC143+AC144+AC145+AC146+AC147+AC149+AC151+AC152+AC153,"")</f>
        <v/>
      </c>
      <c r="AD155" s="60" t="str">
        <f t="shared" si="112"/>
        <v/>
      </c>
      <c r="AE155" s="60">
        <f t="shared" si="112"/>
        <v>3390.4900000000007</v>
      </c>
      <c r="AF155" s="60">
        <f t="shared" si="112"/>
        <v>7189.8200000000006</v>
      </c>
      <c r="AG155" s="60">
        <f t="shared" si="112"/>
        <v>10443.799999999999</v>
      </c>
      <c r="AH155" s="60">
        <f t="shared" si="112"/>
        <v>11076.8</v>
      </c>
      <c r="AI155" s="60">
        <f t="shared" si="112"/>
        <v>13024.5</v>
      </c>
      <c r="AJ155" s="60">
        <f t="shared" si="112"/>
        <v>14224.400000000003</v>
      </c>
      <c r="AK155" s="60">
        <f t="shared" si="112"/>
        <v>14538.01046642626</v>
      </c>
      <c r="AL155" s="60">
        <f t="shared" si="112"/>
        <v>14868.655710526094</v>
      </c>
      <c r="AM155" s="60">
        <f t="shared" si="112"/>
        <v>15303.068127786086</v>
      </c>
      <c r="AN155" s="60">
        <f t="shared" si="112"/>
        <v>15873.827513317958</v>
      </c>
    </row>
    <row r="156" spans="1:40" x14ac:dyDescent="0.3">
      <c r="A156" s="20"/>
      <c r="B156" s="17"/>
      <c r="C156" s="48"/>
      <c r="AB156" s="19"/>
      <c r="AC156" s="52"/>
      <c r="AD156" s="52"/>
      <c r="AE156" s="52"/>
      <c r="AF156" s="52"/>
      <c r="AG156" s="52"/>
      <c r="AH156" s="52"/>
      <c r="AI156" s="52"/>
      <c r="AJ156" s="52"/>
      <c r="AK156" s="50"/>
      <c r="AL156" s="50"/>
      <c r="AM156" s="50"/>
      <c r="AN156" s="50"/>
    </row>
    <row r="157" spans="1:40" x14ac:dyDescent="0.3">
      <c r="A157" s="12" t="s">
        <v>89</v>
      </c>
      <c r="B157" s="17"/>
      <c r="C157" s="22"/>
      <c r="E157" s="55"/>
      <c r="G157" s="55"/>
      <c r="I157" s="55"/>
      <c r="K157" s="55"/>
      <c r="M157" s="55"/>
      <c r="O157" s="55"/>
      <c r="Q157" s="55"/>
      <c r="S157" s="55"/>
      <c r="U157" s="55"/>
      <c r="W157" s="55"/>
      <c r="AB157" s="19"/>
      <c r="AC157" s="56"/>
      <c r="AD157" s="56"/>
      <c r="AE157" s="56"/>
      <c r="AF157" s="56"/>
      <c r="AG157" s="56"/>
      <c r="AH157" s="56"/>
      <c r="AI157" s="56"/>
      <c r="AJ157" s="56"/>
      <c r="AK157" s="56"/>
      <c r="AL157" s="56"/>
      <c r="AM157" s="56"/>
      <c r="AN157" s="56"/>
    </row>
    <row r="158" spans="1:40" x14ac:dyDescent="0.3">
      <c r="A158" s="12" t="s">
        <v>90</v>
      </c>
      <c r="B158" s="12" t="s">
        <v>214</v>
      </c>
      <c r="C158" s="12" t="s">
        <v>302</v>
      </c>
      <c r="AB158" s="19"/>
      <c r="AC158" s="56">
        <f>IF('Raw Data - financials'!AC65="","",'Raw Data - financials'!AC65)</f>
        <v>2445.96</v>
      </c>
      <c r="AD158" s="56">
        <f>IF('Raw Data - financials'!AD65="","",'Raw Data - financials'!AD65)</f>
        <v>4453.3599999999997</v>
      </c>
      <c r="AE158" s="56">
        <f>IF('Raw Data - financials'!AE65="","",'Raw Data - financials'!AE65)</f>
        <v>4980.92</v>
      </c>
      <c r="AF158" s="56">
        <f>IF('Raw Data - financials'!AF65="","",'Raw Data - financials'!AF65)</f>
        <v>8756.2099999999991</v>
      </c>
      <c r="AG158" s="56">
        <f>IF('Raw Data - financials'!AG65="","",'Raw Data - financials'!AG65)</f>
        <v>10051.4</v>
      </c>
      <c r="AH158" s="56">
        <f>IF('Raw Data - financials'!AH65="","",'Raw Data - financials'!AH65)</f>
        <v>11920.46</v>
      </c>
      <c r="AI158" s="56">
        <f>IF('Raw Data - financials'!AI65="","",'Raw Data - financials'!AI65)</f>
        <v>14175.4</v>
      </c>
      <c r="AJ158" s="56">
        <f>IF('Raw Data - financials'!AJ65="","",'Raw Data - financials'!AJ65)</f>
        <v>16421.599999999999</v>
      </c>
      <c r="AK158" s="56">
        <f>AK159/365*AK122</f>
        <v>10460.692916792117</v>
      </c>
      <c r="AL158" s="56">
        <f>AL159/365*AL122</f>
        <v>13742.233729810343</v>
      </c>
      <c r="AM158" s="56">
        <f>AM159/365*AM122</f>
        <v>18053.628199739993</v>
      </c>
      <c r="AN158" s="56">
        <f>AN159/365*AN122</f>
        <v>23718.219635600843</v>
      </c>
    </row>
    <row r="159" spans="1:40" x14ac:dyDescent="0.3">
      <c r="A159" s="12" t="s">
        <v>303</v>
      </c>
      <c r="B159" s="12" t="s">
        <v>304</v>
      </c>
      <c r="C159" s="12" t="s">
        <v>238</v>
      </c>
      <c r="E159" s="55"/>
      <c r="G159" s="55"/>
      <c r="I159" s="55"/>
      <c r="K159" s="55"/>
      <c r="M159" s="55"/>
      <c r="O159" s="55"/>
      <c r="Q159" s="55"/>
      <c r="S159" s="55"/>
      <c r="U159" s="55"/>
      <c r="W159" s="55"/>
      <c r="AB159" s="19"/>
      <c r="AC159" s="58">
        <f t="shared" ref="AC159:AJ159" si="113">IFERROR(AC158/(AC122/365),"")</f>
        <v>135.21225182764204</v>
      </c>
      <c r="AD159" s="58">
        <f t="shared" si="113"/>
        <v>160.27099057882774</v>
      </c>
      <c r="AE159" s="58">
        <f t="shared" si="113"/>
        <v>122.19419622603465</v>
      </c>
      <c r="AF159" s="58">
        <f t="shared" si="113"/>
        <v>150.04667338023438</v>
      </c>
      <c r="AG159" s="58">
        <f t="shared" si="113"/>
        <v>128.02405431728096</v>
      </c>
      <c r="AH159" s="58">
        <f t="shared" si="113"/>
        <v>119.32274586398695</v>
      </c>
      <c r="AI159" s="58">
        <f t="shared" si="113"/>
        <v>115.68107121936386</v>
      </c>
      <c r="AJ159" s="58">
        <f t="shared" si="113"/>
        <v>108.8504738919065</v>
      </c>
      <c r="AK159" s="82">
        <v>46</v>
      </c>
      <c r="AL159" s="82">
        <v>46</v>
      </c>
      <c r="AM159" s="82">
        <v>46</v>
      </c>
      <c r="AN159" s="82">
        <v>46</v>
      </c>
    </row>
    <row r="160" spans="1:40" x14ac:dyDescent="0.3">
      <c r="A160" s="12" t="s">
        <v>82</v>
      </c>
      <c r="B160" s="12" t="s">
        <v>214</v>
      </c>
      <c r="C160" s="12" t="s">
        <v>305</v>
      </c>
      <c r="AB160" s="19"/>
      <c r="AC160" s="56">
        <f>IF('Raw Data - financials'!AC66="","",'Raw Data - financials'!AC66)</f>
        <v>1350.4</v>
      </c>
      <c r="AD160" s="56">
        <f>IF('Raw Data - financials'!AD66="","",'Raw Data - financials'!AD66)</f>
        <v>0</v>
      </c>
      <c r="AE160" s="56">
        <f>IF('Raw Data - financials'!AE66="","",'Raw Data - financials'!AE66)</f>
        <v>0</v>
      </c>
      <c r="AF160" s="56">
        <f>IF('Raw Data - financials'!AF66="","",'Raw Data - financials'!AF66)</f>
        <v>0</v>
      </c>
      <c r="AG160" s="56">
        <f>IF('Raw Data - financials'!AG66="","",'Raw Data - financials'!AG66)</f>
        <v>0</v>
      </c>
      <c r="AH160" s="56">
        <f>IF('Raw Data - financials'!AH66="","",'Raw Data - financials'!AH66)</f>
        <v>0</v>
      </c>
      <c r="AI160" s="56">
        <f>IF('Raw Data - financials'!AI66="","",'Raw Data - financials'!AI66)</f>
        <v>0</v>
      </c>
      <c r="AJ160" s="56">
        <f>IF('Raw Data - financials'!AJ66="","",'Raw Data - financials'!AJ66)</f>
        <v>0</v>
      </c>
      <c r="AK160" s="56">
        <f>AJ160</f>
        <v>0</v>
      </c>
      <c r="AL160" s="56">
        <f>AK160</f>
        <v>0</v>
      </c>
      <c r="AM160" s="56">
        <f>AL160</f>
        <v>0</v>
      </c>
      <c r="AN160" s="56">
        <f>AM160</f>
        <v>0</v>
      </c>
    </row>
    <row r="161" spans="1:40" x14ac:dyDescent="0.3">
      <c r="A161" s="12" t="s">
        <v>91</v>
      </c>
      <c r="B161" s="12" t="s">
        <v>214</v>
      </c>
      <c r="C161" s="12" t="s">
        <v>306</v>
      </c>
      <c r="E161" s="55"/>
      <c r="G161" s="55"/>
      <c r="I161" s="55"/>
      <c r="K161" s="55"/>
      <c r="M161" s="55"/>
      <c r="O161" s="55"/>
      <c r="Q161" s="55"/>
      <c r="S161" s="55"/>
      <c r="U161" s="55"/>
      <c r="W161" s="55"/>
      <c r="AB161" s="19"/>
      <c r="AC161" s="56">
        <f>IF('Raw Data - financials'!AC67="","",'Raw Data - financials'!AC67)</f>
        <v>579.24</v>
      </c>
      <c r="AD161" s="56">
        <f>IF('Raw Data - financials'!AD67="","",'Raw Data - financials'!AD67)</f>
        <v>984.32</v>
      </c>
      <c r="AE161" s="56">
        <f>IF('Raw Data - financials'!AE67="","",'Raw Data - financials'!AE67)</f>
        <v>766.35</v>
      </c>
      <c r="AF161" s="56">
        <f>IF('Raw Data - financials'!AF67="","",'Raw Data - financials'!AF67)</f>
        <v>945.33</v>
      </c>
      <c r="AG161" s="56">
        <f>IF('Raw Data - financials'!AG67="","",'Raw Data - financials'!AG67)</f>
        <v>1635.31</v>
      </c>
      <c r="AH161" s="56">
        <f>IF('Raw Data - financials'!AH67="","",'Raw Data - financials'!AH67)</f>
        <v>2416</v>
      </c>
      <c r="AI161" s="56">
        <f>IF('Raw Data - financials'!AI67="","",'Raw Data - financials'!AI67)</f>
        <v>2466.1</v>
      </c>
      <c r="AJ161" s="56">
        <f>IF('Raw Data - financials'!AJ67="","",'Raw Data - financials'!AJ67)</f>
        <v>2893.8</v>
      </c>
      <c r="AK161" s="56">
        <f>AK162/365*AK118</f>
        <v>5414.4373275321504</v>
      </c>
      <c r="AL161" s="56">
        <f>AL162/365*AL118</f>
        <v>7112.9574170860978</v>
      </c>
      <c r="AM161" s="56">
        <f>AM162/365*AM118</f>
        <v>9344.528053695647</v>
      </c>
      <c r="AN161" s="56">
        <f>AN162/365*AN118</f>
        <v>12276.511198551158</v>
      </c>
    </row>
    <row r="162" spans="1:40" x14ac:dyDescent="0.3">
      <c r="A162" s="12" t="s">
        <v>307</v>
      </c>
      <c r="B162" s="12" t="s">
        <v>304</v>
      </c>
      <c r="C162" s="12" t="s">
        <v>238</v>
      </c>
      <c r="AB162" s="19"/>
      <c r="AC162" s="58" t="str">
        <f t="shared" ref="AC162:AJ162" si="114">IFERROR(AC161/(AC118/365),"")</f>
        <v/>
      </c>
      <c r="AD162" s="58" t="str">
        <f t="shared" si="114"/>
        <v/>
      </c>
      <c r="AE162" s="58" t="str">
        <f t="shared" si="114"/>
        <v/>
      </c>
      <c r="AF162" s="58" t="str">
        <f t="shared" si="114"/>
        <v/>
      </c>
      <c r="AG162" s="58" t="str">
        <f t="shared" si="114"/>
        <v/>
      </c>
      <c r="AH162" s="58">
        <f t="shared" si="114"/>
        <v>13.809765871035982</v>
      </c>
      <c r="AI162" s="58">
        <f t="shared" si="114"/>
        <v>11.32260227275586</v>
      </c>
      <c r="AJ162" s="58">
        <f t="shared" si="114"/>
        <v>10.538994510176432</v>
      </c>
      <c r="AK162" s="82">
        <v>15</v>
      </c>
      <c r="AL162" s="82">
        <v>15</v>
      </c>
      <c r="AM162" s="82">
        <v>15</v>
      </c>
      <c r="AN162" s="82">
        <v>15</v>
      </c>
    </row>
    <row r="163" spans="1:40" x14ac:dyDescent="0.3">
      <c r="A163" s="12" t="s">
        <v>92</v>
      </c>
      <c r="B163" s="12" t="s">
        <v>214</v>
      </c>
      <c r="C163" s="12" t="s">
        <v>308</v>
      </c>
      <c r="E163" s="55"/>
      <c r="G163" s="55"/>
      <c r="I163" s="55"/>
      <c r="K163" s="55"/>
      <c r="M163" s="55"/>
      <c r="O163" s="55"/>
      <c r="Q163" s="55"/>
      <c r="S163" s="55"/>
      <c r="U163" s="55"/>
      <c r="W163" s="55"/>
      <c r="AB163" s="19"/>
      <c r="AC163" s="56">
        <f>IF('Raw Data - financials'!AC68="","",'Raw Data - financials'!AC68)</f>
        <v>114.1</v>
      </c>
      <c r="AD163" s="56">
        <f>IF('Raw Data - financials'!AD68="","",'Raw Data - financials'!AD68)</f>
        <v>1011.91</v>
      </c>
      <c r="AE163" s="56">
        <f>IF('Raw Data - financials'!AE68="","",'Raw Data - financials'!AE68)</f>
        <v>835.82</v>
      </c>
      <c r="AF163" s="56">
        <f>IF('Raw Data - financials'!AF68="","",'Raw Data - financials'!AF68)</f>
        <v>658.9</v>
      </c>
      <c r="AG163" s="56">
        <f>IF('Raw Data - financials'!AG68="","",'Raw Data - financials'!AG68)</f>
        <v>413.76</v>
      </c>
      <c r="AH163" s="56">
        <f>IF('Raw Data - financials'!AH68="","",'Raw Data - financials'!AH68)</f>
        <v>757.77</v>
      </c>
      <c r="AI163" s="56">
        <f>IF('Raw Data - financials'!AI68="","",'Raw Data - financials'!AI68)</f>
        <v>1249.4000000000001</v>
      </c>
      <c r="AJ163" s="56">
        <f>IF('Raw Data - financials'!AJ68="","",'Raw Data - financials'!AJ68)</f>
        <v>1772</v>
      </c>
      <c r="AK163" s="56">
        <f>IFERROR(AK206-AK139-AK140-AK141-AK142-AK143-AK144-AK145-AK146-AK147-AK149-AK151-AK152-AK153-AK160-AK158-AK161-AK164-AK165-AK167-AK169,"")</f>
        <v>16047.155490501029</v>
      </c>
      <c r="AL163" s="56">
        <f>IFERROR(AL206-AL139-AL140-AL141-AL142-AL143-AL144-AL145-AL146-AL147-AL149-AL151-AL152-AL153-AL160-AL158-AL161-AL164-AL165-AL167-AL169,"")</f>
        <v>20126.712125324175</v>
      </c>
      <c r="AM163" s="56">
        <f>IFERROR(AM206-AM139-AM140-AM141-AM142-AM143-AM144-AM145-AM146-AM147-AM149-AM151-AM152-AM153-AM160-AM158-AM161-AM164-AM165-AM167-AM169,"")</f>
        <v>25458.874751375472</v>
      </c>
      <c r="AN163" s="56">
        <f>IFERROR(AN206-AN139-AN140-AN141-AN142-AN143-AN144-AN145-AN146-AN147-AN149-AN151-AN152-AN153-AN160-AN158-AN161-AN164-AN165-AN167-AN169,"")</f>
        <v>32427.753001284007</v>
      </c>
    </row>
    <row r="164" spans="1:40" x14ac:dyDescent="0.3">
      <c r="A164" s="12" t="s">
        <v>93</v>
      </c>
      <c r="B164" s="12" t="s">
        <v>214</v>
      </c>
      <c r="C164" s="12" t="s">
        <v>309</v>
      </c>
      <c r="AC164" s="56">
        <f>IF('Raw Data - financials'!AC69="","",'Raw Data - financials'!AC69)</f>
        <v>5.34</v>
      </c>
      <c r="AD164" s="56">
        <f>IF('Raw Data - financials'!AD69="","",'Raw Data - financials'!AD69)</f>
        <v>744.28</v>
      </c>
      <c r="AE164" s="56">
        <f>IF('Raw Data - financials'!AE69="","",'Raw Data - financials'!AE69)</f>
        <v>1640.88</v>
      </c>
      <c r="AF164" s="56">
        <f>IF('Raw Data - financials'!AF69="","",'Raw Data - financials'!AF69)</f>
        <v>2011.53</v>
      </c>
      <c r="AG164" s="56">
        <f>IF('Raw Data - financials'!AG69="","",'Raw Data - financials'!AG69)</f>
        <v>1073.6400000000001</v>
      </c>
      <c r="AH164" s="56">
        <f>IF('Raw Data - financials'!AH69="","",'Raw Data - financials'!AH69)</f>
        <v>1640.81</v>
      </c>
      <c r="AI164" s="56">
        <f>IF('Raw Data - financials'!AI69="","",'Raw Data - financials'!AI69)</f>
        <v>922.1</v>
      </c>
      <c r="AJ164" s="56">
        <f>IF('Raw Data - financials'!AJ69="","",'Raw Data - financials'!AJ69)</f>
        <v>1428.3</v>
      </c>
      <c r="AK164" s="56">
        <f>AJ164</f>
        <v>1428.3</v>
      </c>
      <c r="AL164" s="56">
        <f>AK164</f>
        <v>1428.3</v>
      </c>
      <c r="AM164" s="56">
        <f>AL164</f>
        <v>1428.3</v>
      </c>
      <c r="AN164" s="56">
        <f>AM164</f>
        <v>1428.3</v>
      </c>
    </row>
    <row r="165" spans="1:40" s="87" customFormat="1" x14ac:dyDescent="0.3">
      <c r="A165" s="84" t="s">
        <v>83</v>
      </c>
      <c r="B165" s="84" t="s">
        <v>214</v>
      </c>
      <c r="C165" s="84" t="s">
        <v>310</v>
      </c>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6">
        <f>IF('Raw Data - financials'!AC70="","",'Raw Data - financials'!AC70)</f>
        <v>48.19</v>
      </c>
      <c r="AD165" s="86">
        <f>IF('Raw Data - financials'!AD70="","",'Raw Data - financials'!AD70)</f>
        <v>74.11</v>
      </c>
      <c r="AE165" s="86">
        <f>IF('Raw Data - financials'!AE70="","",'Raw Data - financials'!AE70)</f>
        <v>54.26</v>
      </c>
      <c r="AF165" s="86">
        <f>IF('Raw Data - financials'!AF70="","",'Raw Data - financials'!AF70)</f>
        <v>0</v>
      </c>
      <c r="AG165" s="86">
        <f>IF('Raw Data - financials'!AG70="","",'Raw Data - financials'!AG70)</f>
        <v>0</v>
      </c>
      <c r="AH165" s="86">
        <f>IF('Raw Data - financials'!AH70="","",'Raw Data - financials'!AH70)</f>
        <v>0</v>
      </c>
      <c r="AI165" s="86">
        <f>IF('Raw Data - financials'!AI70="","",'Raw Data - financials'!AI70)</f>
        <v>0</v>
      </c>
      <c r="AJ165" s="86">
        <f>IF('Raw Data - financials'!AJ70="","",'Raw Data - financials'!AJ70)</f>
        <v>0</v>
      </c>
      <c r="AK165" s="86">
        <f>AK118*AK166</f>
        <v>0</v>
      </c>
      <c r="AL165" s="86">
        <f>AL118*AL166</f>
        <v>0</v>
      </c>
      <c r="AM165" s="86">
        <f>AM118*AM166</f>
        <v>0</v>
      </c>
      <c r="AN165" s="86">
        <f>AN118*AN166</f>
        <v>0</v>
      </c>
    </row>
    <row r="166" spans="1:40" x14ac:dyDescent="0.3">
      <c r="A166" s="83" t="s">
        <v>297</v>
      </c>
      <c r="B166" s="12" t="s">
        <v>217</v>
      </c>
      <c r="C166" s="12" t="s">
        <v>238</v>
      </c>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52" t="str">
        <f t="shared" ref="AC166:AJ166" si="115">IFERROR(AC165/AC118,"")</f>
        <v/>
      </c>
      <c r="AD166" s="52" t="str">
        <f t="shared" si="115"/>
        <v/>
      </c>
      <c r="AE166" s="52" t="str">
        <f t="shared" si="115"/>
        <v/>
      </c>
      <c r="AF166" s="52" t="str">
        <f t="shared" si="115"/>
        <v/>
      </c>
      <c r="AG166" s="52" t="str">
        <f t="shared" si="115"/>
        <v/>
      </c>
      <c r="AH166" s="52">
        <f t="shared" si="115"/>
        <v>0</v>
      </c>
      <c r="AI166" s="52">
        <f t="shared" si="115"/>
        <v>0</v>
      </c>
      <c r="AJ166" s="52">
        <f t="shared" si="115"/>
        <v>0</v>
      </c>
      <c r="AK166" s="50">
        <v>0</v>
      </c>
      <c r="AL166" s="50">
        <v>0</v>
      </c>
      <c r="AM166" s="50">
        <v>0</v>
      </c>
      <c r="AN166" s="50">
        <v>0</v>
      </c>
    </row>
    <row r="167" spans="1:40" x14ac:dyDescent="0.3">
      <c r="A167" s="12" t="s">
        <v>311</v>
      </c>
      <c r="B167" s="12" t="s">
        <v>214</v>
      </c>
      <c r="C167" s="12" t="s">
        <v>312</v>
      </c>
      <c r="AC167" s="56">
        <f>IF('Raw Data - financials'!AC71="","",'Raw Data - financials'!AC71)</f>
        <v>466.83</v>
      </c>
      <c r="AD167" s="56">
        <f>IF('Raw Data - financials'!AD71="","",'Raw Data - financials'!AD71)</f>
        <v>258.99</v>
      </c>
      <c r="AE167" s="56">
        <f>IF('Raw Data - financials'!AE71="","",'Raw Data - financials'!AE71)</f>
        <v>520.12</v>
      </c>
      <c r="AF167" s="56">
        <f>IF('Raw Data - financials'!AF71="","",'Raw Data - financials'!AF71)</f>
        <v>4878.78</v>
      </c>
      <c r="AG167" s="56">
        <f>IF('Raw Data - financials'!AG71="","",'Raw Data - financials'!AG71)</f>
        <v>2644.86</v>
      </c>
      <c r="AH167" s="56">
        <f>IF('Raw Data - financials'!AH71="","",'Raw Data - financials'!AH71)</f>
        <v>1833.22</v>
      </c>
      <c r="AI167" s="56">
        <f>IF('Raw Data - financials'!AI71="","",'Raw Data - financials'!AI71)</f>
        <v>2693</v>
      </c>
      <c r="AJ167" s="56">
        <f>IF('Raw Data - financials'!AJ71="","",'Raw Data - financials'!AJ71)</f>
        <v>3122.5</v>
      </c>
      <c r="AK167" s="56">
        <f>AK118*AK168</f>
        <v>4084.2905574017523</v>
      </c>
      <c r="AL167" s="56">
        <f>AL118*AL168</f>
        <v>5365.5408782886134</v>
      </c>
      <c r="AM167" s="56">
        <f>AM118*AM168</f>
        <v>7048.8889951710835</v>
      </c>
      <c r="AN167" s="56">
        <f>AN118*AN168</f>
        <v>9260.58161410709</v>
      </c>
    </row>
    <row r="168" spans="1:40" x14ac:dyDescent="0.3">
      <c r="A168" s="12" t="s">
        <v>297</v>
      </c>
      <c r="B168" s="12" t="s">
        <v>217</v>
      </c>
      <c r="C168" s="12" t="s">
        <v>238</v>
      </c>
      <c r="AC168" s="52" t="str">
        <f t="shared" ref="AC168:AJ168" si="116">IFERROR(AC167/AC118,"")</f>
        <v/>
      </c>
      <c r="AD168" s="52" t="str">
        <f t="shared" si="116"/>
        <v/>
      </c>
      <c r="AE168" s="52" t="str">
        <f t="shared" si="116"/>
        <v/>
      </c>
      <c r="AF168" s="52" t="str">
        <f t="shared" si="116"/>
        <v/>
      </c>
      <c r="AG168" s="52" t="str">
        <f t="shared" si="116"/>
        <v/>
      </c>
      <c r="AH168" s="52">
        <f t="shared" si="116"/>
        <v>2.870854008675109E-2</v>
      </c>
      <c r="AI168" s="52">
        <f t="shared" si="116"/>
        <v>3.3874980817175736E-2</v>
      </c>
      <c r="AJ168" s="52">
        <f t="shared" si="116"/>
        <v>3.1155896222179211E-2</v>
      </c>
      <c r="AK168" s="50">
        <v>3.1E-2</v>
      </c>
      <c r="AL168" s="50">
        <v>3.1E-2</v>
      </c>
      <c r="AM168" s="50">
        <v>3.1E-2</v>
      </c>
      <c r="AN168" s="50">
        <v>3.1E-2</v>
      </c>
    </row>
    <row r="169" spans="1:40" x14ac:dyDescent="0.3">
      <c r="A169" s="12" t="s">
        <v>95</v>
      </c>
      <c r="B169" s="12" t="s">
        <v>214</v>
      </c>
      <c r="C169" s="12" t="s">
        <v>313</v>
      </c>
      <c r="AC169" s="56">
        <f>IF('Raw Data - financials'!AC72="","",'Raw Data - financials'!AC72)</f>
        <v>630.21</v>
      </c>
      <c r="AD169" s="56">
        <f>IF('Raw Data - financials'!AD72="","",'Raw Data - financials'!AD72)</f>
        <v>627.97</v>
      </c>
      <c r="AE169" s="56">
        <f>IF('Raw Data - financials'!AE72="","",'Raw Data - financials'!AE72)</f>
        <v>831.8</v>
      </c>
      <c r="AF169" s="56">
        <f>IF('Raw Data - financials'!AF72="","",'Raw Data - financials'!AF72)</f>
        <v>2019.78</v>
      </c>
      <c r="AG169" s="56">
        <f>IF('Raw Data - financials'!AG72="","",'Raw Data - financials'!AG72)</f>
        <v>3237.01</v>
      </c>
      <c r="AH169" s="56">
        <f>IF('Raw Data - financials'!AH72="","",'Raw Data - financials'!AH72)</f>
        <v>4361.2</v>
      </c>
      <c r="AI169" s="56">
        <f>IF('Raw Data - financials'!AI72="","",'Raw Data - financials'!AI72)</f>
        <v>5264.8</v>
      </c>
      <c r="AJ169" s="56">
        <f>IF('Raw Data - financials'!AJ72="","",'Raw Data - financials'!AJ72)</f>
        <v>6251.2</v>
      </c>
      <c r="AK169" s="56">
        <f>AK118*AK170</f>
        <v>8168.5811148035045</v>
      </c>
      <c r="AL169" s="56">
        <f>AL118*AL170</f>
        <v>10731.081756577227</v>
      </c>
      <c r="AM169" s="56">
        <f>AM118*AM170</f>
        <v>14097.777990342167</v>
      </c>
      <c r="AN169" s="56">
        <f>AN118*AN170</f>
        <v>18521.16322821418</v>
      </c>
    </row>
    <row r="170" spans="1:40" x14ac:dyDescent="0.3">
      <c r="A170" s="12" t="s">
        <v>297</v>
      </c>
      <c r="B170" s="12" t="s">
        <v>217</v>
      </c>
      <c r="C170" s="12" t="s">
        <v>238</v>
      </c>
      <c r="AC170" s="52" t="str">
        <f t="shared" ref="AC170:AJ170" si="117">IFERROR(AC169/AC118,"")</f>
        <v/>
      </c>
      <c r="AD170" s="52" t="str">
        <f t="shared" si="117"/>
        <v/>
      </c>
      <c r="AE170" s="52" t="str">
        <f t="shared" si="117"/>
        <v/>
      </c>
      <c r="AF170" s="52" t="str">
        <f t="shared" si="117"/>
        <v/>
      </c>
      <c r="AG170" s="52" t="str">
        <f t="shared" si="117"/>
        <v/>
      </c>
      <c r="AH170" s="52">
        <f t="shared" si="117"/>
        <v>6.8297141110362558E-2</v>
      </c>
      <c r="AI170" s="52">
        <f t="shared" si="117"/>
        <v>6.6225398814061198E-2</v>
      </c>
      <c r="AJ170" s="52">
        <f t="shared" si="117"/>
        <v>6.2373655232693892E-2</v>
      </c>
      <c r="AK170" s="50">
        <v>6.2E-2</v>
      </c>
      <c r="AL170" s="50">
        <v>6.2E-2</v>
      </c>
      <c r="AM170" s="50">
        <v>6.2E-2</v>
      </c>
      <c r="AN170" s="50">
        <v>6.2E-2</v>
      </c>
    </row>
    <row r="171" spans="1:40" x14ac:dyDescent="0.3">
      <c r="A171" s="1" t="s">
        <v>96</v>
      </c>
      <c r="B171" s="12" t="s">
        <v>214</v>
      </c>
      <c r="C171" s="12" t="s">
        <v>215</v>
      </c>
      <c r="AC171" s="60">
        <f t="shared" ref="AC171:AN171" si="118">IFERROR(AC163+AC160+AC158+AC161+AC164+AC165+AC167+AC169,"")</f>
        <v>5640.2699999999995</v>
      </c>
      <c r="AD171" s="60">
        <f t="shared" si="118"/>
        <v>8154.9399999999987</v>
      </c>
      <c r="AE171" s="60">
        <f t="shared" si="118"/>
        <v>9630.1500000000015</v>
      </c>
      <c r="AF171" s="60">
        <f t="shared" si="118"/>
        <v>19270.53</v>
      </c>
      <c r="AG171" s="60">
        <f t="shared" si="118"/>
        <v>19055.98</v>
      </c>
      <c r="AH171" s="60">
        <f t="shared" si="118"/>
        <v>22929.460000000003</v>
      </c>
      <c r="AI171" s="60">
        <f t="shared" si="118"/>
        <v>26770.799999999996</v>
      </c>
      <c r="AJ171" s="60">
        <f t="shared" si="118"/>
        <v>31889.399999999998</v>
      </c>
      <c r="AK171" s="60">
        <f t="shared" si="118"/>
        <v>45603.457407030553</v>
      </c>
      <c r="AL171" s="60">
        <f t="shared" si="118"/>
        <v>58506.825907086459</v>
      </c>
      <c r="AM171" s="60">
        <f t="shared" si="118"/>
        <v>75431.997990324366</v>
      </c>
      <c r="AN171" s="60">
        <f t="shared" si="118"/>
        <v>97632.528677757291</v>
      </c>
    </row>
    <row r="172" spans="1:40" x14ac:dyDescent="0.3">
      <c r="A172" s="1" t="s">
        <v>97</v>
      </c>
      <c r="B172" s="12" t="s">
        <v>214</v>
      </c>
      <c r="C172" s="12" t="s">
        <v>215</v>
      </c>
      <c r="AC172" s="60" t="str">
        <f t="shared" ref="AC172:AN172" si="119">IFERROR(AC155+AC171,"")</f>
        <v/>
      </c>
      <c r="AD172" s="60" t="str">
        <f t="shared" si="119"/>
        <v/>
      </c>
      <c r="AE172" s="60">
        <f t="shared" si="119"/>
        <v>13020.640000000003</v>
      </c>
      <c r="AF172" s="60">
        <f t="shared" si="119"/>
        <v>26460.35</v>
      </c>
      <c r="AG172" s="60">
        <f t="shared" si="119"/>
        <v>29499.78</v>
      </c>
      <c r="AH172" s="60">
        <f t="shared" si="119"/>
        <v>34006.26</v>
      </c>
      <c r="AI172" s="60">
        <f t="shared" si="119"/>
        <v>39795.299999999996</v>
      </c>
      <c r="AJ172" s="60">
        <f t="shared" si="119"/>
        <v>46113.8</v>
      </c>
      <c r="AK172" s="60">
        <f t="shared" si="119"/>
        <v>60141.467873456815</v>
      </c>
      <c r="AL172" s="60">
        <f t="shared" si="119"/>
        <v>73375.481617612561</v>
      </c>
      <c r="AM172" s="60">
        <f t="shared" si="119"/>
        <v>90735.066118110451</v>
      </c>
      <c r="AN172" s="60">
        <f t="shared" si="119"/>
        <v>113506.35619107525</v>
      </c>
    </row>
    <row r="173" spans="1:40" x14ac:dyDescent="0.3">
      <c r="A173" s="12"/>
      <c r="B173" s="12"/>
      <c r="C173" s="12"/>
      <c r="AD173" s="52"/>
      <c r="AE173" s="52"/>
      <c r="AF173" s="52"/>
      <c r="AG173" s="52"/>
      <c r="AH173" s="52"/>
      <c r="AI173" s="52"/>
      <c r="AJ173" s="52"/>
      <c r="AK173" s="50"/>
      <c r="AL173" s="50"/>
      <c r="AM173" s="50"/>
      <c r="AN173" s="50"/>
    </row>
    <row r="174" spans="1:40" x14ac:dyDescent="0.3">
      <c r="A174" s="12" t="s">
        <v>99</v>
      </c>
    </row>
    <row r="175" spans="1:40" x14ac:dyDescent="0.3">
      <c r="A175" s="12" t="s">
        <v>100</v>
      </c>
      <c r="B175" s="12" t="s">
        <v>214</v>
      </c>
      <c r="C175" s="12" t="s">
        <v>314</v>
      </c>
      <c r="AC175" s="56">
        <f>IF('Raw Data - financials'!AC79="","",'Raw Data - financials'!AC79)</f>
        <v>142.43</v>
      </c>
      <c r="AD175" s="56">
        <f>IF('Raw Data - financials'!AD79="","",'Raw Data - financials'!AD79)</f>
        <v>145.5</v>
      </c>
      <c r="AE175" s="56">
        <f>IF('Raw Data - financials'!AE79="","",'Raw Data - financials'!AE79)</f>
        <v>150.58000000000001</v>
      </c>
      <c r="AF175" s="56">
        <f>IF('Raw Data - financials'!AF79="","",'Raw Data - financials'!AF79)</f>
        <v>474.11</v>
      </c>
      <c r="AG175" s="56">
        <f>IF('Raw Data - financials'!AG79="","",'Raw Data - financials'!AG79)</f>
        <v>2852.45</v>
      </c>
      <c r="AH175" s="56">
        <f>IF('Raw Data - financials'!AH79="","",'Raw Data - financials'!AH79)</f>
        <v>2855.99</v>
      </c>
      <c r="AI175" s="56">
        <f>IF('Raw Data - financials'!AI79="","",'Raw Data - financials'!AI79)</f>
        <v>2859.3</v>
      </c>
      <c r="AJ175" s="56">
        <f>IF('Raw Data - financials'!AJ79="","",'Raw Data - financials'!AJ79)</f>
        <v>2863.3</v>
      </c>
      <c r="AK175" s="56">
        <f>AJ175</f>
        <v>2863.3</v>
      </c>
      <c r="AL175" s="56">
        <f>AK175</f>
        <v>2863.3</v>
      </c>
      <c r="AM175" s="56">
        <f>AL175</f>
        <v>2863.3</v>
      </c>
      <c r="AN175" s="56">
        <f>AM175</f>
        <v>2863.3</v>
      </c>
    </row>
    <row r="176" spans="1:40" x14ac:dyDescent="0.3">
      <c r="A176" s="12" t="s">
        <v>101</v>
      </c>
      <c r="B176" s="12" t="s">
        <v>214</v>
      </c>
      <c r="C176" s="12" t="s">
        <v>315</v>
      </c>
      <c r="AC176" s="56">
        <f>IF('Raw Data - financials'!AC80="","",'Raw Data - financials'!AC80)</f>
        <v>2163.15</v>
      </c>
      <c r="AD176" s="56">
        <f>IF('Raw Data - financials'!AD80="","",'Raw Data - financials'!AD80)</f>
        <v>3075.99</v>
      </c>
      <c r="AE176" s="56">
        <f>IF('Raw Data - financials'!AE80="","",'Raw Data - financials'!AE80)</f>
        <v>4748.8100000000004</v>
      </c>
      <c r="AF176" s="56">
        <f>IF('Raw Data - financials'!AF80="","",'Raw Data - financials'!AF80)</f>
        <v>12924.89</v>
      </c>
      <c r="AG176" s="56">
        <f>IF('Raw Data - financials'!AG80="","",'Raw Data - financials'!AG80)</f>
        <v>10927.65</v>
      </c>
      <c r="AH176" s="56">
        <f>IF('Raw Data - financials'!AH80="","",'Raw Data - financials'!AH80)</f>
        <v>9766.34</v>
      </c>
      <c r="AI176" s="56">
        <f>IF('Raw Data - financials'!AI80="","",'Raw Data - financials'!AI80)</f>
        <v>10153.5</v>
      </c>
      <c r="AJ176" s="56">
        <f>IF('Raw Data - financials'!AJ80="","",'Raw Data - financials'!AJ80)</f>
        <v>11516.5</v>
      </c>
      <c r="AK176" s="56">
        <f>IFERROR(AJ176+AK132*(1-AK177),"")</f>
        <v>14691.013195860862</v>
      </c>
      <c r="AL176" s="56">
        <f>IFERROR(AK176+AL132*(1-AL177),"")</f>
        <v>18840.888562391548</v>
      </c>
      <c r="AM176" s="56">
        <f>IFERROR(AL176+AM132*(1-AM177),"")</f>
        <v>24265.438212798494</v>
      </c>
      <c r="AN176" s="56">
        <f>IFERROR(AM176+AN132*(1-AN177),"")</f>
        <v>31355.700564904022</v>
      </c>
    </row>
    <row r="177" spans="1:40" x14ac:dyDescent="0.3">
      <c r="A177" s="12" t="s">
        <v>316</v>
      </c>
      <c r="B177" s="12" t="s">
        <v>217</v>
      </c>
      <c r="C177" s="12" t="s">
        <v>238</v>
      </c>
      <c r="AD177" s="52"/>
      <c r="AE177" s="52"/>
      <c r="AF177" s="52"/>
      <c r="AG177" s="52"/>
      <c r="AH177" s="52"/>
      <c r="AI177" s="52"/>
      <c r="AJ177" s="52"/>
      <c r="AK177" s="50">
        <v>0</v>
      </c>
      <c r="AL177" s="50">
        <v>0</v>
      </c>
      <c r="AM177" s="50">
        <v>0</v>
      </c>
      <c r="AN177" s="50">
        <v>0</v>
      </c>
    </row>
    <row r="178" spans="1:40" x14ac:dyDescent="0.3">
      <c r="A178" s="1" t="s">
        <v>102</v>
      </c>
      <c r="B178" s="12" t="s">
        <v>214</v>
      </c>
      <c r="C178" s="12" t="s">
        <v>215</v>
      </c>
      <c r="AC178" s="60">
        <f t="shared" ref="AC178:AN178" si="120">IFERROR(AC175+AC176,"")</f>
        <v>2305.58</v>
      </c>
      <c r="AD178" s="60">
        <f t="shared" si="120"/>
        <v>3221.49</v>
      </c>
      <c r="AE178" s="60">
        <f t="shared" si="120"/>
        <v>4899.3900000000003</v>
      </c>
      <c r="AF178" s="60">
        <f t="shared" si="120"/>
        <v>13399</v>
      </c>
      <c r="AG178" s="60">
        <f t="shared" si="120"/>
        <v>13780.099999999999</v>
      </c>
      <c r="AH178" s="60">
        <f t="shared" si="120"/>
        <v>12622.33</v>
      </c>
      <c r="AI178" s="60">
        <f t="shared" si="120"/>
        <v>13012.8</v>
      </c>
      <c r="AJ178" s="60">
        <f t="shared" si="120"/>
        <v>14379.8</v>
      </c>
      <c r="AK178" s="60">
        <f t="shared" si="120"/>
        <v>17554.313195860861</v>
      </c>
      <c r="AL178" s="60">
        <f t="shared" si="120"/>
        <v>21704.188562391548</v>
      </c>
      <c r="AM178" s="60">
        <f t="shared" si="120"/>
        <v>27128.738212798493</v>
      </c>
      <c r="AN178" s="60">
        <f t="shared" si="120"/>
        <v>34219.000564904025</v>
      </c>
    </row>
    <row r="179" spans="1:40" x14ac:dyDescent="0.3">
      <c r="A179" s="12" t="s">
        <v>103</v>
      </c>
      <c r="B179" s="12" t="s">
        <v>214</v>
      </c>
      <c r="C179" s="12" t="s">
        <v>317</v>
      </c>
      <c r="AC179" s="56">
        <f>IF('Raw Data - financials'!AC82="","",'Raw Data - financials'!AC82)</f>
        <v>4.6900000000000004</v>
      </c>
      <c r="AD179" s="56">
        <f>IF('Raw Data - financials'!AD82="","",'Raw Data - financials'!AD82)</f>
        <v>7.38</v>
      </c>
      <c r="AE179" s="56">
        <f>IF('Raw Data - financials'!AE82="","",'Raw Data - financials'!AE82)</f>
        <v>8.36</v>
      </c>
      <c r="AF179" s="56">
        <f>IF('Raw Data - financials'!AF82="","",'Raw Data - financials'!AF82)</f>
        <v>56.15</v>
      </c>
      <c r="AG179" s="56">
        <f>IF('Raw Data - financials'!AG82="","",'Raw Data - financials'!AG82)</f>
        <v>141.44999999999999</v>
      </c>
      <c r="AH179" s="56">
        <f>IF('Raw Data - financials'!AH82="","",'Raw Data - financials'!AH82)</f>
        <v>188.11</v>
      </c>
      <c r="AI179" s="56">
        <f>IF('Raw Data - financials'!AI82="","",'Raw Data - financials'!AI82)</f>
        <v>413.8</v>
      </c>
      <c r="AJ179" s="56">
        <f>IF('Raw Data - financials'!AJ82="","",'Raw Data - financials'!AJ82)</f>
        <v>641.20000000000005</v>
      </c>
      <c r="AK179" s="56">
        <f>AJ179</f>
        <v>641.20000000000005</v>
      </c>
      <c r="AL179" s="56">
        <f>AK179</f>
        <v>641.20000000000005</v>
      </c>
      <c r="AM179" s="56">
        <f>AL179</f>
        <v>641.20000000000005</v>
      </c>
      <c r="AN179" s="56">
        <f>AM179</f>
        <v>641.20000000000005</v>
      </c>
    </row>
    <row r="180" spans="1:40" x14ac:dyDescent="0.3">
      <c r="A180" s="1" t="s">
        <v>104</v>
      </c>
      <c r="B180" s="12" t="s">
        <v>214</v>
      </c>
      <c r="C180" s="12" t="s">
        <v>215</v>
      </c>
      <c r="AC180" s="60">
        <f t="shared" ref="AC180:AN180" si="121">IFERROR(AC178+AC179,"")</f>
        <v>2310.27</v>
      </c>
      <c r="AD180" s="60">
        <f t="shared" si="121"/>
        <v>3228.87</v>
      </c>
      <c r="AE180" s="60">
        <f t="shared" si="121"/>
        <v>4907.75</v>
      </c>
      <c r="AF180" s="60">
        <f t="shared" si="121"/>
        <v>13455.15</v>
      </c>
      <c r="AG180" s="60">
        <f t="shared" si="121"/>
        <v>13921.55</v>
      </c>
      <c r="AH180" s="60">
        <f t="shared" si="121"/>
        <v>12810.44</v>
      </c>
      <c r="AI180" s="60">
        <f t="shared" si="121"/>
        <v>13426.599999999999</v>
      </c>
      <c r="AJ180" s="60">
        <f t="shared" si="121"/>
        <v>15021</v>
      </c>
      <c r="AK180" s="60">
        <f t="shared" si="121"/>
        <v>18195.513195860862</v>
      </c>
      <c r="AL180" s="60">
        <f t="shared" si="121"/>
        <v>22345.388562391548</v>
      </c>
      <c r="AM180" s="60">
        <f t="shared" si="121"/>
        <v>27769.938212798494</v>
      </c>
      <c r="AN180" s="60">
        <f t="shared" si="121"/>
        <v>34860.200564904022</v>
      </c>
    </row>
    <row r="181" spans="1:40" x14ac:dyDescent="0.3">
      <c r="A181" s="12"/>
      <c r="B181" s="12"/>
      <c r="C181" s="12"/>
      <c r="AC181" s="56"/>
      <c r="AD181" s="56"/>
      <c r="AE181" s="56"/>
      <c r="AF181" s="56"/>
      <c r="AG181" s="56"/>
      <c r="AH181" s="56"/>
      <c r="AI181" s="56"/>
      <c r="AJ181" s="56"/>
      <c r="AK181" s="56"/>
      <c r="AL181" s="56"/>
      <c r="AM181" s="56"/>
      <c r="AN181" s="56"/>
    </row>
    <row r="182" spans="1:40" x14ac:dyDescent="0.3">
      <c r="A182" s="12" t="s">
        <v>105</v>
      </c>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46"/>
      <c r="AC182" s="9"/>
      <c r="AD182" s="9"/>
      <c r="AE182" s="9"/>
      <c r="AF182" s="9"/>
      <c r="AG182" s="9"/>
      <c r="AH182" s="9"/>
      <c r="AI182" s="9"/>
      <c r="AJ182" s="9"/>
      <c r="AK182" s="9"/>
      <c r="AL182" s="9"/>
      <c r="AM182" s="9"/>
      <c r="AN182" s="9"/>
    </row>
    <row r="183" spans="1:40" x14ac:dyDescent="0.3">
      <c r="A183" s="12" t="s">
        <v>106</v>
      </c>
      <c r="B183" s="12" t="s">
        <v>214</v>
      </c>
      <c r="C183" s="12" t="s">
        <v>318</v>
      </c>
      <c r="E183" s="55"/>
      <c r="G183" s="55"/>
      <c r="I183" s="55"/>
      <c r="K183" s="55"/>
      <c r="M183" s="55"/>
      <c r="O183" s="55"/>
      <c r="Q183" s="55"/>
      <c r="S183" s="55"/>
      <c r="U183" s="55"/>
      <c r="W183" s="55"/>
      <c r="AB183" s="19"/>
      <c r="AC183" s="56">
        <f>IF('Raw Data - financials'!AC86="","",'Raw Data - financials'!AC86)</f>
        <v>1.28</v>
      </c>
      <c r="AD183" s="56">
        <f>IF('Raw Data - financials'!AD86="","",'Raw Data - financials'!AD86)</f>
        <v>1.5</v>
      </c>
      <c r="AE183" s="56">
        <f>IF('Raw Data - financials'!AE86="","",'Raw Data - financials'!AE86)</f>
        <v>16.600000000000001</v>
      </c>
      <c r="AF183" s="56">
        <f>IF('Raw Data - financials'!AF86="","",'Raw Data - financials'!AF86)</f>
        <v>9.2200000000000006</v>
      </c>
      <c r="AG183" s="56">
        <f>IF('Raw Data - financials'!AG86="","",'Raw Data - financials'!AG86)</f>
        <v>3.61</v>
      </c>
      <c r="AH183" s="56">
        <f>IF('Raw Data - financials'!AH86="","",'Raw Data - financials'!AH86)</f>
        <v>0</v>
      </c>
      <c r="AI183" s="56">
        <f>IF('Raw Data - financials'!AI86="","",'Raw Data - financials'!AI86)</f>
        <v>1102.0999999999999</v>
      </c>
      <c r="AJ183" s="56">
        <f>IF('Raw Data - financials'!AJ86="","",'Raw Data - financials'!AJ86)</f>
        <v>183.3</v>
      </c>
      <c r="AK183" s="56">
        <f>AJ183</f>
        <v>183.3</v>
      </c>
      <c r="AL183" s="56">
        <f>AK183</f>
        <v>183.3</v>
      </c>
      <c r="AM183" s="56">
        <f>AL183</f>
        <v>183.3</v>
      </c>
      <c r="AN183" s="56">
        <f>AM183</f>
        <v>183.3</v>
      </c>
    </row>
    <row r="184" spans="1:40" x14ac:dyDescent="0.3">
      <c r="A184" s="12" t="s">
        <v>107</v>
      </c>
      <c r="B184" s="12" t="s">
        <v>214</v>
      </c>
      <c r="C184" s="12" t="s">
        <v>319</v>
      </c>
      <c r="AB184" s="19"/>
      <c r="AC184" s="56">
        <f>IF('Raw Data - financials'!AC87="","",'Raw Data - financials'!AC87)</f>
        <v>763.61</v>
      </c>
      <c r="AD184" s="56">
        <f>IF('Raw Data - financials'!AD87="","",'Raw Data - financials'!AD87)</f>
        <v>1302.58</v>
      </c>
      <c r="AE184" s="56">
        <f>IF('Raw Data - financials'!AE87="","",'Raw Data - financials'!AE87)</f>
        <v>1073.9000000000001</v>
      </c>
      <c r="AF184" s="56">
        <f>IF('Raw Data - financials'!AF87="","",'Raw Data - financials'!AF87)</f>
        <v>2043.19</v>
      </c>
      <c r="AG184" s="56">
        <f>IF('Raw Data - financials'!AG87="","",'Raw Data - financials'!AG87)</f>
        <v>2133.6799999999998</v>
      </c>
      <c r="AH184" s="56">
        <f>IF('Raw Data - financials'!AH87="","",'Raw Data - financials'!AH87)</f>
        <v>1593.03</v>
      </c>
      <c r="AI184" s="56">
        <f>IF('Raw Data - financials'!AI87="","",'Raw Data - financials'!AI87)</f>
        <v>2115.5</v>
      </c>
      <c r="AJ184" s="56">
        <f>IF('Raw Data - financials'!AJ87="","",'Raw Data - financials'!AJ87)</f>
        <v>2968.5</v>
      </c>
      <c r="AK184" s="56">
        <f>IFERROR(AJ184*(1+AK233),"")</f>
        <v>2968.5</v>
      </c>
      <c r="AL184" s="56">
        <f>IFERROR(AK184*(1+AL233),"")</f>
        <v>2968.5</v>
      </c>
      <c r="AM184" s="56">
        <f>IFERROR(AL184*(1+AM233),"")</f>
        <v>2968.5</v>
      </c>
      <c r="AN184" s="56">
        <f>IFERROR(AM184*(1+AN233),"")</f>
        <v>2968.5</v>
      </c>
    </row>
    <row r="185" spans="1:40" x14ac:dyDescent="0.3">
      <c r="A185" s="12" t="s">
        <v>108</v>
      </c>
      <c r="B185" s="12" t="s">
        <v>214</v>
      </c>
      <c r="C185" s="12" t="s">
        <v>320</v>
      </c>
      <c r="E185" s="55"/>
      <c r="G185" s="55"/>
      <c r="I185" s="55"/>
      <c r="K185" s="55"/>
      <c r="M185" s="55"/>
      <c r="O185" s="55"/>
      <c r="Q185" s="55"/>
      <c r="S185" s="55"/>
      <c r="U185" s="55"/>
      <c r="W185" s="55"/>
      <c r="AB185" s="19"/>
      <c r="AC185" s="56">
        <f>IF('Raw Data - financials'!AC88="","",'Raw Data - financials'!AC88)</f>
        <v>0</v>
      </c>
      <c r="AD185" s="56">
        <f>IF('Raw Data - financials'!AD88="","",'Raw Data - financials'!AD88)</f>
        <v>0</v>
      </c>
      <c r="AE185" s="56">
        <f>IF('Raw Data - financials'!AE88="","",'Raw Data - financials'!AE88)</f>
        <v>0</v>
      </c>
      <c r="AF185" s="56">
        <f>IF('Raw Data - financials'!AF88="","",'Raw Data - financials'!AF88)</f>
        <v>1222.26</v>
      </c>
      <c r="AG185" s="56">
        <f>IF('Raw Data - financials'!AG88="","",'Raw Data - financials'!AG88)</f>
        <v>1373.2</v>
      </c>
      <c r="AH185" s="56">
        <f>IF('Raw Data - financials'!AH88="","",'Raw Data - financials'!AH88)</f>
        <v>711.85</v>
      </c>
      <c r="AI185" s="56">
        <f>IF('Raw Data - financials'!AI88="","",'Raw Data - financials'!AI88)</f>
        <v>1358.8</v>
      </c>
      <c r="AJ185" s="56">
        <f>IF('Raw Data - financials'!AJ88="","",'Raw Data - financials'!AJ88)</f>
        <v>16.600000000000001</v>
      </c>
      <c r="AK185" s="56">
        <f>AK118*AK186</f>
        <v>26.350261660656468</v>
      </c>
      <c r="AL185" s="56">
        <f>AL118*AL186</f>
        <v>34.616392763152348</v>
      </c>
      <c r="AM185" s="56">
        <f>AM118*AM186</f>
        <v>45.47670319465216</v>
      </c>
      <c r="AN185" s="56">
        <f>AN118*AN186</f>
        <v>59.745687832948974</v>
      </c>
    </row>
    <row r="186" spans="1:40" x14ac:dyDescent="0.3">
      <c r="A186" s="12" t="s">
        <v>297</v>
      </c>
      <c r="B186" s="12" t="s">
        <v>217</v>
      </c>
      <c r="C186" s="12" t="s">
        <v>238</v>
      </c>
      <c r="E186" s="55" t="str">
        <f>IF('Raw Data - financials'!E65="","",'Raw Data - financials'!E65)</f>
        <v/>
      </c>
      <c r="G186" s="55">
        <f>IF('Raw Data - financials'!G65="","",'Raw Data - financials'!G65)</f>
        <v>8756.2099999999991</v>
      </c>
      <c r="I186" s="55">
        <f>IF('Raw Data - financials'!I65="","",'Raw Data - financials'!I65)</f>
        <v>9332.3700000000008</v>
      </c>
      <c r="K186" s="55">
        <f>IF('Raw Data - financials'!K65="","",'Raw Data - financials'!K65)</f>
        <v>10051.4</v>
      </c>
      <c r="M186" s="55">
        <f>IF('Raw Data - financials'!M65="","",'Raw Data - financials'!M65)</f>
        <v>10937.07</v>
      </c>
      <c r="O186" s="55">
        <f>IF('Raw Data - financials'!O65="","",'Raw Data - financials'!O65)</f>
        <v>11920.46</v>
      </c>
      <c r="Q186" s="55">
        <f>IF('Raw Data - financials'!Q65="","",'Raw Data - financials'!Q65)</f>
        <v>14111</v>
      </c>
      <c r="S186" s="55">
        <f>IF('Raw Data - financials'!S65="","",'Raw Data - financials'!S65)</f>
        <v>14175.4</v>
      </c>
      <c r="U186" s="55">
        <f>IF('Raw Data - financials'!U65="","",'Raw Data - financials'!U65)</f>
        <v>15729.2</v>
      </c>
      <c r="W186" s="55">
        <f>IF('Raw Data - financials'!W65="","",'Raw Data - financials'!W65)</f>
        <v>16421.599999999999</v>
      </c>
      <c r="AB186" s="19"/>
      <c r="AC186" s="52" t="str">
        <f t="shared" ref="AC186:AJ186" si="122">IFERROR(AC185/AC118,"")</f>
        <v/>
      </c>
      <c r="AD186" s="52" t="str">
        <f t="shared" si="122"/>
        <v/>
      </c>
      <c r="AE186" s="52" t="str">
        <f t="shared" si="122"/>
        <v/>
      </c>
      <c r="AF186" s="52" t="str">
        <f t="shared" si="122"/>
        <v/>
      </c>
      <c r="AG186" s="52" t="str">
        <f t="shared" si="122"/>
        <v/>
      </c>
      <c r="AH186" s="52">
        <f t="shared" si="122"/>
        <v>1.1147693272358889E-2</v>
      </c>
      <c r="AI186" s="52">
        <f t="shared" si="122"/>
        <v>1.7092210892825248E-2</v>
      </c>
      <c r="AJ186" s="52">
        <f t="shared" si="122"/>
        <v>1.6563262683368292E-4</v>
      </c>
      <c r="AK186" s="50">
        <v>2.0000000000000001E-4</v>
      </c>
      <c r="AL186" s="50">
        <v>2.0000000000000001E-4</v>
      </c>
      <c r="AM186" s="50">
        <v>2.0000000000000001E-4</v>
      </c>
      <c r="AN186" s="50">
        <v>2.0000000000000001E-4</v>
      </c>
    </row>
    <row r="187" spans="1:40" x14ac:dyDescent="0.3">
      <c r="A187" s="12" t="s">
        <v>109</v>
      </c>
      <c r="B187" s="12" t="s">
        <v>214</v>
      </c>
      <c r="C187" s="12" t="s">
        <v>321</v>
      </c>
      <c r="AB187" s="19"/>
      <c r="AC187" s="56">
        <f>IF('Raw Data - financials'!AC89="","",'Raw Data - financials'!AC89)</f>
        <v>24.46</v>
      </c>
      <c r="AD187" s="56">
        <f>IF('Raw Data - financials'!AD89="","",'Raw Data - financials'!AD89)</f>
        <v>52.61</v>
      </c>
      <c r="AE187" s="56">
        <f>IF('Raw Data - financials'!AE89="","",'Raw Data - financials'!AE89)</f>
        <v>73.45</v>
      </c>
      <c r="AF187" s="56">
        <f>IF('Raw Data - financials'!AF89="","",'Raw Data - financials'!AF89)</f>
        <v>77.959999999999994</v>
      </c>
      <c r="AG187" s="56">
        <f>IF('Raw Data - financials'!AG89="","",'Raw Data - financials'!AG89)</f>
        <v>92.65</v>
      </c>
      <c r="AH187" s="56">
        <f>IF('Raw Data - financials'!AH89="","",'Raw Data - financials'!AH89)</f>
        <v>102.21</v>
      </c>
      <c r="AI187" s="56">
        <f>IF('Raw Data - financials'!AI89="","",'Raw Data - financials'!AI89)</f>
        <v>186.4</v>
      </c>
      <c r="AJ187" s="56">
        <f>IF('Raw Data - financials'!AJ89="","",'Raw Data - financials'!AJ89)</f>
        <v>341.9</v>
      </c>
      <c r="AK187" s="56">
        <f>AJ187</f>
        <v>341.9</v>
      </c>
      <c r="AL187" s="56">
        <f>AK187</f>
        <v>341.9</v>
      </c>
      <c r="AM187" s="56">
        <f>AL187</f>
        <v>341.9</v>
      </c>
      <c r="AN187" s="56">
        <f>AM187</f>
        <v>341.9</v>
      </c>
    </row>
    <row r="188" spans="1:40" x14ac:dyDescent="0.3">
      <c r="A188" s="1" t="s">
        <v>110</v>
      </c>
      <c r="B188" s="12" t="s">
        <v>214</v>
      </c>
      <c r="C188" s="12" t="s">
        <v>215</v>
      </c>
      <c r="E188" s="55"/>
      <c r="G188" s="55"/>
      <c r="I188" s="55"/>
      <c r="K188" s="55"/>
      <c r="M188" s="55"/>
      <c r="O188" s="55"/>
      <c r="Q188" s="55"/>
      <c r="S188" s="55"/>
      <c r="U188" s="55"/>
      <c r="W188" s="55"/>
      <c r="AB188" s="19"/>
      <c r="AC188" s="60">
        <f t="shared" ref="AC188:AN188" si="123">IFERROR(AC183+AC184+AC185+AC187,"")</f>
        <v>789.35</v>
      </c>
      <c r="AD188" s="60">
        <f t="shared" si="123"/>
        <v>1356.6899999999998</v>
      </c>
      <c r="AE188" s="60">
        <f t="shared" si="123"/>
        <v>1163.95</v>
      </c>
      <c r="AF188" s="60">
        <f t="shared" si="123"/>
        <v>3352.63</v>
      </c>
      <c r="AG188" s="60">
        <f t="shared" si="123"/>
        <v>3603.14</v>
      </c>
      <c r="AH188" s="60">
        <f t="shared" si="123"/>
        <v>2407.09</v>
      </c>
      <c r="AI188" s="60">
        <f t="shared" si="123"/>
        <v>4762.7999999999993</v>
      </c>
      <c r="AJ188" s="60">
        <f t="shared" si="123"/>
        <v>3510.3</v>
      </c>
      <c r="AK188" s="60">
        <f t="shared" si="123"/>
        <v>3520.0502616606568</v>
      </c>
      <c r="AL188" s="60">
        <f t="shared" si="123"/>
        <v>3528.3163927631526</v>
      </c>
      <c r="AM188" s="60">
        <f t="shared" si="123"/>
        <v>3539.1767031946524</v>
      </c>
      <c r="AN188" s="60">
        <f t="shared" si="123"/>
        <v>3553.4456878329493</v>
      </c>
    </row>
    <row r="189" spans="1:40" x14ac:dyDescent="0.3">
      <c r="A189" s="20"/>
      <c r="B189" s="17"/>
      <c r="C189" s="48"/>
      <c r="AB189" s="19"/>
      <c r="AC189" s="53"/>
      <c r="AD189" s="53"/>
      <c r="AE189" s="53"/>
      <c r="AF189" s="53"/>
      <c r="AG189" s="53"/>
      <c r="AH189" s="53"/>
      <c r="AI189" s="53"/>
      <c r="AJ189" s="53"/>
      <c r="AK189" s="71"/>
      <c r="AL189" s="71"/>
      <c r="AM189" s="71"/>
      <c r="AN189" s="71"/>
    </row>
    <row r="190" spans="1:40" x14ac:dyDescent="0.3">
      <c r="A190" s="12" t="s">
        <v>111</v>
      </c>
      <c r="B190" s="17"/>
      <c r="C190" s="22"/>
      <c r="E190" s="55"/>
      <c r="G190" s="55"/>
      <c r="I190" s="55"/>
      <c r="K190" s="55"/>
      <c r="M190" s="55"/>
      <c r="O190" s="55"/>
      <c r="Q190" s="55"/>
      <c r="S190" s="55"/>
      <c r="U190" s="55"/>
      <c r="W190" s="55"/>
      <c r="AB190" s="19"/>
      <c r="AC190" s="56"/>
      <c r="AD190" s="56"/>
      <c r="AE190" s="56"/>
      <c r="AF190" s="56"/>
      <c r="AG190" s="56"/>
      <c r="AH190" s="56"/>
      <c r="AI190" s="56"/>
      <c r="AJ190" s="56"/>
      <c r="AK190" s="56"/>
      <c r="AL190" s="56"/>
      <c r="AM190" s="56"/>
      <c r="AN190" s="56"/>
    </row>
    <row r="191" spans="1:40" x14ac:dyDescent="0.3">
      <c r="A191" s="12" t="s">
        <v>106</v>
      </c>
      <c r="B191" s="12" t="s">
        <v>214</v>
      </c>
      <c r="C191" s="12" t="s">
        <v>322</v>
      </c>
      <c r="AB191" s="19"/>
      <c r="AC191" s="56">
        <f>IF('Raw Data - financials'!AC93="","",'Raw Data - financials'!AC93)</f>
        <v>2254.48</v>
      </c>
      <c r="AD191" s="56">
        <f>IF('Raw Data - financials'!AD93="","",'Raw Data - financials'!AD93)</f>
        <v>2673.26</v>
      </c>
      <c r="AE191" s="56">
        <f>IF('Raw Data - financials'!AE93="","",'Raw Data - financials'!AE93)</f>
        <v>1858.05</v>
      </c>
      <c r="AF191" s="56">
        <f>IF('Raw Data - financials'!AF93="","",'Raw Data - financials'!AF93)</f>
        <v>3321.12</v>
      </c>
      <c r="AG191" s="56">
        <f>IF('Raw Data - financials'!AG93="","",'Raw Data - financials'!AG93)</f>
        <v>4600.01</v>
      </c>
      <c r="AH191" s="56">
        <f>IF('Raw Data - financials'!AH93="","",'Raw Data - financials'!AH93)</f>
        <v>6803.95</v>
      </c>
      <c r="AI191" s="56">
        <f>IF('Raw Data - financials'!AI93="","",'Raw Data - financials'!AI93)</f>
        <v>8511.5</v>
      </c>
      <c r="AJ191" s="56">
        <f>IF('Raw Data - financials'!AJ93="","",'Raw Data - financials'!AJ93)</f>
        <v>7288.8</v>
      </c>
      <c r="AK191" s="56">
        <f>AJ191</f>
        <v>7288.8</v>
      </c>
      <c r="AL191" s="56">
        <f>AK191</f>
        <v>7288.8</v>
      </c>
      <c r="AM191" s="56">
        <f>AL191</f>
        <v>7288.8</v>
      </c>
      <c r="AN191" s="56">
        <f>AM191</f>
        <v>7288.8</v>
      </c>
    </row>
    <row r="192" spans="1:40" x14ac:dyDescent="0.3">
      <c r="A192" s="12" t="s">
        <v>107</v>
      </c>
      <c r="B192" s="12" t="s">
        <v>214</v>
      </c>
      <c r="C192" s="12" t="s">
        <v>323</v>
      </c>
      <c r="E192" s="55"/>
      <c r="G192" s="55"/>
      <c r="I192" s="55"/>
      <c r="K192" s="55"/>
      <c r="M192" s="55"/>
      <c r="O192" s="55"/>
      <c r="Q192" s="55"/>
      <c r="S192" s="55"/>
      <c r="U192" s="55"/>
      <c r="W192" s="55"/>
      <c r="AB192" s="19"/>
      <c r="AC192" s="56">
        <f>IF('Raw Data - financials'!AC94="","",'Raw Data - financials'!AC94)</f>
        <v>84.63</v>
      </c>
      <c r="AD192" s="56">
        <f>IF('Raw Data - financials'!AD94="","",'Raw Data - financials'!AD94)</f>
        <v>147.44</v>
      </c>
      <c r="AE192" s="56">
        <f>IF('Raw Data - financials'!AE94="","",'Raw Data - financials'!AE94)</f>
        <v>378.16</v>
      </c>
      <c r="AF192" s="56">
        <f>IF('Raw Data - financials'!AF94="","",'Raw Data - financials'!AF94)</f>
        <v>552.70000000000005</v>
      </c>
      <c r="AG192" s="56">
        <f>IF('Raw Data - financials'!AG94="","",'Raw Data - financials'!AG94)</f>
        <v>1247.6300000000001</v>
      </c>
      <c r="AH192" s="56">
        <f>IF('Raw Data - financials'!AH94="","",'Raw Data - financials'!AH94)</f>
        <v>1297.8900000000001</v>
      </c>
      <c r="AI192" s="56">
        <f>IF('Raw Data - financials'!AI94="","",'Raw Data - financials'!AI94)</f>
        <v>1476.8</v>
      </c>
      <c r="AJ192" s="56">
        <f>IF('Raw Data - financials'!AJ94="","",'Raw Data - financials'!AJ94)</f>
        <v>1937.5</v>
      </c>
      <c r="AK192" s="56">
        <f>IFERROR(AJ192*(1+AK233),"")</f>
        <v>1937.5</v>
      </c>
      <c r="AL192" s="56">
        <f>IFERROR(AK192*(1+AL233),"")</f>
        <v>1937.5</v>
      </c>
      <c r="AM192" s="56">
        <f>IFERROR(AL192*(1+AM233),"")</f>
        <v>1937.5</v>
      </c>
      <c r="AN192" s="56">
        <f>IFERROR(AM192*(1+AN233),"")</f>
        <v>1937.5</v>
      </c>
    </row>
    <row r="193" spans="1:40" x14ac:dyDescent="0.3">
      <c r="A193" s="12" t="s">
        <v>112</v>
      </c>
      <c r="B193" s="12" t="s">
        <v>214</v>
      </c>
      <c r="C193" s="12" t="s">
        <v>324</v>
      </c>
      <c r="E193" s="55"/>
      <c r="G193" s="55"/>
      <c r="I193" s="55"/>
      <c r="K193" s="55"/>
      <c r="M193" s="55"/>
      <c r="O193" s="55"/>
      <c r="Q193" s="55"/>
      <c r="S193" s="55"/>
      <c r="U193" s="55"/>
      <c r="W193" s="55"/>
      <c r="AB193" s="19"/>
      <c r="AC193" s="56">
        <f>IF('Raw Data - financials'!AC95="","",'Raw Data - financials'!AC95)</f>
        <v>12.77</v>
      </c>
      <c r="AD193" s="56">
        <f>IF('Raw Data - financials'!AD95="","",'Raw Data - financials'!AD95)</f>
        <v>104.6</v>
      </c>
      <c r="AE193" s="56">
        <f>IF('Raw Data - financials'!AE95="","",'Raw Data - financials'!AE95)</f>
        <v>90.75</v>
      </c>
      <c r="AF193" s="56">
        <f>IF('Raw Data - financials'!AF95="","",'Raw Data - financials'!AF95)</f>
        <v>560.70000000000005</v>
      </c>
      <c r="AG193" s="56">
        <f>IF('Raw Data - financials'!AG95="","",'Raw Data - financials'!AG95)</f>
        <v>418.93</v>
      </c>
      <c r="AH193" s="56">
        <f>IF('Raw Data - financials'!AH95="","",'Raw Data - financials'!AH95)</f>
        <v>370.16</v>
      </c>
      <c r="AI193" s="56">
        <f>IF('Raw Data - financials'!AI95="","",'Raw Data - financials'!AI95)</f>
        <v>452.6</v>
      </c>
      <c r="AJ193" s="56">
        <f>IF('Raw Data - financials'!AJ95="","",'Raw Data - financials'!AJ95)</f>
        <v>1163.4000000000001</v>
      </c>
      <c r="AK193" s="56">
        <v>0</v>
      </c>
      <c r="AL193" s="56">
        <v>0</v>
      </c>
      <c r="AM193" s="56">
        <v>0</v>
      </c>
      <c r="AN193" s="56">
        <v>0</v>
      </c>
    </row>
    <row r="194" spans="1:40" x14ac:dyDescent="0.3">
      <c r="A194" s="12" t="s">
        <v>113</v>
      </c>
      <c r="B194" s="12" t="s">
        <v>214</v>
      </c>
      <c r="C194" s="12" t="s">
        <v>325</v>
      </c>
      <c r="AB194" s="19"/>
      <c r="AC194" s="56">
        <f>IF('Raw Data - financials'!AC96="","",'Raw Data - financials'!AC96)</f>
        <v>1804.89</v>
      </c>
      <c r="AD194" s="56">
        <f>IF('Raw Data - financials'!AD96="","",'Raw Data - financials'!AD96)</f>
        <v>3028.05</v>
      </c>
      <c r="AE194" s="56">
        <f>IF('Raw Data - financials'!AE96="","",'Raw Data - financials'!AE96)</f>
        <v>3071.37</v>
      </c>
      <c r="AF194" s="56">
        <f>IF('Raw Data - financials'!AF96="","",'Raw Data - financials'!AF96)</f>
        <v>3059.84</v>
      </c>
      <c r="AG194" s="56">
        <f>IF('Raw Data - financials'!AG96="","",'Raw Data - financials'!AG96)</f>
        <v>2234.96</v>
      </c>
      <c r="AH194" s="56">
        <f>IF('Raw Data - financials'!AH96="","",'Raw Data - financials'!AH96)</f>
        <v>3496.76</v>
      </c>
      <c r="AI194" s="56">
        <f>IF('Raw Data - financials'!AI96="","",'Raw Data - financials'!AI96)</f>
        <v>5895.7</v>
      </c>
      <c r="AJ194" s="56">
        <f>IF('Raw Data - financials'!AJ96="","",'Raw Data - financials'!AJ96)</f>
        <v>6161.6</v>
      </c>
      <c r="AK194" s="56">
        <f>AK195/365*AK122</f>
        <v>14781.413904162771</v>
      </c>
      <c r="AL194" s="56">
        <f>AL195/365*AL122</f>
        <v>19418.373748645048</v>
      </c>
      <c r="AM194" s="56">
        <f>AM195/365*AM122</f>
        <v>25510.561586589116</v>
      </c>
      <c r="AN194" s="56">
        <f>AN195/365*AN122</f>
        <v>33514.875572044664</v>
      </c>
    </row>
    <row r="195" spans="1:40" x14ac:dyDescent="0.3">
      <c r="A195" s="12" t="s">
        <v>326</v>
      </c>
      <c r="B195" s="12" t="s">
        <v>304</v>
      </c>
      <c r="C195" s="12" t="s">
        <v>238</v>
      </c>
      <c r="D195" s="9"/>
      <c r="E195" s="9"/>
      <c r="F195" s="9"/>
      <c r="G195" s="9"/>
      <c r="H195" s="9"/>
      <c r="I195" s="9"/>
      <c r="J195" s="9"/>
      <c r="K195" s="9"/>
      <c r="L195" s="9"/>
      <c r="M195" s="9"/>
      <c r="N195" s="9"/>
      <c r="O195" s="9"/>
      <c r="P195" s="9"/>
      <c r="Q195" s="9"/>
      <c r="R195" s="9"/>
      <c r="S195" s="9"/>
      <c r="T195" s="9"/>
      <c r="U195" s="9"/>
      <c r="V195" s="9"/>
      <c r="W195" s="9"/>
      <c r="X195" s="9"/>
      <c r="Y195" s="9"/>
      <c r="Z195" s="9"/>
      <c r="AA195" s="9"/>
      <c r="AB195" s="46"/>
      <c r="AC195" s="58">
        <f>IFERROR((AC194+'Raw Data - financials'!AC95)/(AC122/365),"")</f>
        <v>100.4799349363979</v>
      </c>
      <c r="AD195" s="58">
        <f>IFERROR((AD194+'Raw Data - financials'!AD95)/(AD122/365),"")</f>
        <v>112.74024975226902</v>
      </c>
      <c r="AE195" s="58">
        <f>IFERROR((AE194+'Raw Data - financials'!AE95)/(AE122/365),"")</f>
        <v>77.574566901349286</v>
      </c>
      <c r="AF195" s="58">
        <f>IFERROR((AF194+'Raw Data - financials'!AF95)/(AF122/365),"")</f>
        <v>62.041680457649349</v>
      </c>
      <c r="AG195" s="58">
        <f>IFERROR((AG194+'Raw Data - financials'!AG95)/(AG122/365),"")</f>
        <v>33.802431254560432</v>
      </c>
      <c r="AH195" s="58">
        <f>IFERROR((AH194+'Raw Data - financials'!AH95)/(AH122/365),"")</f>
        <v>38.707525752896153</v>
      </c>
      <c r="AI195" s="58">
        <f>IFERROR((AI194+'Raw Data - financials'!AI95)/(AI122/365),"")</f>
        <v>51.806520057415497</v>
      </c>
      <c r="AJ195" s="58">
        <f>IFERROR((AJ194+'Raw Data - financials'!AJ95)/(AJ122/365),"")</f>
        <v>48.553717132204852</v>
      </c>
      <c r="AK195" s="82">
        <v>65</v>
      </c>
      <c r="AL195" s="82">
        <v>65</v>
      </c>
      <c r="AM195" s="82">
        <v>65</v>
      </c>
      <c r="AN195" s="82">
        <v>65</v>
      </c>
    </row>
    <row r="196" spans="1:40" x14ac:dyDescent="0.3">
      <c r="A196" s="12" t="s">
        <v>108</v>
      </c>
      <c r="B196" s="12" t="s">
        <v>214</v>
      </c>
      <c r="C196" s="12" t="s">
        <v>327</v>
      </c>
      <c r="E196" s="55"/>
      <c r="G196" s="55"/>
      <c r="I196" s="55"/>
      <c r="K196" s="55"/>
      <c r="M196" s="55"/>
      <c r="O196" s="55"/>
      <c r="Q196" s="55"/>
      <c r="S196" s="55"/>
      <c r="U196" s="55"/>
      <c r="W196" s="55"/>
      <c r="AB196" s="19"/>
      <c r="AC196" s="56">
        <f>IF('Raw Data - financials'!AC97="","",'Raw Data - financials'!AC97)</f>
        <v>275.44</v>
      </c>
      <c r="AD196" s="56">
        <f>IF('Raw Data - financials'!AD97="","",'Raw Data - financials'!AD97)</f>
        <v>470.53</v>
      </c>
      <c r="AE196" s="56">
        <f>IF('Raw Data - financials'!AE97="","",'Raw Data - financials'!AE97)</f>
        <v>850.14</v>
      </c>
      <c r="AF196" s="56">
        <f>IF('Raw Data - financials'!AF97="","",'Raw Data - financials'!AF97)</f>
        <v>1666.92</v>
      </c>
      <c r="AG196" s="56">
        <f>IF('Raw Data - financials'!AG97="","",'Raw Data - financials'!AG97)</f>
        <v>2703.61</v>
      </c>
      <c r="AH196" s="56">
        <f>IF('Raw Data - financials'!AH97="","",'Raw Data - financials'!AH97)</f>
        <v>6084.58</v>
      </c>
      <c r="AI196" s="56">
        <f>IF('Raw Data - financials'!AI97="","",'Raw Data - financials'!AI97)</f>
        <v>4386.1000000000004</v>
      </c>
      <c r="AJ196" s="56">
        <f>IF('Raw Data - financials'!AJ97="","",'Raw Data - financials'!AJ97)</f>
        <v>9473</v>
      </c>
      <c r="AK196" s="56">
        <f>AK118*AK197</f>
        <v>12450.49863466018</v>
      </c>
      <c r="AL196" s="56">
        <f>AL118*AL197</f>
        <v>16356.245580589484</v>
      </c>
      <c r="AM196" s="56">
        <f>AM118*AM197</f>
        <v>21487.742259473143</v>
      </c>
      <c r="AN196" s="56">
        <f>AN118*AN197</f>
        <v>28229.837501068389</v>
      </c>
    </row>
    <row r="197" spans="1:40" x14ac:dyDescent="0.3">
      <c r="A197" s="12" t="s">
        <v>297</v>
      </c>
      <c r="B197" s="12" t="s">
        <v>217</v>
      </c>
      <c r="C197" s="12" t="s">
        <v>238</v>
      </c>
      <c r="E197" s="55" t="str">
        <f>IF(COUNT('Raw Data - financials'!E80,'Raw Data - financials'!E82)=0,"",SUM('Raw Data - financials'!E80,'Raw Data - financials'!E82))</f>
        <v/>
      </c>
      <c r="G197" s="55">
        <f>IF(COUNT('Raw Data - financials'!G80,'Raw Data - financials'!G82)=0,"",SUM('Raw Data - financials'!G80,'Raw Data - financials'!G82))</f>
        <v>12981.039999999999</v>
      </c>
      <c r="I197" s="55">
        <f>IF(COUNT('Raw Data - financials'!I80,'Raw Data - financials'!I82)=0,"",SUM('Raw Data - financials'!I80,'Raw Data - financials'!I82))</f>
        <v>13233.29</v>
      </c>
      <c r="K197" s="55">
        <f>IF(COUNT('Raw Data - financials'!K80,'Raw Data - financials'!K82)=0,"",SUM('Raw Data - financials'!K80,'Raw Data - financials'!K82))</f>
        <v>11069.1</v>
      </c>
      <c r="M197" s="55">
        <f>IF(COUNT('Raw Data - financials'!M80,'Raw Data - financials'!M82)=0,"",SUM('Raw Data - financials'!M80,'Raw Data - financials'!M82))</f>
        <v>11241.65</v>
      </c>
      <c r="O197" s="55">
        <f>IF(COUNT('Raw Data - financials'!O80,'Raw Data - financials'!O82)=0,"",SUM('Raw Data - financials'!O80,'Raw Data - financials'!O82))</f>
        <v>9954.4500000000007</v>
      </c>
      <c r="Q197" s="55">
        <f>IF(COUNT('Raw Data - financials'!Q80,'Raw Data - financials'!Q82)=0,"",SUM('Raw Data - financials'!Q80,'Raw Data - financials'!Q82))</f>
        <v>10477.799999999999</v>
      </c>
      <c r="S197" s="55">
        <f>IF(COUNT('Raw Data - financials'!S80,'Raw Data - financials'!S82)=0,"",SUM('Raw Data - financials'!S80,'Raw Data - financials'!S82))</f>
        <v>10567.3</v>
      </c>
      <c r="U197" s="55">
        <f>IF(COUNT('Raw Data - financials'!U80,'Raw Data - financials'!U82)=0,"",SUM('Raw Data - financials'!U80,'Raw Data - financials'!U82))</f>
        <v>11533</v>
      </c>
      <c r="W197" s="55">
        <f>IF(COUNT('Raw Data - financials'!W80,'Raw Data - financials'!W82)=0,"",SUM('Raw Data - financials'!W80,'Raw Data - financials'!W82))</f>
        <v>12157.7</v>
      </c>
      <c r="AB197" s="19"/>
      <c r="AC197" s="52" t="str">
        <f t="shared" ref="AC197:AJ197" si="124">IFERROR(AC196/AC118,"")</f>
        <v/>
      </c>
      <c r="AD197" s="52" t="str">
        <f t="shared" si="124"/>
        <v/>
      </c>
      <c r="AE197" s="52" t="str">
        <f t="shared" si="124"/>
        <v/>
      </c>
      <c r="AF197" s="52" t="str">
        <f t="shared" si="124"/>
        <v/>
      </c>
      <c r="AG197" s="52" t="str">
        <f t="shared" si="124"/>
        <v/>
      </c>
      <c r="AH197" s="52">
        <f t="shared" si="124"/>
        <v>9.5285567930223289E-2</v>
      </c>
      <c r="AI197" s="52">
        <f t="shared" si="124"/>
        <v>5.5172318366956741E-2</v>
      </c>
      <c r="AJ197" s="52">
        <f t="shared" si="124"/>
        <v>9.4520353855149286E-2</v>
      </c>
      <c r="AK197" s="50">
        <v>9.4500000000000001E-2</v>
      </c>
      <c r="AL197" s="50">
        <v>9.4500000000000001E-2</v>
      </c>
      <c r="AM197" s="50">
        <v>9.4500000000000001E-2</v>
      </c>
      <c r="AN197" s="50">
        <v>9.4500000000000001E-2</v>
      </c>
    </row>
    <row r="198" spans="1:40" x14ac:dyDescent="0.3">
      <c r="A198" s="12" t="s">
        <v>109</v>
      </c>
      <c r="B198" s="12" t="s">
        <v>214</v>
      </c>
      <c r="C198" s="12" t="s">
        <v>328</v>
      </c>
      <c r="AB198" s="19"/>
      <c r="AC198" s="56">
        <f>IF('Raw Data - financials'!AC98="","",'Raw Data - financials'!AC98)</f>
        <v>0.37</v>
      </c>
      <c r="AD198" s="56">
        <f>IF('Raw Data - financials'!AD98="","",'Raw Data - financials'!AD98)</f>
        <v>0.67</v>
      </c>
      <c r="AE198" s="56">
        <f>IF('Raw Data - financials'!AE98="","",'Raw Data - financials'!AE98)</f>
        <v>108.47</v>
      </c>
      <c r="AF198" s="56">
        <f>IF('Raw Data - financials'!AF98="","",'Raw Data - financials'!AF98)</f>
        <v>88.66</v>
      </c>
      <c r="AG198" s="56">
        <f>IF('Raw Data - financials'!AG98="","",'Raw Data - financials'!AG98)</f>
        <v>113.86</v>
      </c>
      <c r="AH198" s="56">
        <f>IF('Raw Data - financials'!AH98="","",'Raw Data - financials'!AH98)</f>
        <v>86.9</v>
      </c>
      <c r="AI198" s="56">
        <f>IF('Raw Data - financials'!AI98="","",'Raw Data - financials'!AI98)</f>
        <v>101.9</v>
      </c>
      <c r="AJ198" s="56">
        <f>IF('Raw Data - financials'!AJ98="","",'Raw Data - financials'!AJ98)</f>
        <v>268.10000000000002</v>
      </c>
      <c r="AK198" s="56">
        <f>AJ198</f>
        <v>268.10000000000002</v>
      </c>
      <c r="AL198" s="56">
        <f>AK198</f>
        <v>268.10000000000002</v>
      </c>
      <c r="AM198" s="56">
        <f>AL198</f>
        <v>268.10000000000002</v>
      </c>
      <c r="AN198" s="56">
        <f>AM198</f>
        <v>268.10000000000002</v>
      </c>
    </row>
    <row r="199" spans="1:40" x14ac:dyDescent="0.3">
      <c r="A199" s="12" t="s">
        <v>114</v>
      </c>
      <c r="B199" s="12" t="s">
        <v>214</v>
      </c>
      <c r="C199" s="12" t="s">
        <v>329</v>
      </c>
      <c r="E199" s="55"/>
      <c r="G199" s="55"/>
      <c r="I199" s="55"/>
      <c r="K199" s="55"/>
      <c r="M199" s="55"/>
      <c r="O199" s="55"/>
      <c r="Q199" s="55"/>
      <c r="S199" s="55"/>
      <c r="U199" s="55"/>
      <c r="W199" s="55"/>
      <c r="AB199" s="19"/>
      <c r="AC199" s="56">
        <f>IF('Raw Data - financials'!AC99="","",'Raw Data - financials'!AC99)</f>
        <v>101.91</v>
      </c>
      <c r="AD199" s="56">
        <f>IF('Raw Data - financials'!AD99="","",'Raw Data - financials'!AD99)</f>
        <v>148.69999999999999</v>
      </c>
      <c r="AE199" s="56">
        <f>IF('Raw Data - financials'!AE99="","",'Raw Data - financials'!AE99)</f>
        <v>169.15</v>
      </c>
      <c r="AF199" s="56">
        <f>IF('Raw Data - financials'!AF99="","",'Raw Data - financials'!AF99)</f>
        <v>160.41</v>
      </c>
      <c r="AG199" s="56">
        <f>IF('Raw Data - financials'!AG99="","",'Raw Data - financials'!AG99)</f>
        <v>234.78</v>
      </c>
      <c r="AH199" s="56">
        <f>IF('Raw Data - financials'!AH99="","",'Raw Data - financials'!AH99)</f>
        <v>273.42</v>
      </c>
      <c r="AI199" s="56">
        <f>IF('Raw Data - financials'!AI99="","",'Raw Data - financials'!AI99)</f>
        <v>376.1</v>
      </c>
      <c r="AJ199" s="56">
        <f>IF('Raw Data - financials'!AJ99="","",'Raw Data - financials'!AJ99)</f>
        <v>600.70000000000005</v>
      </c>
      <c r="AK199" s="56">
        <f>AK118*AK200</f>
        <v>790.507849819694</v>
      </c>
      <c r="AL199" s="56">
        <f>AL118*AL200</f>
        <v>1038.4917828945704</v>
      </c>
      <c r="AM199" s="56">
        <f>AM118*AM200</f>
        <v>1364.3010958395646</v>
      </c>
      <c r="AN199" s="56">
        <f>AN118*AN200</f>
        <v>1792.3706349884692</v>
      </c>
    </row>
    <row r="200" spans="1:40" x14ac:dyDescent="0.3">
      <c r="A200" s="12" t="s">
        <v>297</v>
      </c>
      <c r="B200" s="12" t="s">
        <v>217</v>
      </c>
      <c r="C200" s="12" t="s">
        <v>238</v>
      </c>
      <c r="E200" s="55" t="str">
        <f>IF(COUNT('Raw Data - financials'!E87,'Raw Data - financials'!E94)=0,"",SUM('Raw Data - financials'!E87,'Raw Data - financials'!E94))</f>
        <v/>
      </c>
      <c r="G200" s="55">
        <f>IF(COUNT('Raw Data - financials'!G87,'Raw Data - financials'!G94)=0,"",SUM('Raw Data - financials'!G87,'Raw Data - financials'!G94))</f>
        <v>2595.8900000000003</v>
      </c>
      <c r="I200" s="55">
        <f>IF(COUNT('Raw Data - financials'!I87,'Raw Data - financials'!I94)=0,"",SUM('Raw Data - financials'!I87,'Raw Data - financials'!I94))</f>
        <v>4198.6399999999994</v>
      </c>
      <c r="K200" s="55">
        <f>IF(COUNT('Raw Data - financials'!K87,'Raw Data - financials'!K94)=0,"",SUM('Raw Data - financials'!K87,'Raw Data - financials'!K94))</f>
        <v>3381.31</v>
      </c>
      <c r="M200" s="55">
        <f>IF(COUNT('Raw Data - financials'!M87,'Raw Data - financials'!M94)=0,"",SUM('Raw Data - financials'!M87,'Raw Data - financials'!M94))</f>
        <v>3060.05</v>
      </c>
      <c r="O200" s="55">
        <f>IF(COUNT('Raw Data - financials'!O87,'Raw Data - financials'!O94)=0,"",SUM('Raw Data - financials'!O87,'Raw Data - financials'!O94))</f>
        <v>2890.92</v>
      </c>
      <c r="Q200" s="55">
        <f>IF(COUNT('Raw Data - financials'!Q87,'Raw Data - financials'!Q94)=0,"",SUM('Raw Data - financials'!Q87,'Raw Data - financials'!Q94))</f>
        <v>3049.2</v>
      </c>
      <c r="S200" s="55">
        <f>IF(COUNT('Raw Data - financials'!S87,'Raw Data - financials'!S94)=0,"",SUM('Raw Data - financials'!S87,'Raw Data - financials'!S94))</f>
        <v>3592.3</v>
      </c>
      <c r="U200" s="55">
        <f>IF(COUNT('Raw Data - financials'!U87,'Raw Data - financials'!U94)=0,"",SUM('Raw Data - financials'!U87,'Raw Data - financials'!U94))</f>
        <v>4171.7</v>
      </c>
      <c r="W200" s="55">
        <f>IF(COUNT('Raw Data - financials'!W87,'Raw Data - financials'!W94)=0,"",SUM('Raw Data - financials'!W87,'Raw Data - financials'!W94))</f>
        <v>4906</v>
      </c>
      <c r="AB200" s="19"/>
      <c r="AC200" s="52" t="str">
        <f t="shared" ref="AC200:AJ200" si="125">IFERROR(AC199/AC118,"")</f>
        <v/>
      </c>
      <c r="AD200" s="52" t="str">
        <f t="shared" si="125"/>
        <v/>
      </c>
      <c r="AE200" s="52" t="str">
        <f t="shared" si="125"/>
        <v/>
      </c>
      <c r="AF200" s="52" t="str">
        <f t="shared" si="125"/>
        <v/>
      </c>
      <c r="AG200" s="52" t="str">
        <f t="shared" si="125"/>
        <v/>
      </c>
      <c r="AH200" s="52">
        <f t="shared" si="125"/>
        <v>4.2818041645407987E-3</v>
      </c>
      <c r="AI200" s="52">
        <f t="shared" si="125"/>
        <v>4.7309247253396938E-3</v>
      </c>
      <c r="AJ200" s="52">
        <f t="shared" si="125"/>
        <v>5.9937059601803209E-3</v>
      </c>
      <c r="AK200" s="50">
        <v>6.0000000000000001E-3</v>
      </c>
      <c r="AL200" s="50">
        <v>6.0000000000000001E-3</v>
      </c>
      <c r="AM200" s="50">
        <v>6.0000000000000001E-3</v>
      </c>
      <c r="AN200" s="50">
        <v>6.0000000000000001E-3</v>
      </c>
    </row>
    <row r="201" spans="1:40" x14ac:dyDescent="0.3">
      <c r="A201" s="12" t="s">
        <v>115</v>
      </c>
      <c r="B201" s="12" t="s">
        <v>214</v>
      </c>
      <c r="C201" s="12" t="s">
        <v>330</v>
      </c>
      <c r="AB201" s="19"/>
      <c r="AC201" s="56">
        <f>IF('Raw Data - financials'!AC100="","",'Raw Data - financials'!AC100)</f>
        <v>0</v>
      </c>
      <c r="AD201" s="56">
        <f>IF('Raw Data - financials'!AD100="","",'Raw Data - financials'!AD100)</f>
        <v>2.69</v>
      </c>
      <c r="AE201" s="56">
        <f>IF('Raw Data - financials'!AE100="","",'Raw Data - financials'!AE100)</f>
        <v>246.94</v>
      </c>
      <c r="AF201" s="56">
        <f>IF('Raw Data - financials'!AF100="","",'Raw Data - financials'!AF100)</f>
        <v>21.73</v>
      </c>
      <c r="AG201" s="56">
        <f>IF('Raw Data - financials'!AG100="","",'Raw Data - financials'!AG100)</f>
        <v>0</v>
      </c>
      <c r="AH201" s="56">
        <f>IF('Raw Data - financials'!AH100="","",'Raw Data - financials'!AH100)</f>
        <v>0</v>
      </c>
      <c r="AI201" s="56">
        <f>IF('Raw Data - financials'!AI100="","",'Raw Data - financials'!AI100)</f>
        <v>0</v>
      </c>
      <c r="AJ201" s="56">
        <f>IF('Raw Data - financials'!AJ100="","",'Raw Data - financials'!AJ100)</f>
        <v>0</v>
      </c>
      <c r="AK201" s="56">
        <f>AJ201</f>
        <v>0</v>
      </c>
      <c r="AL201" s="56">
        <f>AK201</f>
        <v>0</v>
      </c>
      <c r="AM201" s="56">
        <f>AL201</f>
        <v>0</v>
      </c>
      <c r="AN201" s="56">
        <f>AM201</f>
        <v>0</v>
      </c>
    </row>
    <row r="202" spans="1:40" x14ac:dyDescent="0.3">
      <c r="A202" s="12" t="s">
        <v>116</v>
      </c>
      <c r="B202" s="12" t="s">
        <v>214</v>
      </c>
      <c r="C202" s="12" t="s">
        <v>331</v>
      </c>
      <c r="E202" s="55"/>
      <c r="G202" s="55"/>
      <c r="I202" s="55"/>
      <c r="K202" s="55"/>
      <c r="M202" s="55"/>
      <c r="O202" s="55"/>
      <c r="Q202" s="55"/>
      <c r="S202" s="55"/>
      <c r="U202" s="55"/>
      <c r="W202" s="55"/>
      <c r="AB202" s="19"/>
      <c r="AC202" s="56">
        <f>IF('Raw Data - financials'!AC101="","",'Raw Data - financials'!AC101)</f>
        <v>122.46</v>
      </c>
      <c r="AD202" s="56">
        <f>IF('Raw Data - financials'!AD101="","",'Raw Data - financials'!AD101)</f>
        <v>83.32</v>
      </c>
      <c r="AE202" s="56">
        <f>IF('Raw Data - financials'!AE101="","",'Raw Data - financials'!AE101)</f>
        <v>175.17</v>
      </c>
      <c r="AF202" s="56">
        <f>IF('Raw Data - financials'!AF101="","",'Raw Data - financials'!AF101)</f>
        <v>220.49</v>
      </c>
      <c r="AG202" s="56">
        <f>IF('Raw Data - financials'!AG101="","",'Raw Data - financials'!AG101)</f>
        <v>421.31</v>
      </c>
      <c r="AH202" s="56">
        <f>IF('Raw Data - financials'!AH101="","",'Raw Data - financials'!AH101)</f>
        <v>375.07</v>
      </c>
      <c r="AI202" s="56">
        <f>IF('Raw Data - financials'!AI101="","",'Raw Data - financials'!AI101)</f>
        <v>405.2</v>
      </c>
      <c r="AJ202" s="56">
        <f>IF('Raw Data - financials'!AJ101="","",'Raw Data - financials'!AJ101)</f>
        <v>689.4</v>
      </c>
      <c r="AK202" s="56">
        <f>AK118*AK203</f>
        <v>909.0840272926481</v>
      </c>
      <c r="AL202" s="56">
        <f>AL118*AL203</f>
        <v>1194.2655503287558</v>
      </c>
      <c r="AM202" s="56">
        <f>AM118*AM203</f>
        <v>1568.9462602154993</v>
      </c>
      <c r="AN202" s="56">
        <f>AN118*AN203</f>
        <v>2061.2262302367394</v>
      </c>
    </row>
    <row r="203" spans="1:40" x14ac:dyDescent="0.3">
      <c r="A203" s="12" t="s">
        <v>297</v>
      </c>
      <c r="B203" s="12" t="s">
        <v>217</v>
      </c>
      <c r="C203" s="12" t="s">
        <v>238</v>
      </c>
      <c r="AB203" s="19"/>
      <c r="AC203" s="52" t="str">
        <f t="shared" ref="AC203:AJ203" si="126">IFERROR(AC202/AC118,"")</f>
        <v/>
      </c>
      <c r="AD203" s="52" t="str">
        <f t="shared" si="126"/>
        <v/>
      </c>
      <c r="AE203" s="52" t="str">
        <f t="shared" si="126"/>
        <v/>
      </c>
      <c r="AF203" s="52" t="str">
        <f t="shared" si="126"/>
        <v/>
      </c>
      <c r="AG203" s="52" t="str">
        <f t="shared" si="126"/>
        <v/>
      </c>
      <c r="AH203" s="52">
        <f t="shared" si="126"/>
        <v>5.8736606246591961E-3</v>
      </c>
      <c r="AI203" s="52">
        <f t="shared" si="126"/>
        <v>5.0969707490232481E-3</v>
      </c>
      <c r="AJ203" s="52">
        <f t="shared" si="126"/>
        <v>6.8787429481410242E-3</v>
      </c>
      <c r="AK203" s="50">
        <v>6.8999999999999999E-3</v>
      </c>
      <c r="AL203" s="50">
        <v>6.8999999999999999E-3</v>
      </c>
      <c r="AM203" s="50">
        <v>6.8999999999999999E-3</v>
      </c>
      <c r="AN203" s="50">
        <v>6.8999999999999999E-3</v>
      </c>
    </row>
    <row r="204" spans="1:40" x14ac:dyDescent="0.3">
      <c r="A204" s="1" t="s">
        <v>117</v>
      </c>
      <c r="B204" s="12" t="s">
        <v>214</v>
      </c>
      <c r="C204" s="12" t="s">
        <v>215</v>
      </c>
      <c r="E204" s="55"/>
      <c r="G204" s="55"/>
      <c r="I204" s="55"/>
      <c r="K204" s="55"/>
      <c r="M204" s="55"/>
      <c r="O204" s="55"/>
      <c r="Q204" s="55"/>
      <c r="S204" s="55"/>
      <c r="U204" s="55"/>
      <c r="W204" s="55"/>
      <c r="AB204" s="19"/>
      <c r="AC204" s="60">
        <f t="shared" ref="AC204:AN204" si="127">IFERROR(AC191+AC192+AC193+AC194+AC196+AC198+AC199+AC201+AC202,"")</f>
        <v>4656.95</v>
      </c>
      <c r="AD204" s="60">
        <f t="shared" si="127"/>
        <v>6659.2599999999993</v>
      </c>
      <c r="AE204" s="60">
        <f t="shared" si="127"/>
        <v>6948.2</v>
      </c>
      <c r="AF204" s="60">
        <f t="shared" si="127"/>
        <v>9652.5699999999979</v>
      </c>
      <c r="AG204" s="60">
        <f t="shared" si="127"/>
        <v>11975.090000000002</v>
      </c>
      <c r="AH204" s="60">
        <f t="shared" si="127"/>
        <v>18788.73</v>
      </c>
      <c r="AI204" s="60">
        <f t="shared" si="127"/>
        <v>21605.899999999998</v>
      </c>
      <c r="AJ204" s="60">
        <f t="shared" si="127"/>
        <v>27582.5</v>
      </c>
      <c r="AK204" s="60">
        <f t="shared" si="127"/>
        <v>38425.904415935292</v>
      </c>
      <c r="AL204" s="60">
        <f t="shared" si="127"/>
        <v>47501.776662457851</v>
      </c>
      <c r="AM204" s="60">
        <f t="shared" si="127"/>
        <v>59425.951202117329</v>
      </c>
      <c r="AN204" s="60">
        <f t="shared" si="127"/>
        <v>75092.709938338274</v>
      </c>
    </row>
    <row r="205" spans="1:40" x14ac:dyDescent="0.3">
      <c r="A205" s="1" t="s">
        <v>118</v>
      </c>
      <c r="B205" s="12" t="s">
        <v>214</v>
      </c>
      <c r="C205" s="12" t="s">
        <v>215</v>
      </c>
      <c r="AB205" s="19"/>
      <c r="AC205" s="60">
        <f t="shared" ref="AC205:AN205" si="128">IFERROR(AC188+AC204,"")</f>
        <v>5446.3</v>
      </c>
      <c r="AD205" s="60">
        <f t="shared" si="128"/>
        <v>8015.9499999999989</v>
      </c>
      <c r="AE205" s="60">
        <f t="shared" si="128"/>
        <v>8112.15</v>
      </c>
      <c r="AF205" s="60">
        <f t="shared" si="128"/>
        <v>13005.199999999997</v>
      </c>
      <c r="AG205" s="60">
        <f t="shared" si="128"/>
        <v>15578.230000000001</v>
      </c>
      <c r="AH205" s="60">
        <f t="shared" si="128"/>
        <v>21195.82</v>
      </c>
      <c r="AI205" s="60">
        <f t="shared" si="128"/>
        <v>26368.699999999997</v>
      </c>
      <c r="AJ205" s="60">
        <f t="shared" si="128"/>
        <v>31092.799999999999</v>
      </c>
      <c r="AK205" s="60">
        <f t="shared" si="128"/>
        <v>41945.954677595946</v>
      </c>
      <c r="AL205" s="60">
        <f t="shared" si="128"/>
        <v>51030.093055221005</v>
      </c>
      <c r="AM205" s="60">
        <f t="shared" si="128"/>
        <v>62965.12790531198</v>
      </c>
      <c r="AN205" s="60">
        <f t="shared" si="128"/>
        <v>78646.155626171225</v>
      </c>
    </row>
    <row r="206" spans="1:40" x14ac:dyDescent="0.3">
      <c r="A206" s="1" t="s">
        <v>119</v>
      </c>
      <c r="B206" s="12" t="s">
        <v>214</v>
      </c>
      <c r="C206" s="12" t="s">
        <v>215</v>
      </c>
      <c r="E206" s="55"/>
      <c r="G206" s="55"/>
      <c r="I206" s="55"/>
      <c r="K206" s="55"/>
      <c r="M206" s="55"/>
      <c r="O206" s="55"/>
      <c r="Q206" s="55"/>
      <c r="S206" s="55"/>
      <c r="U206" s="55"/>
      <c r="W206" s="55"/>
      <c r="AB206" s="19"/>
      <c r="AC206" s="60">
        <f t="shared" ref="AC206:AN206" si="129">IFERROR(AC180+AC205,"")</f>
        <v>7756.57</v>
      </c>
      <c r="AD206" s="60">
        <f t="shared" si="129"/>
        <v>11244.82</v>
      </c>
      <c r="AE206" s="60">
        <f t="shared" si="129"/>
        <v>13019.9</v>
      </c>
      <c r="AF206" s="60">
        <f t="shared" si="129"/>
        <v>26460.35</v>
      </c>
      <c r="AG206" s="60">
        <f t="shared" si="129"/>
        <v>29499.78</v>
      </c>
      <c r="AH206" s="60">
        <f t="shared" si="129"/>
        <v>34006.26</v>
      </c>
      <c r="AI206" s="60">
        <f t="shared" si="129"/>
        <v>39795.299999999996</v>
      </c>
      <c r="AJ206" s="60">
        <f t="shared" si="129"/>
        <v>46113.8</v>
      </c>
      <c r="AK206" s="60">
        <f t="shared" si="129"/>
        <v>60141.467873456808</v>
      </c>
      <c r="AL206" s="60">
        <f t="shared" si="129"/>
        <v>73375.481617612561</v>
      </c>
      <c r="AM206" s="60">
        <f t="shared" si="129"/>
        <v>90735.066118110466</v>
      </c>
      <c r="AN206" s="60">
        <f t="shared" si="129"/>
        <v>113506.35619107525</v>
      </c>
    </row>
    <row r="207" spans="1:40" x14ac:dyDescent="0.3">
      <c r="AB207" s="19"/>
    </row>
    <row r="208" spans="1:40" x14ac:dyDescent="0.3">
      <c r="A208" s="12" t="s">
        <v>332</v>
      </c>
      <c r="B208" s="12" t="s">
        <v>214</v>
      </c>
      <c r="C208" s="12" t="s">
        <v>215</v>
      </c>
      <c r="E208" s="55"/>
      <c r="G208" s="55"/>
      <c r="I208" s="55"/>
      <c r="K208" s="55"/>
      <c r="M208" s="55"/>
      <c r="O208" s="55"/>
      <c r="Q208" s="55"/>
      <c r="S208" s="55"/>
      <c r="U208" s="55"/>
      <c r="W208" s="55"/>
      <c r="AB208" s="19"/>
      <c r="AC208" s="56" t="str">
        <f t="shared" ref="AC208:AN208" si="130">IFERROR(AC172-AC206,"")</f>
        <v/>
      </c>
      <c r="AD208" s="56" t="str">
        <f t="shared" si="130"/>
        <v/>
      </c>
      <c r="AE208" s="56">
        <f t="shared" si="130"/>
        <v>0.7400000000034197</v>
      </c>
      <c r="AF208" s="56">
        <f t="shared" si="130"/>
        <v>0</v>
      </c>
      <c r="AG208" s="56">
        <f t="shared" si="130"/>
        <v>0</v>
      </c>
      <c r="AH208" s="56">
        <f t="shared" si="130"/>
        <v>0</v>
      </c>
      <c r="AI208" s="56">
        <f t="shared" si="130"/>
        <v>0</v>
      </c>
      <c r="AJ208" s="56">
        <f t="shared" si="130"/>
        <v>0</v>
      </c>
      <c r="AK208" s="56">
        <f t="shared" si="130"/>
        <v>7.2759576141834259E-12</v>
      </c>
      <c r="AL208" s="56">
        <f t="shared" si="130"/>
        <v>0</v>
      </c>
      <c r="AM208" s="56">
        <f t="shared" si="130"/>
        <v>-1.4551915228366852E-11</v>
      </c>
      <c r="AN208" s="56">
        <f t="shared" si="130"/>
        <v>0</v>
      </c>
    </row>
    <row r="210" spans="1:40" x14ac:dyDescent="0.3">
      <c r="A210" s="81" t="s">
        <v>333</v>
      </c>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row>
    <row r="211" spans="1:40" x14ac:dyDescent="0.3">
      <c r="A211" s="88" t="s">
        <v>334</v>
      </c>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row>
    <row r="212" spans="1:40" x14ac:dyDescent="0.3">
      <c r="A212" s="12" t="s">
        <v>190</v>
      </c>
      <c r="B212" s="12" t="s">
        <v>214</v>
      </c>
      <c r="C212" s="12" t="s">
        <v>335</v>
      </c>
      <c r="AC212" s="56">
        <f t="shared" ref="AC212:AN212" si="131">IF(COUNT(AC213,AC215,AC217)=0,"",SUM(AC213,AC215,AC217))</f>
        <v>193.828</v>
      </c>
      <c r="AD212" s="56">
        <f t="shared" si="131"/>
        <v>382.77199999999999</v>
      </c>
      <c r="AE212" s="56">
        <f t="shared" si="131"/>
        <v>408.358</v>
      </c>
      <c r="AF212" s="56">
        <f t="shared" si="131"/>
        <v>964.13</v>
      </c>
      <c r="AG212" s="56">
        <f t="shared" si="131"/>
        <v>1732.56</v>
      </c>
      <c r="AH212" s="56">
        <f t="shared" si="131"/>
        <v>2242.33</v>
      </c>
      <c r="AI212" s="56">
        <f t="shared" si="131"/>
        <v>2664</v>
      </c>
      <c r="AJ212" s="56">
        <f t="shared" si="131"/>
        <v>3203.2999999999997</v>
      </c>
      <c r="AK212" s="56">
        <f t="shared" si="131"/>
        <v>3203.2999999999997</v>
      </c>
      <c r="AL212" s="56">
        <f t="shared" si="131"/>
        <v>3203.2999999999997</v>
      </c>
      <c r="AM212" s="56">
        <f t="shared" si="131"/>
        <v>3203.2999999999997</v>
      </c>
      <c r="AN212" s="56">
        <f t="shared" si="131"/>
        <v>3203.2999999999997</v>
      </c>
    </row>
    <row r="213" spans="1:40" x14ac:dyDescent="0.3">
      <c r="A213" s="12" t="s">
        <v>336</v>
      </c>
      <c r="B213" s="12" t="s">
        <v>214</v>
      </c>
      <c r="C213" s="12" t="s">
        <v>337</v>
      </c>
      <c r="AC213" s="56" t="str">
        <f>IF('Raw Data - financials'!AC186="","",'Raw Data - financials'!AC186)</f>
        <v/>
      </c>
      <c r="AD213" s="56" t="str">
        <f>IF('Raw Data - financials'!AD186="","",'Raw Data - financials'!AD186)</f>
        <v/>
      </c>
      <c r="AE213" s="56" t="str">
        <f>IF('Raw Data - financials'!AE186="","",'Raw Data - financials'!AE186)</f>
        <v/>
      </c>
      <c r="AF213" s="56">
        <f>IF('Raw Data - financials'!AF186="","",'Raw Data - financials'!AF186)</f>
        <v>262.05</v>
      </c>
      <c r="AG213" s="56">
        <f>IF('Raw Data - financials'!AG186="","",'Raw Data - financials'!AG186)</f>
        <v>489.05</v>
      </c>
      <c r="AH213" s="56">
        <f>IF('Raw Data - financials'!AH186="","",'Raw Data - financials'!AH186)</f>
        <v>708.13</v>
      </c>
      <c r="AI213" s="56">
        <f>IF('Raw Data - financials'!AI186="","",'Raw Data - financials'!AI186)</f>
        <v>804.8</v>
      </c>
      <c r="AJ213" s="56">
        <f>IF('Raw Data - financials'!AJ186="","",'Raw Data - financials'!AJ186)</f>
        <v>875.4</v>
      </c>
      <c r="AK213" s="56">
        <f>IFERROR(AJ213*(1+AK214),"")</f>
        <v>875.4</v>
      </c>
      <c r="AL213" s="56">
        <f>IFERROR(AK213*(1+AL214),"")</f>
        <v>875.4</v>
      </c>
      <c r="AM213" s="56">
        <f>IFERROR(AL213*(1+AM214),"")</f>
        <v>875.4</v>
      </c>
      <c r="AN213" s="56">
        <f>IFERROR(AM213*(1+AN214),"")</f>
        <v>875.4</v>
      </c>
    </row>
    <row r="214" spans="1:40" x14ac:dyDescent="0.3">
      <c r="A214" s="12" t="s">
        <v>216</v>
      </c>
      <c r="B214" s="12" t="s">
        <v>217</v>
      </c>
      <c r="C214" s="12" t="s">
        <v>238</v>
      </c>
      <c r="AD214" s="52" t="str">
        <f t="shared" ref="AD214:AJ214" si="132">IFERROR(AD213/AC213-1,"")</f>
        <v/>
      </c>
      <c r="AE214" s="52" t="str">
        <f t="shared" si="132"/>
        <v/>
      </c>
      <c r="AF214" s="52" t="str">
        <f t="shared" si="132"/>
        <v/>
      </c>
      <c r="AG214" s="52">
        <f t="shared" si="132"/>
        <v>0.86624689944667055</v>
      </c>
      <c r="AH214" s="52">
        <f t="shared" si="132"/>
        <v>0.44797055515795936</v>
      </c>
      <c r="AI214" s="52">
        <f t="shared" si="132"/>
        <v>0.13651448180418835</v>
      </c>
      <c r="AJ214" s="52">
        <f t="shared" si="132"/>
        <v>8.7723658051689801E-2</v>
      </c>
      <c r="AK214" s="50">
        <v>0</v>
      </c>
      <c r="AL214" s="50">
        <v>0</v>
      </c>
      <c r="AM214" s="50">
        <v>0</v>
      </c>
      <c r="AN214" s="50">
        <v>0</v>
      </c>
    </row>
    <row r="215" spans="1:40" x14ac:dyDescent="0.3">
      <c r="A215" s="12" t="s">
        <v>338</v>
      </c>
      <c r="B215" s="12" t="s">
        <v>214</v>
      </c>
      <c r="C215" s="12" t="s">
        <v>339</v>
      </c>
      <c r="AC215" s="56">
        <f>IF('Raw Data - financials'!AC187="","",'Raw Data - financials'!AC187)</f>
        <v>193.828</v>
      </c>
      <c r="AD215" s="56">
        <f>IF('Raw Data - financials'!AD187="","",'Raw Data - financials'!AD187)</f>
        <v>382.77199999999999</v>
      </c>
      <c r="AE215" s="56">
        <f>IF('Raw Data - financials'!AE187="","",'Raw Data - financials'!AE187)</f>
        <v>408.358</v>
      </c>
      <c r="AF215" s="56">
        <f>IF('Raw Data - financials'!AF187="","",'Raw Data - financials'!AF187)</f>
        <v>573</v>
      </c>
      <c r="AG215" s="56">
        <f>IF('Raw Data - financials'!AG187="","",'Raw Data - financials'!AG187)</f>
        <v>1070.7</v>
      </c>
      <c r="AH215" s="56">
        <f>IF('Raw Data - financials'!AH187="","",'Raw Data - financials'!AH187)</f>
        <v>1290.49</v>
      </c>
      <c r="AI215" s="56">
        <f>IF('Raw Data - financials'!AI187="","",'Raw Data - financials'!AI187)</f>
        <v>1516.4</v>
      </c>
      <c r="AJ215" s="56">
        <f>IF('Raw Data - financials'!AJ187="","",'Raw Data - financials'!AJ187)</f>
        <v>1890.7</v>
      </c>
      <c r="AK215" s="56">
        <f>IFERROR(AJ215*(1+AK216),"")</f>
        <v>1890.7</v>
      </c>
      <c r="AL215" s="56">
        <f>IFERROR(AK215*(1+AL216),"")</f>
        <v>1890.7</v>
      </c>
      <c r="AM215" s="56">
        <f>IFERROR(AL215*(1+AM216),"")</f>
        <v>1890.7</v>
      </c>
      <c r="AN215" s="56">
        <f>IFERROR(AM215*(1+AN216),"")</f>
        <v>1890.7</v>
      </c>
    </row>
    <row r="216" spans="1:40" x14ac:dyDescent="0.3">
      <c r="A216" s="12" t="s">
        <v>216</v>
      </c>
      <c r="B216" s="12" t="s">
        <v>217</v>
      </c>
      <c r="C216" s="12" t="s">
        <v>238</v>
      </c>
      <c r="AD216" s="52">
        <f t="shared" ref="AD216:AJ216" si="133">IFERROR(AD215/AC215-1,"")</f>
        <v>0.97480240212972324</v>
      </c>
      <c r="AE216" s="52">
        <f t="shared" si="133"/>
        <v>6.6843969778353829E-2</v>
      </c>
      <c r="AF216" s="52">
        <f t="shared" si="133"/>
        <v>0.40318054256314317</v>
      </c>
      <c r="AG216" s="52">
        <f t="shared" si="133"/>
        <v>0.86858638743455496</v>
      </c>
      <c r="AH216" s="52">
        <f t="shared" si="133"/>
        <v>0.20527692164004852</v>
      </c>
      <c r="AI216" s="52">
        <f t="shared" si="133"/>
        <v>0.17505753628466714</v>
      </c>
      <c r="AJ216" s="52">
        <f t="shared" si="133"/>
        <v>0.24683460828277504</v>
      </c>
      <c r="AK216" s="50">
        <v>0</v>
      </c>
      <c r="AL216" s="50">
        <v>0</v>
      </c>
      <c r="AM216" s="50">
        <v>0</v>
      </c>
      <c r="AN216" s="50">
        <v>0</v>
      </c>
    </row>
    <row r="217" spans="1:40" x14ac:dyDescent="0.3">
      <c r="A217" s="12" t="s">
        <v>340</v>
      </c>
      <c r="B217" s="12" t="s">
        <v>214</v>
      </c>
      <c r="C217" s="12" t="s">
        <v>341</v>
      </c>
      <c r="AC217" s="56" t="str">
        <f>IF('Raw Data - financials'!AC188="","",'Raw Data - financials'!AC188)</f>
        <v/>
      </c>
      <c r="AD217" s="56" t="str">
        <f>IF('Raw Data - financials'!AD188="","",'Raw Data - financials'!AD188)</f>
        <v/>
      </c>
      <c r="AE217" s="56" t="str">
        <f>IF('Raw Data - financials'!AE188="","",'Raw Data - financials'!AE188)</f>
        <v/>
      </c>
      <c r="AF217" s="56">
        <f>IF('Raw Data - financials'!AF188="","",'Raw Data - financials'!AF188)</f>
        <v>129.08000000000001</v>
      </c>
      <c r="AG217" s="56">
        <f>IF('Raw Data - financials'!AG188="","",'Raw Data - financials'!AG188)</f>
        <v>172.81</v>
      </c>
      <c r="AH217" s="56">
        <f>IF('Raw Data - financials'!AH188="","",'Raw Data - financials'!AH188)</f>
        <v>243.71</v>
      </c>
      <c r="AI217" s="56">
        <f>IF('Raw Data - financials'!AI188="","",'Raw Data - financials'!AI188)</f>
        <v>342.8</v>
      </c>
      <c r="AJ217" s="56">
        <f>IF('Raw Data - financials'!AJ188="","",'Raw Data - financials'!AJ188)</f>
        <v>437.2</v>
      </c>
      <c r="AK217" s="56">
        <f>IFERROR(AJ217*(1+AK218),"")</f>
        <v>437.2</v>
      </c>
      <c r="AL217" s="56">
        <f>IFERROR(AK217*(1+AL218),"")</f>
        <v>437.2</v>
      </c>
      <c r="AM217" s="56">
        <f>IFERROR(AL217*(1+AM218),"")</f>
        <v>437.2</v>
      </c>
      <c r="AN217" s="56">
        <f>IFERROR(AM217*(1+AN218),"")</f>
        <v>437.2</v>
      </c>
    </row>
    <row r="218" spans="1:40" x14ac:dyDescent="0.3">
      <c r="A218" s="12" t="s">
        <v>216</v>
      </c>
      <c r="B218" s="12" t="s">
        <v>217</v>
      </c>
      <c r="C218" s="12" t="s">
        <v>238</v>
      </c>
      <c r="AD218" s="52" t="str">
        <f t="shared" ref="AD218:AJ218" si="134">IFERROR(AD217/AC217-1,"")</f>
        <v/>
      </c>
      <c r="AE218" s="52" t="str">
        <f t="shared" si="134"/>
        <v/>
      </c>
      <c r="AF218" s="52" t="str">
        <f t="shared" si="134"/>
        <v/>
      </c>
      <c r="AG218" s="52">
        <f t="shared" si="134"/>
        <v>0.3387821506042763</v>
      </c>
      <c r="AH218" s="52">
        <f t="shared" si="134"/>
        <v>0.41027718303338934</v>
      </c>
      <c r="AI218" s="52">
        <f t="shared" si="134"/>
        <v>0.40658979935168849</v>
      </c>
      <c r="AJ218" s="52">
        <f t="shared" si="134"/>
        <v>0.27537922987164509</v>
      </c>
      <c r="AK218" s="50">
        <v>0</v>
      </c>
      <c r="AL218" s="50">
        <v>0</v>
      </c>
      <c r="AM218" s="50">
        <v>0</v>
      </c>
      <c r="AN218" s="50">
        <v>0</v>
      </c>
    </row>
    <row r="219" spans="1:40" collapsed="1" x14ac:dyDescent="0.3"/>
    <row r="220" spans="1:40" hidden="1" x14ac:dyDescent="0.3">
      <c r="A220" s="12" t="s">
        <v>194</v>
      </c>
      <c r="B220" s="12" t="s">
        <v>214</v>
      </c>
      <c r="C220" s="12" t="s">
        <v>335</v>
      </c>
      <c r="AC220" s="56">
        <f t="shared" ref="AC220:AN220" si="135">IF(COUNT(AC221,AC223)=0,"",SUM(AC221,AC223))</f>
        <v>263.42</v>
      </c>
      <c r="AD220" s="56">
        <f t="shared" si="135"/>
        <v>442.93</v>
      </c>
      <c r="AE220" s="56">
        <f t="shared" si="135"/>
        <v>307.01</v>
      </c>
      <c r="AF220" s="56">
        <f t="shared" si="135"/>
        <v>465.11</v>
      </c>
      <c r="AG220" s="56">
        <f t="shared" si="135"/>
        <v>746.05</v>
      </c>
      <c r="AH220" s="56">
        <f t="shared" si="135"/>
        <v>828.32</v>
      </c>
      <c r="AI220" s="56">
        <f t="shared" si="135"/>
        <v>1073.2</v>
      </c>
      <c r="AJ220" s="56">
        <f t="shared" si="135"/>
        <v>1171.2</v>
      </c>
      <c r="AK220" s="56">
        <f t="shared" si="135"/>
        <v>1171.2</v>
      </c>
      <c r="AL220" s="56">
        <f t="shared" si="135"/>
        <v>1171.2</v>
      </c>
      <c r="AM220" s="56">
        <f t="shared" si="135"/>
        <v>1171.2</v>
      </c>
      <c r="AN220" s="56">
        <f t="shared" si="135"/>
        <v>1171.2</v>
      </c>
    </row>
    <row r="221" spans="1:40" hidden="1" x14ac:dyDescent="0.3">
      <c r="A221" s="12" t="s">
        <v>342</v>
      </c>
      <c r="B221" s="12" t="s">
        <v>214</v>
      </c>
      <c r="C221" s="12" t="s">
        <v>343</v>
      </c>
      <c r="AC221" s="56">
        <f>IF('Raw Data - financials'!AC191="","",'Raw Data - financials'!AC191)</f>
        <v>198.04400000000001</v>
      </c>
      <c r="AD221" s="56">
        <f>IF('Raw Data - financials'!AD191="","",'Raw Data - financials'!AD191)</f>
        <v>302.50200000000001</v>
      </c>
      <c r="AE221" s="56">
        <f>IF('Raw Data - financials'!AE191="","",'Raw Data - financials'!AE191)</f>
        <v>177.32300000000001</v>
      </c>
      <c r="AF221" s="56">
        <f>IF('Raw Data - financials'!AF191="","",'Raw Data - financials'!AF191)</f>
        <v>262.91000000000003</v>
      </c>
      <c r="AG221" s="56">
        <f>IF('Raw Data - financials'!AG191="","",'Raw Data - financials'!AG191)</f>
        <v>397.47</v>
      </c>
      <c r="AH221" s="56">
        <f>IF('Raw Data - financials'!AH191="","",'Raw Data - financials'!AH191)</f>
        <v>515.46</v>
      </c>
      <c r="AI221" s="56">
        <f>IF('Raw Data - financials'!AI191="","",'Raw Data - financials'!AI191)</f>
        <v>741.40000000000009</v>
      </c>
      <c r="AJ221" s="56">
        <f>IF('Raw Data - financials'!AJ191="","",'Raw Data - financials'!AJ191)</f>
        <v>744.40000000000009</v>
      </c>
      <c r="AK221" s="56">
        <f>IFERROR(AJ221*(1+AK222),"")</f>
        <v>744.40000000000009</v>
      </c>
      <c r="AL221" s="56">
        <f>IFERROR(AK221*(1+AL222),"")</f>
        <v>744.40000000000009</v>
      </c>
      <c r="AM221" s="56">
        <f>IFERROR(AL221*(1+AM222),"")</f>
        <v>744.40000000000009</v>
      </c>
      <c r="AN221" s="56">
        <f>IFERROR(AM221*(1+AN222),"")</f>
        <v>744.40000000000009</v>
      </c>
    </row>
    <row r="222" spans="1:40" hidden="1" x14ac:dyDescent="0.3">
      <c r="A222" s="12" t="s">
        <v>216</v>
      </c>
      <c r="B222" s="12" t="s">
        <v>217</v>
      </c>
      <c r="C222" s="12" t="s">
        <v>238</v>
      </c>
      <c r="AD222" s="52">
        <f t="shared" ref="AD222:AJ222" si="136">IFERROR(AD221/AC221-1,"")</f>
        <v>0.52744844579992312</v>
      </c>
      <c r="AE222" s="52">
        <f t="shared" si="136"/>
        <v>-0.4138121400850242</v>
      </c>
      <c r="AF222" s="52">
        <f t="shared" si="136"/>
        <v>0.48266158366370981</v>
      </c>
      <c r="AG222" s="52">
        <f t="shared" si="136"/>
        <v>0.51181012513787993</v>
      </c>
      <c r="AH222" s="52">
        <f t="shared" si="136"/>
        <v>0.29685259264850172</v>
      </c>
      <c r="AI222" s="52">
        <f t="shared" si="136"/>
        <v>0.43832693128467781</v>
      </c>
      <c r="AJ222" s="52">
        <f t="shared" si="136"/>
        <v>4.046398705152443E-3</v>
      </c>
      <c r="AK222" s="50">
        <v>0</v>
      </c>
      <c r="AL222" s="50">
        <v>0</v>
      </c>
      <c r="AM222" s="50">
        <v>0</v>
      </c>
      <c r="AN222" s="50">
        <v>0</v>
      </c>
    </row>
    <row r="223" spans="1:40" hidden="1" x14ac:dyDescent="0.3">
      <c r="A223" s="12" t="s">
        <v>344</v>
      </c>
      <c r="B223" s="12" t="s">
        <v>214</v>
      </c>
      <c r="C223" s="12" t="s">
        <v>345</v>
      </c>
      <c r="AC223" s="56">
        <f>IF('Raw Data - financials'!AC192="","",'Raw Data - financials'!AC192)</f>
        <v>65.376000000000005</v>
      </c>
      <c r="AD223" s="56">
        <f>IF('Raw Data - financials'!AD192="","",'Raw Data - financials'!AD192)</f>
        <v>140.428</v>
      </c>
      <c r="AE223" s="56">
        <f>IF('Raw Data - financials'!AE192="","",'Raw Data - financials'!AE192)</f>
        <v>129.68700000000001</v>
      </c>
      <c r="AF223" s="56">
        <f>IF('Raw Data - financials'!AF192="","",'Raw Data - financials'!AF192)</f>
        <v>202.2</v>
      </c>
      <c r="AG223" s="56">
        <f>IF('Raw Data - financials'!AG192="","",'Raw Data - financials'!AG192)</f>
        <v>348.58</v>
      </c>
      <c r="AH223" s="56">
        <f>IF('Raw Data - financials'!AH192="","",'Raw Data - financials'!AH192)</f>
        <v>312.86</v>
      </c>
      <c r="AI223" s="56">
        <f>IF('Raw Data - financials'!AI192="","",'Raw Data - financials'!AI192)</f>
        <v>331.8</v>
      </c>
      <c r="AJ223" s="56">
        <f>IF('Raw Data - financials'!AJ192="","",'Raw Data - financials'!AJ192)</f>
        <v>426.8</v>
      </c>
      <c r="AK223" s="56">
        <f>IFERROR(AJ223*(1+AK224),"")</f>
        <v>426.8</v>
      </c>
      <c r="AL223" s="56">
        <f>IFERROR(AK223*(1+AL224),"")</f>
        <v>426.8</v>
      </c>
      <c r="AM223" s="56">
        <f>IFERROR(AL223*(1+AM224),"")</f>
        <v>426.8</v>
      </c>
      <c r="AN223" s="56">
        <f>IFERROR(AM223*(1+AN224),"")</f>
        <v>426.8</v>
      </c>
    </row>
    <row r="224" spans="1:40" hidden="1" x14ac:dyDescent="0.3">
      <c r="A224" s="12" t="s">
        <v>216</v>
      </c>
      <c r="B224" s="12" t="s">
        <v>217</v>
      </c>
      <c r="C224" s="12" t="s">
        <v>238</v>
      </c>
      <c r="AD224" s="52">
        <f t="shared" ref="AD224:AJ224" si="137">IFERROR(AD223/AC223-1,"")</f>
        <v>1.1480053842388642</v>
      </c>
      <c r="AE224" s="52">
        <f t="shared" si="137"/>
        <v>-7.6487595066510816E-2</v>
      </c>
      <c r="AF224" s="52">
        <f t="shared" si="137"/>
        <v>0.55913854125702622</v>
      </c>
      <c r="AG224" s="52">
        <f t="shared" si="137"/>
        <v>0.72393669634025715</v>
      </c>
      <c r="AH224" s="52">
        <f t="shared" si="137"/>
        <v>-0.10247289001090132</v>
      </c>
      <c r="AI224" s="52">
        <f t="shared" si="137"/>
        <v>6.0538259924566962E-2</v>
      </c>
      <c r="AJ224" s="52">
        <f t="shared" si="137"/>
        <v>0.28631705846895716</v>
      </c>
      <c r="AK224" s="50">
        <v>0</v>
      </c>
      <c r="AL224" s="50">
        <v>0</v>
      </c>
      <c r="AM224" s="50">
        <v>0</v>
      </c>
      <c r="AN224" s="50">
        <v>0</v>
      </c>
    </row>
    <row r="226" spans="1:40" x14ac:dyDescent="0.3">
      <c r="A226" s="12" t="s">
        <v>197</v>
      </c>
      <c r="B226" s="12" t="s">
        <v>214</v>
      </c>
      <c r="C226" s="12" t="s">
        <v>346</v>
      </c>
      <c r="AC226" s="56" t="str">
        <f>IF('Raw Data - financials'!AC194="","",'Raw Data - financials'!AC194)</f>
        <v/>
      </c>
      <c r="AD226" s="56" t="str">
        <f>IF('Raw Data - financials'!AD194="","",'Raw Data - financials'!AD194)</f>
        <v/>
      </c>
      <c r="AE226" s="56">
        <f>IF('Raw Data - financials'!AE194="","",'Raw Data - financials'!AE194)</f>
        <v>1107.6200000000001</v>
      </c>
      <c r="AF226" s="56">
        <f>IF('Raw Data - financials'!AF194="","",'Raw Data - financials'!AF194)</f>
        <v>1928.22</v>
      </c>
      <c r="AG226" s="56">
        <f>IF('Raw Data - financials'!AG194="","",'Raw Data - financials'!AG194)</f>
        <v>3486.31</v>
      </c>
      <c r="AH226" s="56">
        <f>IF('Raw Data - financials'!AH194="","",'Raw Data - financials'!AH194)</f>
        <v>4238.5200000000004</v>
      </c>
      <c r="AI226" s="56">
        <f>IF('Raw Data - financials'!AI194="","",'Raw Data - financials'!AI194)</f>
        <v>5142.6000000000004</v>
      </c>
      <c r="AJ226" s="56">
        <f>IF('Raw Data - financials'!AJ194="","",'Raw Data - financials'!AJ194)</f>
        <v>6041</v>
      </c>
      <c r="AK226" s="56">
        <f>IFERROR(AJ226*(1+AK227),"")</f>
        <v>6041</v>
      </c>
      <c r="AL226" s="56">
        <f>IFERROR(AK226*(1+AL227),"")</f>
        <v>6041</v>
      </c>
      <c r="AM226" s="56">
        <f>IFERROR(AL226*(1+AM227),"")</f>
        <v>6041</v>
      </c>
      <c r="AN226" s="56">
        <f>IFERROR(AM226*(1+AN227),"")</f>
        <v>6041</v>
      </c>
    </row>
    <row r="227" spans="1:40" x14ac:dyDescent="0.3">
      <c r="A227" s="12" t="s">
        <v>216</v>
      </c>
      <c r="B227" s="12" t="s">
        <v>217</v>
      </c>
      <c r="C227" s="12" t="s">
        <v>238</v>
      </c>
      <c r="AD227" s="52" t="str">
        <f t="shared" ref="AD227:AJ227" si="138">IFERROR(AD226/AC226-1,"")</f>
        <v/>
      </c>
      <c r="AE227" s="52" t="str">
        <f t="shared" si="138"/>
        <v/>
      </c>
      <c r="AF227" s="52">
        <f t="shared" si="138"/>
        <v>0.7408678066484895</v>
      </c>
      <c r="AG227" s="52">
        <f t="shared" si="138"/>
        <v>0.80804576241300263</v>
      </c>
      <c r="AH227" s="52">
        <f t="shared" si="138"/>
        <v>0.21576107689792368</v>
      </c>
      <c r="AI227" s="52">
        <f t="shared" si="138"/>
        <v>0.21330086917131452</v>
      </c>
      <c r="AJ227" s="52">
        <f t="shared" si="138"/>
        <v>0.17469762377007725</v>
      </c>
      <c r="AK227" s="50">
        <v>0</v>
      </c>
      <c r="AL227" s="50">
        <v>0</v>
      </c>
      <c r="AM227" s="50">
        <v>0</v>
      </c>
      <c r="AN227" s="50">
        <v>0</v>
      </c>
    </row>
    <row r="228" spans="1:40" x14ac:dyDescent="0.3">
      <c r="A228" s="12" t="s">
        <v>347</v>
      </c>
      <c r="B228" s="12" t="s">
        <v>214</v>
      </c>
      <c r="C228" s="12" t="s">
        <v>348</v>
      </c>
      <c r="AC228" s="56" t="str">
        <f>IF('Raw Data - financials'!AC195="","",'Raw Data - financials'!AC195)</f>
        <v/>
      </c>
      <c r="AD228" s="56" t="str">
        <f>IF('Raw Data - financials'!AD195="","",'Raw Data - financials'!AD195)</f>
        <v/>
      </c>
      <c r="AE228" s="56">
        <f>IF('Raw Data - financials'!AE195="","",'Raw Data - financials'!AE195)</f>
        <v>421.1</v>
      </c>
      <c r="AF228" s="56">
        <f>IF('Raw Data - financials'!AF195="","",'Raw Data - financials'!AF195)</f>
        <v>683.8</v>
      </c>
      <c r="AG228" s="56">
        <f>IF('Raw Data - financials'!AG195="","",'Raw Data - financials'!AG195)</f>
        <v>1172.8499999999999</v>
      </c>
      <c r="AH228" s="56">
        <f>IF('Raw Data - financials'!AH195="","",'Raw Data - financials'!AH195)</f>
        <v>1880.8</v>
      </c>
      <c r="AI228" s="56">
        <f>IF('Raw Data - financials'!AI195="","",'Raw Data - financials'!AI195)</f>
        <v>2425.4</v>
      </c>
      <c r="AJ228" s="56">
        <f>IF('Raw Data - financials'!AJ195="","",'Raw Data - financials'!AJ195)</f>
        <v>3041.3</v>
      </c>
      <c r="AK228" s="56">
        <f>IFERROR(AJ228*(1+AK229),"")</f>
        <v>3041.3</v>
      </c>
      <c r="AL228" s="56">
        <f>IFERROR(AK228*(1+AL229),"")</f>
        <v>3041.3</v>
      </c>
      <c r="AM228" s="56">
        <f>IFERROR(AL228*(1+AM229),"")</f>
        <v>3041.3</v>
      </c>
      <c r="AN228" s="56">
        <f>IFERROR(AM228*(1+AN229),"")</f>
        <v>3041.3</v>
      </c>
    </row>
    <row r="229" spans="1:40" x14ac:dyDescent="0.3">
      <c r="A229" s="12" t="s">
        <v>216</v>
      </c>
      <c r="B229" s="12" t="s">
        <v>217</v>
      </c>
      <c r="C229" s="12" t="s">
        <v>238</v>
      </c>
      <c r="AD229" s="52" t="str">
        <f t="shared" ref="AD229:AJ229" si="139">IFERROR(AD228/AC228-1,"")</f>
        <v/>
      </c>
      <c r="AE229" s="52" t="str">
        <f t="shared" si="139"/>
        <v/>
      </c>
      <c r="AF229" s="52">
        <f t="shared" si="139"/>
        <v>0.62384231773925425</v>
      </c>
      <c r="AG229" s="52">
        <f t="shared" si="139"/>
        <v>0.71519450131617424</v>
      </c>
      <c r="AH229" s="52">
        <f t="shared" si="139"/>
        <v>0.60361512554887686</v>
      </c>
      <c r="AI229" s="52">
        <f t="shared" si="139"/>
        <v>0.28955763504891552</v>
      </c>
      <c r="AJ229" s="52">
        <f t="shared" si="139"/>
        <v>0.25393749484621098</v>
      </c>
      <c r="AK229" s="50">
        <v>0</v>
      </c>
      <c r="AL229" s="50">
        <v>0</v>
      </c>
      <c r="AM229" s="50">
        <v>0</v>
      </c>
      <c r="AN229" s="50">
        <v>0</v>
      </c>
    </row>
    <row r="230" spans="1:40" x14ac:dyDescent="0.3">
      <c r="A230" s="12" t="s">
        <v>199</v>
      </c>
      <c r="B230" s="12" t="s">
        <v>214</v>
      </c>
      <c r="C230" s="12" t="s">
        <v>349</v>
      </c>
      <c r="AC230" s="56" t="str">
        <f t="shared" ref="AC230:AN230" si="140">IFERROR(AC226-AC228,"")</f>
        <v/>
      </c>
      <c r="AD230" s="56" t="str">
        <f t="shared" si="140"/>
        <v/>
      </c>
      <c r="AE230" s="56">
        <f t="shared" si="140"/>
        <v>686.5200000000001</v>
      </c>
      <c r="AF230" s="56">
        <f t="shared" si="140"/>
        <v>1244.42</v>
      </c>
      <c r="AG230" s="56">
        <f t="shared" si="140"/>
        <v>2313.46</v>
      </c>
      <c r="AH230" s="56">
        <f t="shared" si="140"/>
        <v>2357.7200000000003</v>
      </c>
      <c r="AI230" s="56">
        <f t="shared" si="140"/>
        <v>2717.2000000000003</v>
      </c>
      <c r="AJ230" s="56">
        <f t="shared" si="140"/>
        <v>2999.7</v>
      </c>
      <c r="AK230" s="56">
        <f t="shared" si="140"/>
        <v>2999.7</v>
      </c>
      <c r="AL230" s="56">
        <f t="shared" si="140"/>
        <v>2999.7</v>
      </c>
      <c r="AM230" s="56">
        <f t="shared" si="140"/>
        <v>2999.7</v>
      </c>
      <c r="AN230" s="56">
        <f t="shared" si="140"/>
        <v>2999.7</v>
      </c>
    </row>
    <row r="232" spans="1:40" x14ac:dyDescent="0.3">
      <c r="A232" s="12" t="s">
        <v>200</v>
      </c>
      <c r="B232" s="12" t="s">
        <v>214</v>
      </c>
      <c r="C232" s="12" t="s">
        <v>350</v>
      </c>
      <c r="AC232" s="56" t="str">
        <f>IF('Raw Data - financials'!AC198="","",'Raw Data - financials'!AC198)</f>
        <v/>
      </c>
      <c r="AD232" s="56" t="str">
        <f>IF('Raw Data - financials'!AD198="","",'Raw Data - financials'!AD198)</f>
        <v/>
      </c>
      <c r="AE232" s="56">
        <f>IF('Raw Data - financials'!AE198="","",'Raw Data - financials'!AE198)</f>
        <v>2341.96</v>
      </c>
      <c r="AF232" s="56">
        <f>IF('Raw Data - financials'!AF198="","",'Raw Data - financials'!AF198)</f>
        <v>3986.05</v>
      </c>
      <c r="AG232" s="56">
        <f>IF('Raw Data - financials'!AG198="","",'Raw Data - financials'!AG198)</f>
        <v>5333.47</v>
      </c>
      <c r="AH232" s="56">
        <f>IF('Raw Data - financials'!AH198="","",'Raw Data - financials'!AH198)</f>
        <v>5667</v>
      </c>
      <c r="AI232" s="56">
        <f>IF('Raw Data - financials'!AI198="","",'Raw Data - financials'!AI198)</f>
        <v>7266.2</v>
      </c>
      <c r="AJ232" s="56">
        <f>IF('Raw Data - financials'!AJ198="","",'Raw Data - financials'!AJ198)</f>
        <v>10293.1</v>
      </c>
      <c r="AK232" s="56">
        <f>IFERROR(AJ232*(1+AK233),"")</f>
        <v>10293.1</v>
      </c>
      <c r="AL232" s="56">
        <f>IFERROR(AK232*(1+AL233),"")</f>
        <v>10293.1</v>
      </c>
      <c r="AM232" s="56">
        <f>IFERROR(AL232*(1+AM233),"")</f>
        <v>10293.1</v>
      </c>
      <c r="AN232" s="56">
        <f>IFERROR(AM232*(1+AN233),"")</f>
        <v>10293.1</v>
      </c>
    </row>
    <row r="233" spans="1:40" x14ac:dyDescent="0.3">
      <c r="A233" s="12" t="s">
        <v>216</v>
      </c>
      <c r="B233" s="12" t="s">
        <v>217</v>
      </c>
      <c r="C233" s="12" t="s">
        <v>238</v>
      </c>
      <c r="AD233" s="52" t="str">
        <f t="shared" ref="AD233:AJ233" si="141">IFERROR(AD232/AC232-1,"")</f>
        <v/>
      </c>
      <c r="AE233" s="52" t="str">
        <f t="shared" si="141"/>
        <v/>
      </c>
      <c r="AF233" s="52">
        <f t="shared" si="141"/>
        <v>0.7020145519137817</v>
      </c>
      <c r="AG233" s="52">
        <f t="shared" si="141"/>
        <v>0.33803389320254396</v>
      </c>
      <c r="AH233" s="52">
        <f t="shared" si="141"/>
        <v>6.2535272533641217E-2</v>
      </c>
      <c r="AI233" s="52">
        <f t="shared" si="141"/>
        <v>0.28219516499029473</v>
      </c>
      <c r="AJ233" s="52">
        <f t="shared" si="141"/>
        <v>0.41657262392997718</v>
      </c>
      <c r="AK233" s="50">
        <v>0</v>
      </c>
      <c r="AL233" s="50">
        <v>0</v>
      </c>
      <c r="AM233" s="50">
        <v>0</v>
      </c>
      <c r="AN233" s="50">
        <v>0</v>
      </c>
    </row>
    <row r="234" spans="1:40" x14ac:dyDescent="0.3">
      <c r="A234" s="12" t="s">
        <v>351</v>
      </c>
      <c r="B234" s="12" t="s">
        <v>214</v>
      </c>
      <c r="C234" s="12" t="s">
        <v>352</v>
      </c>
      <c r="AC234" s="56" t="str">
        <f>IF('Raw Data - financials'!AC199="","",'Raw Data - financials'!AC199)</f>
        <v/>
      </c>
      <c r="AD234" s="56" t="str">
        <f>IF('Raw Data - financials'!AD199="","",'Raw Data - financials'!AD199)</f>
        <v/>
      </c>
      <c r="AE234" s="56">
        <f>IF('Raw Data - financials'!AE199="","",'Raw Data - financials'!AE199)</f>
        <v>952.62</v>
      </c>
      <c r="AF234" s="56">
        <f>IF('Raw Data - financials'!AF199="","",'Raw Data - financials'!AF199)</f>
        <v>1512.79</v>
      </c>
      <c r="AG234" s="56">
        <f>IF('Raw Data - financials'!AG199="","",'Raw Data - financials'!AG199)</f>
        <v>2214.2600000000002</v>
      </c>
      <c r="AH234" s="56">
        <f>IF('Raw Data - financials'!AH199="","",'Raw Data - financials'!AH199)</f>
        <v>3058.46</v>
      </c>
      <c r="AI234" s="56">
        <f>IF('Raw Data - financials'!AI199="","",'Raw Data - financials'!AI199)</f>
        <v>3967.6</v>
      </c>
      <c r="AJ234" s="56">
        <f>IF('Raw Data - financials'!AJ199="","",'Raw Data - financials'!AJ199)</f>
        <v>5678.4</v>
      </c>
      <c r="AK234" s="56">
        <f>IFERROR(AJ234*(1+AK235),"")</f>
        <v>5678.4</v>
      </c>
      <c r="AL234" s="56">
        <f>IFERROR(AK234*(1+AL235),"")</f>
        <v>5678.4</v>
      </c>
      <c r="AM234" s="56">
        <f>IFERROR(AL234*(1+AM235),"")</f>
        <v>5678.4</v>
      </c>
      <c r="AN234" s="56">
        <f>IFERROR(AM234*(1+AN235),"")</f>
        <v>5678.4</v>
      </c>
    </row>
    <row r="235" spans="1:40" x14ac:dyDescent="0.3">
      <c r="A235" s="12" t="s">
        <v>216</v>
      </c>
      <c r="B235" s="12" t="s">
        <v>217</v>
      </c>
      <c r="C235" s="12" t="s">
        <v>238</v>
      </c>
      <c r="AD235" s="52" t="str">
        <f t="shared" ref="AD235:AJ235" si="142">IFERROR(AD234/AC234-1,"")</f>
        <v/>
      </c>
      <c r="AE235" s="52" t="str">
        <f t="shared" si="142"/>
        <v/>
      </c>
      <c r="AF235" s="52">
        <f t="shared" si="142"/>
        <v>0.58803090424303495</v>
      </c>
      <c r="AG235" s="52">
        <f t="shared" si="142"/>
        <v>0.46369291177228855</v>
      </c>
      <c r="AH235" s="52">
        <f t="shared" si="142"/>
        <v>0.38125604039272698</v>
      </c>
      <c r="AI235" s="52">
        <f t="shared" si="142"/>
        <v>0.29725417366910145</v>
      </c>
      <c r="AJ235" s="52">
        <f t="shared" si="142"/>
        <v>0.43119266055045857</v>
      </c>
      <c r="AK235" s="50">
        <v>0</v>
      </c>
      <c r="AL235" s="50">
        <v>0</v>
      </c>
      <c r="AM235" s="50">
        <v>0</v>
      </c>
      <c r="AN235" s="50">
        <v>0</v>
      </c>
    </row>
    <row r="236" spans="1:40" x14ac:dyDescent="0.3">
      <c r="A236" s="12" t="s">
        <v>202</v>
      </c>
      <c r="B236" s="12" t="s">
        <v>214</v>
      </c>
      <c r="C236" s="12" t="s">
        <v>353</v>
      </c>
      <c r="AC236" s="56" t="str">
        <f t="shared" ref="AC236:AN236" si="143">IFERROR(AC232-AC234,"")</f>
        <v/>
      </c>
      <c r="AD236" s="56" t="str">
        <f t="shared" si="143"/>
        <v/>
      </c>
      <c r="AE236" s="56">
        <f t="shared" si="143"/>
        <v>1389.3400000000001</v>
      </c>
      <c r="AF236" s="56">
        <f t="shared" si="143"/>
        <v>2473.2600000000002</v>
      </c>
      <c r="AG236" s="56">
        <f t="shared" si="143"/>
        <v>3119.21</v>
      </c>
      <c r="AH236" s="56">
        <f t="shared" si="143"/>
        <v>2608.54</v>
      </c>
      <c r="AI236" s="56">
        <f t="shared" si="143"/>
        <v>3298.6</v>
      </c>
      <c r="AJ236" s="56">
        <f t="shared" si="143"/>
        <v>4614.7000000000007</v>
      </c>
      <c r="AK236" s="56">
        <f t="shared" si="143"/>
        <v>4614.7000000000007</v>
      </c>
      <c r="AL236" s="56">
        <f t="shared" si="143"/>
        <v>4614.7000000000007</v>
      </c>
      <c r="AM236" s="56">
        <f t="shared" si="143"/>
        <v>4614.7000000000007</v>
      </c>
      <c r="AN236" s="56">
        <f t="shared" si="143"/>
        <v>4614.7000000000007</v>
      </c>
    </row>
    <row r="238" spans="1:40" x14ac:dyDescent="0.3">
      <c r="A238" s="12" t="s">
        <v>203</v>
      </c>
      <c r="B238" s="12" t="s">
        <v>214</v>
      </c>
      <c r="C238" s="12" t="s">
        <v>354</v>
      </c>
      <c r="AC238" s="56" t="str">
        <f>IF('Raw Data - financials'!AC202="","",'Raw Data - financials'!AC202)</f>
        <v/>
      </c>
      <c r="AD238" s="56" t="str">
        <f>IF('Raw Data - financials'!AD202="","",'Raw Data - financials'!AD202)</f>
        <v/>
      </c>
      <c r="AE238" s="56">
        <f>IF('Raw Data - financials'!AE202="","",'Raw Data - financials'!AE202)</f>
        <v>643.21</v>
      </c>
      <c r="AF238" s="56">
        <f>IF('Raw Data - financials'!AF202="","",'Raw Data - financials'!AF202)</f>
        <v>1026.1399999999999</v>
      </c>
      <c r="AG238" s="56">
        <f>IF('Raw Data - financials'!AG202="","",'Raw Data - financials'!AG202)</f>
        <v>1503.75</v>
      </c>
      <c r="AH238" s="56">
        <f>IF('Raw Data - financials'!AH202="","",'Raw Data - financials'!AH202)</f>
        <v>1907.28</v>
      </c>
      <c r="AI238" s="56">
        <f>IF('Raw Data - financials'!AI202="","",'Raw Data - financials'!AI202)</f>
        <v>2507.6</v>
      </c>
      <c r="AJ238" s="56">
        <f>IF('Raw Data - financials'!AJ202="","",'Raw Data - financials'!AJ202)</f>
        <v>3077.5</v>
      </c>
      <c r="AK238" s="56">
        <f>IFERROR(AJ238*(1+AK239),"")</f>
        <v>3077.5</v>
      </c>
      <c r="AL238" s="56">
        <f>IFERROR(AK238*(1+AL239),"")</f>
        <v>3077.5</v>
      </c>
      <c r="AM238" s="56">
        <f>IFERROR(AL238*(1+AM239),"")</f>
        <v>3077.5</v>
      </c>
      <c r="AN238" s="56">
        <f>IFERROR(AM238*(1+AN239),"")</f>
        <v>3077.5</v>
      </c>
    </row>
    <row r="239" spans="1:40" x14ac:dyDescent="0.3">
      <c r="A239" s="12" t="s">
        <v>216</v>
      </c>
      <c r="B239" s="12" t="s">
        <v>217</v>
      </c>
      <c r="C239" s="12" t="s">
        <v>238</v>
      </c>
      <c r="AD239" s="52" t="str">
        <f t="shared" ref="AD239:AJ239" si="144">IFERROR(AD238/AC238-1,"")</f>
        <v/>
      </c>
      <c r="AE239" s="52" t="str">
        <f t="shared" si="144"/>
        <v/>
      </c>
      <c r="AF239" s="52">
        <f t="shared" si="144"/>
        <v>0.59534211221840438</v>
      </c>
      <c r="AG239" s="52">
        <f t="shared" si="144"/>
        <v>0.4654433118287955</v>
      </c>
      <c r="AH239" s="52">
        <f t="shared" si="144"/>
        <v>0.26834912718204484</v>
      </c>
      <c r="AI239" s="52">
        <f t="shared" si="144"/>
        <v>0.31475189799085612</v>
      </c>
      <c r="AJ239" s="52">
        <f t="shared" si="144"/>
        <v>0.2272691019301325</v>
      </c>
      <c r="AK239" s="50">
        <v>0</v>
      </c>
      <c r="AL239" s="50">
        <v>0</v>
      </c>
      <c r="AM239" s="50">
        <v>0</v>
      </c>
      <c r="AN239" s="50">
        <v>0</v>
      </c>
    </row>
    <row r="240" spans="1:40" x14ac:dyDescent="0.3">
      <c r="A240" s="12" t="s">
        <v>355</v>
      </c>
      <c r="B240" s="12" t="s">
        <v>214</v>
      </c>
      <c r="C240" s="12" t="s">
        <v>356</v>
      </c>
      <c r="AC240" s="56" t="str">
        <f>IF('Raw Data - financials'!AC203="","",'Raw Data - financials'!AC203)</f>
        <v/>
      </c>
      <c r="AD240" s="56" t="str">
        <f>IF('Raw Data - financials'!AD203="","",'Raw Data - financials'!AD203)</f>
        <v/>
      </c>
      <c r="AE240" s="56">
        <f>IF('Raw Data - financials'!AE203="","",'Raw Data - financials'!AE203)</f>
        <v>412.13</v>
      </c>
      <c r="AF240" s="56">
        <f>IF('Raw Data - financials'!AF203="","",'Raw Data - financials'!AF203)</f>
        <v>386.09</v>
      </c>
      <c r="AG240" s="56">
        <f>IF('Raw Data - financials'!AG203="","",'Raw Data - financials'!AG203)</f>
        <v>558.9</v>
      </c>
      <c r="AH240" s="56">
        <f>IF('Raw Data - financials'!AH203="","",'Raw Data - financials'!AH203)</f>
        <v>802.61</v>
      </c>
      <c r="AI240" s="56">
        <f>IF('Raw Data - financials'!AI203="","",'Raw Data - financials'!AI203)</f>
        <v>1150.2</v>
      </c>
      <c r="AJ240" s="56">
        <f>IF('Raw Data - financials'!AJ203="","",'Raw Data - financials'!AJ203)</f>
        <v>1587.4</v>
      </c>
      <c r="AK240" s="56">
        <f>IFERROR(AJ240*(1+AK241),"")</f>
        <v>1587.4</v>
      </c>
      <c r="AL240" s="56">
        <f>IFERROR(AK240*(1+AL241),"")</f>
        <v>1587.4</v>
      </c>
      <c r="AM240" s="56">
        <f>IFERROR(AL240*(1+AM241),"")</f>
        <v>1587.4</v>
      </c>
      <c r="AN240" s="56">
        <f>IFERROR(AM240*(1+AN241),"")</f>
        <v>1587.4</v>
      </c>
    </row>
    <row r="241" spans="1:40" x14ac:dyDescent="0.3">
      <c r="A241" s="12" t="s">
        <v>216</v>
      </c>
      <c r="B241" s="12" t="s">
        <v>217</v>
      </c>
      <c r="C241" s="12" t="s">
        <v>238</v>
      </c>
      <c r="AD241" s="52" t="str">
        <f t="shared" ref="AD241:AJ241" si="145">IFERROR(AD240/AC240-1,"")</f>
        <v/>
      </c>
      <c r="AE241" s="52" t="str">
        <f t="shared" si="145"/>
        <v/>
      </c>
      <c r="AF241" s="52">
        <f t="shared" si="145"/>
        <v>-6.318394681289885E-2</v>
      </c>
      <c r="AG241" s="52">
        <f t="shared" si="145"/>
        <v>0.44758994016939058</v>
      </c>
      <c r="AH241" s="52">
        <f t="shared" si="145"/>
        <v>0.43605296117373427</v>
      </c>
      <c r="AI241" s="52">
        <f t="shared" si="145"/>
        <v>0.43307459413662919</v>
      </c>
      <c r="AJ241" s="52">
        <f t="shared" si="145"/>
        <v>0.38010780733785432</v>
      </c>
      <c r="AK241" s="50">
        <v>0</v>
      </c>
      <c r="AL241" s="50">
        <v>0</v>
      </c>
      <c r="AM241" s="50">
        <v>0</v>
      </c>
      <c r="AN241" s="50">
        <v>0</v>
      </c>
    </row>
    <row r="242" spans="1:40" x14ac:dyDescent="0.3">
      <c r="A242" s="12" t="s">
        <v>205</v>
      </c>
      <c r="B242" s="12" t="s">
        <v>214</v>
      </c>
      <c r="C242" s="12" t="s">
        <v>357</v>
      </c>
      <c r="AC242" s="56" t="str">
        <f t="shared" ref="AC242:AN242" si="146">IFERROR(AC238-AC240,"")</f>
        <v/>
      </c>
      <c r="AD242" s="56" t="str">
        <f t="shared" si="146"/>
        <v/>
      </c>
      <c r="AE242" s="56">
        <f t="shared" si="146"/>
        <v>231.08000000000004</v>
      </c>
      <c r="AF242" s="56">
        <f t="shared" si="146"/>
        <v>640.04999999999995</v>
      </c>
      <c r="AG242" s="56">
        <f t="shared" si="146"/>
        <v>944.85</v>
      </c>
      <c r="AH242" s="56">
        <f t="shared" si="146"/>
        <v>1104.67</v>
      </c>
      <c r="AI242" s="56">
        <f t="shared" si="146"/>
        <v>1357.3999999999999</v>
      </c>
      <c r="AJ242" s="56">
        <f t="shared" si="146"/>
        <v>1490.1</v>
      </c>
      <c r="AK242" s="56">
        <f t="shared" si="146"/>
        <v>1490.1</v>
      </c>
      <c r="AL242" s="56">
        <f t="shared" si="146"/>
        <v>1490.1</v>
      </c>
      <c r="AM242" s="56">
        <f t="shared" si="146"/>
        <v>1490.1</v>
      </c>
      <c r="AN242" s="56">
        <f t="shared" si="146"/>
        <v>1490.1</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204"/>
  <sheetViews>
    <sheetView showGridLines="0" zoomScale="97" workbookViewId="0">
      <pane xSplit="3" ySplit="3" topLeftCell="AB24" activePane="bottomRight" state="frozen"/>
      <selection pane="topRight"/>
      <selection pane="bottomLeft"/>
      <selection pane="bottomRight" activeCell="AJ51" sqref="AJ51"/>
    </sheetView>
  </sheetViews>
  <sheetFormatPr defaultRowHeight="14.4" outlineLevelRow="1" outlineLevelCol="1" x14ac:dyDescent="0.3"/>
  <cols>
    <col min="1" max="1" width="58" customWidth="1"/>
    <col min="2" max="2" width="10" customWidth="1"/>
    <col min="3" max="3" width="14" customWidth="1"/>
    <col min="4" max="15" width="14" hidden="1" customWidth="1" outlineLevel="1"/>
    <col min="16" max="16" width="14" customWidth="1" collapsed="1"/>
    <col min="17" max="23" width="14" customWidth="1"/>
    <col min="24" max="27" width="14" customWidth="1" outlineLevel="1"/>
    <col min="28" max="28" width="14" customWidth="1"/>
    <col min="29" max="36" width="12" customWidth="1"/>
  </cols>
  <sheetData>
    <row r="1" spans="1:42" x14ac:dyDescent="0.3">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1"/>
      <c r="AC1" s="2" t="s">
        <v>27</v>
      </c>
      <c r="AD1" s="2" t="s">
        <v>28</v>
      </c>
      <c r="AE1" s="2" t="s">
        <v>29</v>
      </c>
      <c r="AF1" s="2" t="s">
        <v>30</v>
      </c>
      <c r="AG1" s="2" t="s">
        <v>31</v>
      </c>
      <c r="AH1" s="2" t="s">
        <v>32</v>
      </c>
      <c r="AI1" s="2" t="s">
        <v>33</v>
      </c>
      <c r="AJ1" s="2" t="s">
        <v>34</v>
      </c>
    </row>
    <row r="2" spans="1:42" x14ac:dyDescent="0.3">
      <c r="A2" s="3" t="s">
        <v>35</v>
      </c>
      <c r="D2" s="4">
        <f t="shared" ref="D2:V2" si="0">EOMONTH(E2,-3)</f>
        <v>44377</v>
      </c>
      <c r="E2" s="4">
        <f t="shared" si="0"/>
        <v>44469</v>
      </c>
      <c r="F2" s="4">
        <f t="shared" si="0"/>
        <v>44561</v>
      </c>
      <c r="G2" s="4">
        <f t="shared" si="0"/>
        <v>44651</v>
      </c>
      <c r="H2" s="4">
        <f t="shared" si="0"/>
        <v>44742</v>
      </c>
      <c r="I2" s="4">
        <f t="shared" si="0"/>
        <v>44834</v>
      </c>
      <c r="J2" s="4">
        <f t="shared" si="0"/>
        <v>44926</v>
      </c>
      <c r="K2" s="4">
        <f t="shared" si="0"/>
        <v>45016</v>
      </c>
      <c r="L2" s="4">
        <f t="shared" si="0"/>
        <v>45107</v>
      </c>
      <c r="M2" s="4">
        <f t="shared" si="0"/>
        <v>45199</v>
      </c>
      <c r="N2" s="4">
        <f t="shared" si="0"/>
        <v>45291</v>
      </c>
      <c r="O2" s="4">
        <f t="shared" si="0"/>
        <v>45382</v>
      </c>
      <c r="P2" s="4">
        <f t="shared" si="0"/>
        <v>45473</v>
      </c>
      <c r="Q2" s="4">
        <f t="shared" si="0"/>
        <v>45565</v>
      </c>
      <c r="R2" s="4">
        <f t="shared" si="0"/>
        <v>45657</v>
      </c>
      <c r="S2" s="4">
        <f t="shared" si="0"/>
        <v>45747</v>
      </c>
      <c r="T2" s="4">
        <f t="shared" si="0"/>
        <v>45838</v>
      </c>
      <c r="U2" s="4">
        <f t="shared" si="0"/>
        <v>45930</v>
      </c>
      <c r="V2" s="4">
        <f t="shared" si="0"/>
        <v>46022</v>
      </c>
      <c r="W2" s="4">
        <v>46112</v>
      </c>
      <c r="X2" s="4">
        <f>EOMONTH(W2,3)</f>
        <v>46203</v>
      </c>
      <c r="Y2" s="4">
        <f>EOMONTH(X2,3)</f>
        <v>46295</v>
      </c>
      <c r="Z2" s="4">
        <f>EOMONTH(Y2,3)</f>
        <v>46387</v>
      </c>
      <c r="AA2" s="4">
        <f>EOMONTH(Z2,3)</f>
        <v>46477</v>
      </c>
      <c r="AC2" s="4">
        <v>43555</v>
      </c>
      <c r="AD2" s="4">
        <v>43921</v>
      </c>
      <c r="AE2" s="4">
        <v>44286</v>
      </c>
      <c r="AF2" s="4">
        <v>44651</v>
      </c>
      <c r="AG2" s="4">
        <v>45016</v>
      </c>
      <c r="AH2" s="4">
        <v>45382</v>
      </c>
      <c r="AI2" s="4">
        <v>45747</v>
      </c>
      <c r="AJ2" s="4">
        <v>46112</v>
      </c>
    </row>
    <row r="3" spans="1:42" x14ac:dyDescent="0.3">
      <c r="A3" s="17" t="s">
        <v>36</v>
      </c>
    </row>
    <row r="4" spans="1:42" x14ac:dyDescent="0.3">
      <c r="A4" s="5" t="s">
        <v>37</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row>
    <row r="5" spans="1:42" x14ac:dyDescent="0.3">
      <c r="A5" s="7" t="s">
        <v>38</v>
      </c>
      <c r="B5" s="8" t="s">
        <v>0</v>
      </c>
      <c r="C5" s="8" t="s">
        <v>39</v>
      </c>
      <c r="D5" s="59">
        <v>8169.91</v>
      </c>
      <c r="E5" s="59">
        <v>8852.64</v>
      </c>
      <c r="F5" s="59">
        <v>10983.6</v>
      </c>
      <c r="G5" s="59">
        <v>9733.2000000000007</v>
      </c>
      <c r="H5" s="59">
        <v>11484.21</v>
      </c>
      <c r="I5" s="59">
        <v>12308.29</v>
      </c>
      <c r="J5" s="59">
        <v>14628.26</v>
      </c>
      <c r="K5" s="59">
        <v>13017.24</v>
      </c>
      <c r="L5" s="59">
        <v>14218.24</v>
      </c>
      <c r="M5" s="59">
        <v>15070.24</v>
      </c>
      <c r="N5" s="59">
        <v>17887.98</v>
      </c>
      <c r="O5" s="59">
        <v>16679.8</v>
      </c>
      <c r="P5" s="59">
        <v>17461.099999999999</v>
      </c>
      <c r="Q5" s="59">
        <v>18747.400000000001</v>
      </c>
      <c r="R5" s="59">
        <v>22672.1</v>
      </c>
      <c r="S5" s="59">
        <v>20617.599999999999</v>
      </c>
      <c r="T5" s="59">
        <v>21549.4</v>
      </c>
      <c r="U5" s="59">
        <v>23459.8</v>
      </c>
      <c r="V5" s="59">
        <v>28732.6</v>
      </c>
      <c r="W5" s="59">
        <v>26481.7</v>
      </c>
      <c r="X5" s="59"/>
      <c r="Y5" s="59"/>
      <c r="Z5" s="59"/>
      <c r="AA5" s="59"/>
      <c r="AB5" s="8"/>
      <c r="AC5" s="59">
        <v>11113.94</v>
      </c>
      <c r="AD5" s="59">
        <v>17675.330000000002</v>
      </c>
      <c r="AE5" s="59">
        <v>24408.959999999999</v>
      </c>
      <c r="AF5" s="59">
        <v>37739.35</v>
      </c>
      <c r="AG5" s="59">
        <v>51438</v>
      </c>
      <c r="AH5" s="59">
        <v>63856.26</v>
      </c>
      <c r="AI5" s="59">
        <v>79498.2</v>
      </c>
      <c r="AJ5" s="59">
        <v>100223.5</v>
      </c>
      <c r="AL5" s="15"/>
      <c r="AM5" s="15"/>
      <c r="AN5" s="15"/>
      <c r="AO5" s="15"/>
      <c r="AP5" s="15"/>
    </row>
    <row r="6" spans="1:42" x14ac:dyDescent="0.3">
      <c r="A6" s="7" t="s">
        <v>40</v>
      </c>
      <c r="B6" s="8" t="s">
        <v>0</v>
      </c>
      <c r="C6" s="8" t="s">
        <v>39</v>
      </c>
      <c r="D6" s="59">
        <v>47.22</v>
      </c>
      <c r="E6" s="59">
        <v>51.98</v>
      </c>
      <c r="F6" s="59">
        <v>59.13</v>
      </c>
      <c r="G6" s="59">
        <v>111.39</v>
      </c>
      <c r="H6" s="59">
        <v>83.63</v>
      </c>
      <c r="I6" s="59">
        <v>64.760000000000005</v>
      </c>
      <c r="J6" s="59">
        <v>56.36</v>
      </c>
      <c r="K6" s="59">
        <v>97.38</v>
      </c>
      <c r="L6" s="59">
        <v>67.209999999999994</v>
      </c>
      <c r="M6" s="59">
        <v>85.73</v>
      </c>
      <c r="N6" s="59">
        <v>75.84</v>
      </c>
      <c r="O6" s="59">
        <v>70.63</v>
      </c>
      <c r="P6" s="59">
        <v>73.3</v>
      </c>
      <c r="Q6" s="59">
        <v>54.5</v>
      </c>
      <c r="R6" s="59">
        <v>55.3</v>
      </c>
      <c r="S6" s="59">
        <v>89.5</v>
      </c>
      <c r="T6" s="59">
        <v>93.3</v>
      </c>
      <c r="U6" s="59">
        <v>80.3</v>
      </c>
      <c r="V6" s="59">
        <v>62.6</v>
      </c>
      <c r="W6" s="59">
        <v>91.5</v>
      </c>
      <c r="X6" s="59"/>
      <c r="Y6" s="59"/>
      <c r="Z6" s="59"/>
      <c r="AA6" s="59"/>
      <c r="AB6" s="8"/>
      <c r="AC6" s="59">
        <v>49.88</v>
      </c>
      <c r="AD6" s="59">
        <v>103.17</v>
      </c>
      <c r="AE6" s="59">
        <v>117.41</v>
      </c>
      <c r="AF6" s="59">
        <v>269.72000000000003</v>
      </c>
      <c r="AG6" s="59">
        <v>302.13</v>
      </c>
      <c r="AH6" s="59">
        <v>299.42</v>
      </c>
      <c r="AI6" s="59">
        <v>272.60000000000002</v>
      </c>
      <c r="AJ6" s="59">
        <v>327.7</v>
      </c>
      <c r="AL6" s="15"/>
      <c r="AM6" s="15"/>
      <c r="AN6" s="15"/>
      <c r="AO6" s="15"/>
      <c r="AP6" s="15"/>
    </row>
    <row r="7" spans="1:42" x14ac:dyDescent="0.3">
      <c r="A7" s="1" t="s">
        <v>41</v>
      </c>
      <c r="B7" s="8" t="s">
        <v>0</v>
      </c>
      <c r="C7" s="8"/>
      <c r="D7" s="56">
        <f t="shared" ref="D7:W7" si="1">SUM(D5:D6)</f>
        <v>8217.1299999999992</v>
      </c>
      <c r="E7" s="56">
        <f t="shared" si="1"/>
        <v>8904.619999999999</v>
      </c>
      <c r="F7" s="56">
        <f t="shared" si="1"/>
        <v>11042.73</v>
      </c>
      <c r="G7" s="56">
        <f t="shared" si="1"/>
        <v>9844.59</v>
      </c>
      <c r="H7" s="56">
        <f t="shared" si="1"/>
        <v>11567.839999999998</v>
      </c>
      <c r="I7" s="56">
        <f t="shared" si="1"/>
        <v>12373.050000000001</v>
      </c>
      <c r="J7" s="56">
        <f t="shared" si="1"/>
        <v>14684.62</v>
      </c>
      <c r="K7" s="56">
        <f t="shared" si="1"/>
        <v>13114.619999999999</v>
      </c>
      <c r="L7" s="56">
        <f t="shared" si="1"/>
        <v>14285.449999999999</v>
      </c>
      <c r="M7" s="56">
        <f t="shared" si="1"/>
        <v>15155.97</v>
      </c>
      <c r="N7" s="56">
        <f t="shared" si="1"/>
        <v>17963.82</v>
      </c>
      <c r="O7" s="56">
        <f t="shared" si="1"/>
        <v>16750.43</v>
      </c>
      <c r="P7" s="56">
        <f t="shared" si="1"/>
        <v>17534.399999999998</v>
      </c>
      <c r="Q7" s="56">
        <f t="shared" si="1"/>
        <v>18801.900000000001</v>
      </c>
      <c r="R7" s="56">
        <f t="shared" si="1"/>
        <v>22727.399999999998</v>
      </c>
      <c r="S7" s="56">
        <f t="shared" si="1"/>
        <v>20707.099999999999</v>
      </c>
      <c r="T7" s="56">
        <f t="shared" si="1"/>
        <v>21642.7</v>
      </c>
      <c r="U7" s="56">
        <f t="shared" si="1"/>
        <v>23540.1</v>
      </c>
      <c r="V7" s="56">
        <f t="shared" si="1"/>
        <v>28795.199999999997</v>
      </c>
      <c r="W7" s="56">
        <f t="shared" si="1"/>
        <v>26573.200000000001</v>
      </c>
      <c r="X7" s="56"/>
      <c r="Y7" s="56"/>
      <c r="Z7" s="56"/>
      <c r="AA7" s="56"/>
      <c r="AB7" s="8"/>
      <c r="AC7" s="60">
        <f t="shared" ref="AC7:AJ7" si="2">SUM(AC5:AC6)</f>
        <v>11163.82</v>
      </c>
      <c r="AD7" s="60">
        <f t="shared" si="2"/>
        <v>17778.5</v>
      </c>
      <c r="AE7" s="60">
        <f t="shared" si="2"/>
        <v>24526.37</v>
      </c>
      <c r="AF7" s="60">
        <f t="shared" si="2"/>
        <v>38009.07</v>
      </c>
      <c r="AG7" s="60">
        <f t="shared" si="2"/>
        <v>51740.13</v>
      </c>
      <c r="AH7" s="60">
        <f t="shared" si="2"/>
        <v>64155.68</v>
      </c>
      <c r="AI7" s="60">
        <f t="shared" si="2"/>
        <v>79770.8</v>
      </c>
      <c r="AJ7" s="60">
        <f t="shared" si="2"/>
        <v>100551.2</v>
      </c>
      <c r="AL7" s="15"/>
      <c r="AM7" s="15"/>
      <c r="AN7" s="15"/>
      <c r="AO7" s="15"/>
      <c r="AP7" s="15"/>
    </row>
    <row r="8" spans="1:42" x14ac:dyDescent="0.3">
      <c r="AL8" s="15"/>
      <c r="AM8" s="15"/>
      <c r="AN8" s="15"/>
      <c r="AO8" s="15"/>
      <c r="AP8" s="15"/>
    </row>
    <row r="9" spans="1:42" x14ac:dyDescent="0.3">
      <c r="A9" s="9" t="s">
        <v>42</v>
      </c>
      <c r="AL9" s="15"/>
      <c r="AM9" s="15"/>
      <c r="AN9" s="15"/>
      <c r="AO9" s="15"/>
      <c r="AP9" s="15"/>
    </row>
    <row r="10" spans="1:42" x14ac:dyDescent="0.3">
      <c r="A10" s="7" t="s">
        <v>43</v>
      </c>
      <c r="B10" s="8" t="s">
        <v>0</v>
      </c>
      <c r="C10" s="8" t="s">
        <v>39</v>
      </c>
      <c r="D10" s="59">
        <v>229.37</v>
      </c>
      <c r="E10" s="59">
        <v>179.32</v>
      </c>
      <c r="F10" s="59">
        <v>176.56</v>
      </c>
      <c r="G10" s="59">
        <v>257.87</v>
      </c>
      <c r="H10" s="59">
        <v>232.97</v>
      </c>
      <c r="I10" s="59">
        <v>222.51</v>
      </c>
      <c r="J10" s="59">
        <v>166.08</v>
      </c>
      <c r="K10" s="59">
        <v>972.77</v>
      </c>
      <c r="L10" s="59">
        <v>186</v>
      </c>
      <c r="M10" s="59">
        <v>155.06</v>
      </c>
      <c r="N10" s="59">
        <v>235.19</v>
      </c>
      <c r="O10" s="59">
        <v>74.87</v>
      </c>
      <c r="P10" s="59">
        <v>25.9</v>
      </c>
      <c r="Q10" s="59">
        <v>14.5</v>
      </c>
      <c r="R10" s="59">
        <v>27.8</v>
      </c>
      <c r="S10" s="59">
        <v>12.8</v>
      </c>
      <c r="T10" s="59">
        <v>33.299999999999997</v>
      </c>
      <c r="U10" s="59">
        <v>3.4</v>
      </c>
      <c r="V10" s="59">
        <v>22.1</v>
      </c>
      <c r="W10" s="59">
        <v>87.3</v>
      </c>
      <c r="X10" s="59"/>
      <c r="Y10" s="59"/>
      <c r="Z10" s="59"/>
      <c r="AA10" s="59"/>
      <c r="AB10" s="8"/>
      <c r="AC10" s="59">
        <v>2.41</v>
      </c>
      <c r="AD10" s="59">
        <v>173.43</v>
      </c>
      <c r="AE10" s="59">
        <v>382.41</v>
      </c>
      <c r="AF10" s="59">
        <v>843.12</v>
      </c>
      <c r="AG10" s="59">
        <v>1594.33</v>
      </c>
      <c r="AH10" s="59">
        <v>651.13</v>
      </c>
      <c r="AI10" s="59">
        <v>81</v>
      </c>
      <c r="AJ10" s="59">
        <v>146.1</v>
      </c>
      <c r="AL10" s="15"/>
      <c r="AM10" s="15"/>
      <c r="AN10" s="15"/>
      <c r="AO10" s="15"/>
      <c r="AP10" s="15"/>
    </row>
    <row r="11" spans="1:42" x14ac:dyDescent="0.3">
      <c r="A11" s="7" t="s">
        <v>44</v>
      </c>
      <c r="B11" s="8" t="s">
        <v>0</v>
      </c>
      <c r="C11" s="8" t="s">
        <v>39</v>
      </c>
      <c r="D11" s="59">
        <v>5509.42</v>
      </c>
      <c r="E11" s="59">
        <v>4848.33</v>
      </c>
      <c r="F11" s="59">
        <v>6902.15</v>
      </c>
      <c r="G11" s="59">
        <v>6643.6</v>
      </c>
      <c r="H11" s="59">
        <v>7415.45</v>
      </c>
      <c r="I11" s="59">
        <v>5858.02</v>
      </c>
      <c r="J11" s="59">
        <v>9188.98</v>
      </c>
      <c r="K11" s="59">
        <v>6017.46</v>
      </c>
      <c r="L11" s="59">
        <v>9781.98</v>
      </c>
      <c r="M11" s="59">
        <v>5530.25</v>
      </c>
      <c r="N11" s="59">
        <v>12322.52</v>
      </c>
      <c r="O11" s="59">
        <v>10182.01</v>
      </c>
      <c r="P11" s="59">
        <v>11718</v>
      </c>
      <c r="Q11" s="59">
        <v>10860.8</v>
      </c>
      <c r="R11" s="59">
        <v>12849.6</v>
      </c>
      <c r="S11" s="59">
        <v>11402.3</v>
      </c>
      <c r="T11" s="59">
        <v>14444.5</v>
      </c>
      <c r="U11" s="59">
        <v>11965.3</v>
      </c>
      <c r="V11" s="59">
        <v>15047.7</v>
      </c>
      <c r="W11" s="59">
        <v>15728.3</v>
      </c>
      <c r="X11" s="59"/>
      <c r="Y11" s="59"/>
      <c r="Z11" s="59"/>
      <c r="AA11" s="59"/>
      <c r="AB11" s="8"/>
      <c r="AC11" s="59">
        <v>7852.43</v>
      </c>
      <c r="AD11" s="59">
        <v>11787.46</v>
      </c>
      <c r="AE11" s="59">
        <v>14956.06</v>
      </c>
      <c r="AF11" s="59">
        <v>24078.31</v>
      </c>
      <c r="AG11" s="59">
        <v>28479.91</v>
      </c>
      <c r="AH11" s="59">
        <v>37816.75</v>
      </c>
      <c r="AI11" s="59">
        <v>46830.8</v>
      </c>
      <c r="AJ11" s="59">
        <v>57185.8</v>
      </c>
      <c r="AL11" s="15"/>
      <c r="AM11" s="15"/>
      <c r="AN11" s="15"/>
      <c r="AO11" s="15"/>
      <c r="AP11" s="15"/>
    </row>
    <row r="12" spans="1:42" x14ac:dyDescent="0.3">
      <c r="A12" s="7" t="s">
        <v>45</v>
      </c>
      <c r="B12" s="8" t="s">
        <v>0</v>
      </c>
      <c r="C12" s="8" t="s">
        <v>39</v>
      </c>
      <c r="D12" s="59">
        <v>-885.47</v>
      </c>
      <c r="E12" s="59">
        <v>42.57</v>
      </c>
      <c r="F12" s="59">
        <v>-1182.69</v>
      </c>
      <c r="G12" s="59">
        <v>-1420.88</v>
      </c>
      <c r="H12" s="59">
        <v>-1263</v>
      </c>
      <c r="I12" s="59">
        <v>650.38</v>
      </c>
      <c r="J12" s="59">
        <v>-1073.5</v>
      </c>
      <c r="K12" s="59">
        <v>268.69</v>
      </c>
      <c r="L12" s="59">
        <v>-1935.99</v>
      </c>
      <c r="M12" s="59">
        <v>2888.69</v>
      </c>
      <c r="N12" s="59">
        <v>-2277.21</v>
      </c>
      <c r="O12" s="59">
        <v>-679.51</v>
      </c>
      <c r="P12" s="59">
        <v>-1842.6</v>
      </c>
      <c r="Q12" s="59">
        <v>-338.1</v>
      </c>
      <c r="R12" s="59">
        <v>-116.7</v>
      </c>
      <c r="S12" s="59">
        <v>112.3</v>
      </c>
      <c r="T12" s="59">
        <v>-2543.5</v>
      </c>
      <c r="U12" s="59">
        <v>955.7</v>
      </c>
      <c r="V12" s="59">
        <v>688</v>
      </c>
      <c r="W12" s="59">
        <v>-1366.8</v>
      </c>
      <c r="X12" s="59"/>
      <c r="Y12" s="59"/>
      <c r="Z12" s="59"/>
      <c r="AA12" s="59"/>
      <c r="AB12" s="8"/>
      <c r="AC12" s="59">
        <v>-1252.07</v>
      </c>
      <c r="AD12" s="59">
        <v>-1818.84</v>
      </c>
      <c r="AE12" s="59">
        <v>-460.22</v>
      </c>
      <c r="AF12" s="59">
        <v>-3621.28</v>
      </c>
      <c r="AG12" s="59">
        <v>-1417.43</v>
      </c>
      <c r="AH12" s="59">
        <v>-2004.02</v>
      </c>
      <c r="AI12" s="59">
        <v>-2185.1999999999998</v>
      </c>
      <c r="AJ12" s="59">
        <v>-2266.6</v>
      </c>
      <c r="AL12" s="15"/>
      <c r="AM12" s="15"/>
      <c r="AN12" s="15"/>
      <c r="AO12" s="15"/>
      <c r="AP12" s="15"/>
    </row>
    <row r="13" spans="1:42" x14ac:dyDescent="0.3">
      <c r="A13" s="7" t="s">
        <v>46</v>
      </c>
      <c r="B13" s="8" t="s">
        <v>0</v>
      </c>
      <c r="C13" s="8" t="s">
        <v>39</v>
      </c>
      <c r="D13" s="59">
        <v>726.05</v>
      </c>
      <c r="E13" s="59">
        <v>694.01</v>
      </c>
      <c r="F13" s="59">
        <v>933.21</v>
      </c>
      <c r="G13" s="59">
        <v>908</v>
      </c>
      <c r="H13" s="59">
        <v>1147.0899999999999</v>
      </c>
      <c r="I13" s="59">
        <v>1217.6099999999999</v>
      </c>
      <c r="J13" s="59">
        <v>1279.1600000000001</v>
      </c>
      <c r="K13" s="59">
        <v>1273.31</v>
      </c>
      <c r="L13" s="59">
        <v>1385.76</v>
      </c>
      <c r="M13" s="59">
        <v>1363.2</v>
      </c>
      <c r="N13" s="59">
        <v>1479.3</v>
      </c>
      <c r="O13" s="59">
        <v>1420.75</v>
      </c>
      <c r="P13" s="59">
        <v>1558.6</v>
      </c>
      <c r="Q13" s="59">
        <v>1614.9</v>
      </c>
      <c r="R13" s="59">
        <v>1746</v>
      </c>
      <c r="S13" s="59">
        <v>1741.2</v>
      </c>
      <c r="T13" s="59">
        <v>1820.2</v>
      </c>
      <c r="U13" s="59">
        <v>1827.7</v>
      </c>
      <c r="V13" s="59">
        <v>2029</v>
      </c>
      <c r="W13" s="59">
        <v>2038.4</v>
      </c>
      <c r="X13" s="59"/>
      <c r="Y13" s="59"/>
      <c r="Z13" s="59"/>
      <c r="AA13" s="59"/>
      <c r="AB13" s="8"/>
      <c r="AC13" s="59">
        <v>1172.96</v>
      </c>
      <c r="AD13" s="59">
        <v>1956.13</v>
      </c>
      <c r="AE13" s="59">
        <v>2836.47</v>
      </c>
      <c r="AF13" s="59">
        <v>3259.39</v>
      </c>
      <c r="AG13" s="59">
        <v>4917.17</v>
      </c>
      <c r="AH13" s="59">
        <v>5649.01</v>
      </c>
      <c r="AI13" s="59">
        <v>6660.7</v>
      </c>
      <c r="AJ13" s="59">
        <v>7715.3</v>
      </c>
      <c r="AL13" s="15"/>
      <c r="AM13" s="15"/>
      <c r="AN13" s="15"/>
      <c r="AO13" s="15"/>
      <c r="AP13" s="15"/>
    </row>
    <row r="14" spans="1:42" x14ac:dyDescent="0.3">
      <c r="A14" s="7" t="s">
        <v>47</v>
      </c>
      <c r="B14" s="8" t="s">
        <v>0</v>
      </c>
      <c r="C14" s="8" t="s">
        <v>39</v>
      </c>
      <c r="D14" s="59">
        <v>90.14</v>
      </c>
      <c r="E14" s="59">
        <v>113.49</v>
      </c>
      <c r="F14" s="59">
        <v>127.9</v>
      </c>
      <c r="G14" s="59">
        <v>133.58000000000001</v>
      </c>
      <c r="H14" s="59">
        <v>150.63</v>
      </c>
      <c r="I14" s="59">
        <v>203.56</v>
      </c>
      <c r="J14" s="59">
        <v>204.25</v>
      </c>
      <c r="K14" s="59">
        <v>187.61</v>
      </c>
      <c r="L14" s="59">
        <v>185.48</v>
      </c>
      <c r="M14" s="59">
        <v>213.09</v>
      </c>
      <c r="N14" s="59">
        <v>218.41</v>
      </c>
      <c r="O14" s="59">
        <v>211.34</v>
      </c>
      <c r="P14" s="59">
        <v>213.1</v>
      </c>
      <c r="Q14" s="59">
        <v>242.3</v>
      </c>
      <c r="R14" s="59">
        <v>319.3</v>
      </c>
      <c r="S14" s="59">
        <v>298.5</v>
      </c>
      <c r="T14" s="59">
        <v>301.60000000000002</v>
      </c>
      <c r="U14" s="59">
        <v>314.7</v>
      </c>
      <c r="V14" s="59">
        <v>291.60000000000002</v>
      </c>
      <c r="W14" s="59">
        <v>263.3</v>
      </c>
      <c r="X14" s="59"/>
      <c r="Y14" s="59"/>
      <c r="Z14" s="59"/>
      <c r="AA14" s="59"/>
      <c r="AB14" s="8"/>
      <c r="AC14" s="59">
        <v>263.42</v>
      </c>
      <c r="AD14" s="59">
        <v>442.93</v>
      </c>
      <c r="AE14" s="59">
        <v>307.01</v>
      </c>
      <c r="AF14" s="59">
        <v>465.11</v>
      </c>
      <c r="AG14" s="59">
        <v>746.05</v>
      </c>
      <c r="AH14" s="59">
        <v>828.32</v>
      </c>
      <c r="AI14" s="59">
        <v>1073.2</v>
      </c>
      <c r="AJ14" s="59">
        <v>1171.2</v>
      </c>
      <c r="AL14" s="15"/>
      <c r="AM14" s="15"/>
      <c r="AN14" s="15"/>
      <c r="AO14" s="15"/>
      <c r="AP14" s="15"/>
    </row>
    <row r="15" spans="1:42" x14ac:dyDescent="0.3">
      <c r="A15" s="7" t="s">
        <v>48</v>
      </c>
      <c r="B15" s="8" t="s">
        <v>0</v>
      </c>
      <c r="C15" s="8" t="s">
        <v>39</v>
      </c>
      <c r="D15" s="59">
        <v>194.97</v>
      </c>
      <c r="E15" s="59">
        <v>213.08</v>
      </c>
      <c r="F15" s="59">
        <v>251.24</v>
      </c>
      <c r="G15" s="59">
        <v>304.83999999999997</v>
      </c>
      <c r="H15" s="59">
        <v>310.12</v>
      </c>
      <c r="I15" s="59">
        <v>385.02</v>
      </c>
      <c r="J15" s="59">
        <v>507</v>
      </c>
      <c r="K15" s="59">
        <v>530.41999999999996</v>
      </c>
      <c r="L15" s="59">
        <v>519.20000000000005</v>
      </c>
      <c r="M15" s="59">
        <v>546.36</v>
      </c>
      <c r="N15" s="59">
        <v>580.28</v>
      </c>
      <c r="O15" s="59">
        <v>596.49</v>
      </c>
      <c r="P15" s="59">
        <v>600.6</v>
      </c>
      <c r="Q15" s="59">
        <v>636.20000000000005</v>
      </c>
      <c r="R15" s="59">
        <v>698.2</v>
      </c>
      <c r="S15" s="59">
        <v>729</v>
      </c>
      <c r="T15" s="59">
        <v>761.4</v>
      </c>
      <c r="U15" s="59">
        <v>790.9</v>
      </c>
      <c r="V15" s="59">
        <v>808.8</v>
      </c>
      <c r="W15" s="59">
        <v>842.2</v>
      </c>
      <c r="X15" s="59"/>
      <c r="Y15" s="59"/>
      <c r="Z15" s="59"/>
      <c r="AA15" s="59"/>
      <c r="AB15" s="8"/>
      <c r="AC15" s="59">
        <v>308.76</v>
      </c>
      <c r="AD15" s="59">
        <v>595.09</v>
      </c>
      <c r="AE15" s="59">
        <v>671.28</v>
      </c>
      <c r="AF15" s="59">
        <v>964.13</v>
      </c>
      <c r="AG15" s="59">
        <v>1732.56</v>
      </c>
      <c r="AH15" s="59">
        <v>2242.33</v>
      </c>
      <c r="AI15" s="59">
        <v>2664</v>
      </c>
      <c r="AJ15" s="59">
        <v>3203.3</v>
      </c>
      <c r="AL15" s="15"/>
      <c r="AM15" s="15"/>
      <c r="AN15" s="15"/>
      <c r="AO15" s="15"/>
      <c r="AP15" s="15"/>
    </row>
    <row r="16" spans="1:42" x14ac:dyDescent="0.3">
      <c r="A16" s="7" t="s">
        <v>49</v>
      </c>
      <c r="B16" s="8" t="s">
        <v>0</v>
      </c>
      <c r="C16" s="8" t="s">
        <v>39</v>
      </c>
      <c r="D16" s="59">
        <v>2321.16</v>
      </c>
      <c r="E16" s="59">
        <v>2800.17</v>
      </c>
      <c r="F16" s="59">
        <v>3464.6</v>
      </c>
      <c r="G16" s="59">
        <v>2959.42</v>
      </c>
      <c r="H16" s="59">
        <v>3491.18</v>
      </c>
      <c r="I16" s="59">
        <v>3748.4</v>
      </c>
      <c r="J16" s="59">
        <v>4285.9399999999996</v>
      </c>
      <c r="K16" s="59">
        <v>3778.07</v>
      </c>
      <c r="L16" s="59">
        <v>4065.83</v>
      </c>
      <c r="M16" s="59">
        <v>4326.75</v>
      </c>
      <c r="N16" s="59">
        <v>5140.4399999999996</v>
      </c>
      <c r="O16" s="59">
        <v>4748.8599999999997</v>
      </c>
      <c r="P16" s="59">
        <v>5040</v>
      </c>
      <c r="Q16" s="59">
        <v>5558.7</v>
      </c>
      <c r="R16" s="59">
        <v>6757.6</v>
      </c>
      <c r="S16" s="59">
        <v>6015.5</v>
      </c>
      <c r="T16" s="59">
        <v>6388.1</v>
      </c>
      <c r="U16" s="59">
        <v>7118.2</v>
      </c>
      <c r="V16" s="59">
        <v>8648.2000000000007</v>
      </c>
      <c r="W16" s="59">
        <v>7765.3</v>
      </c>
      <c r="X16" s="59"/>
      <c r="Y16" s="59"/>
      <c r="Z16" s="59"/>
      <c r="AA16" s="59"/>
      <c r="AB16" s="8"/>
      <c r="AC16" s="59">
        <v>3133.11</v>
      </c>
      <c r="AD16" s="59">
        <v>4766.6000000000004</v>
      </c>
      <c r="AE16" s="59">
        <v>5079.9799999999996</v>
      </c>
      <c r="AF16" s="59">
        <v>11547.23</v>
      </c>
      <c r="AG16" s="59">
        <v>15303.59</v>
      </c>
      <c r="AH16" s="59">
        <v>18281.89</v>
      </c>
      <c r="AI16" s="59">
        <v>23371.8</v>
      </c>
      <c r="AJ16" s="59">
        <v>29919.8</v>
      </c>
      <c r="AL16" s="15"/>
      <c r="AM16" s="15"/>
      <c r="AN16" s="15"/>
      <c r="AO16" s="15"/>
      <c r="AP16" s="15"/>
    </row>
    <row r="17" spans="1:42" x14ac:dyDescent="0.3">
      <c r="A17" s="1" t="s">
        <v>50</v>
      </c>
      <c r="B17" s="8" t="s">
        <v>0</v>
      </c>
      <c r="C17" s="8"/>
      <c r="D17" s="56">
        <f t="shared" ref="D17:W17" si="3">SUM(D10:D16)</f>
        <v>8185.64</v>
      </c>
      <c r="E17" s="56">
        <f t="shared" si="3"/>
        <v>8890.9699999999993</v>
      </c>
      <c r="F17" s="56">
        <f t="shared" si="3"/>
        <v>10672.97</v>
      </c>
      <c r="G17" s="56">
        <f t="shared" si="3"/>
        <v>9786.43</v>
      </c>
      <c r="H17" s="56">
        <f t="shared" si="3"/>
        <v>11484.44</v>
      </c>
      <c r="I17" s="56">
        <f t="shared" si="3"/>
        <v>12285.5</v>
      </c>
      <c r="J17" s="56">
        <f t="shared" si="3"/>
        <v>14557.91</v>
      </c>
      <c r="K17" s="56">
        <f t="shared" si="3"/>
        <v>13028.33</v>
      </c>
      <c r="L17" s="56">
        <f t="shared" si="3"/>
        <v>14188.26</v>
      </c>
      <c r="M17" s="56">
        <f t="shared" si="3"/>
        <v>15023.400000000001</v>
      </c>
      <c r="N17" s="56">
        <f t="shared" si="3"/>
        <v>17698.93</v>
      </c>
      <c r="O17" s="56">
        <f t="shared" si="3"/>
        <v>16554.810000000001</v>
      </c>
      <c r="P17" s="56">
        <f t="shared" si="3"/>
        <v>17313.599999999999</v>
      </c>
      <c r="Q17" s="56">
        <f t="shared" si="3"/>
        <v>18589.3</v>
      </c>
      <c r="R17" s="56">
        <f t="shared" si="3"/>
        <v>22281.8</v>
      </c>
      <c r="S17" s="56">
        <f t="shared" si="3"/>
        <v>20311.599999999999</v>
      </c>
      <c r="T17" s="56">
        <f t="shared" si="3"/>
        <v>21205.599999999999</v>
      </c>
      <c r="U17" s="56">
        <f t="shared" si="3"/>
        <v>22975.9</v>
      </c>
      <c r="V17" s="56">
        <f t="shared" si="3"/>
        <v>27535.4</v>
      </c>
      <c r="W17" s="56">
        <f t="shared" si="3"/>
        <v>25358</v>
      </c>
      <c r="X17" s="56"/>
      <c r="Y17" s="56"/>
      <c r="Z17" s="56"/>
      <c r="AA17" s="56"/>
      <c r="AB17" s="8"/>
      <c r="AC17" s="60">
        <f t="shared" ref="AC17:AJ17" si="4">SUM(AC10:AC16)</f>
        <v>11481.02</v>
      </c>
      <c r="AD17" s="60">
        <f t="shared" si="4"/>
        <v>17902.800000000003</v>
      </c>
      <c r="AE17" s="60">
        <f t="shared" si="4"/>
        <v>23772.989999999998</v>
      </c>
      <c r="AF17" s="60">
        <f t="shared" si="4"/>
        <v>37536.01</v>
      </c>
      <c r="AG17" s="60">
        <f t="shared" si="4"/>
        <v>51356.179999999993</v>
      </c>
      <c r="AH17" s="60">
        <f t="shared" si="4"/>
        <v>63465.41</v>
      </c>
      <c r="AI17" s="60">
        <f t="shared" si="4"/>
        <v>78496.3</v>
      </c>
      <c r="AJ17" s="60">
        <f t="shared" si="4"/>
        <v>97074.900000000009</v>
      </c>
      <c r="AL17" s="15"/>
      <c r="AM17" s="15"/>
      <c r="AN17" s="15"/>
      <c r="AO17" s="15"/>
      <c r="AP17" s="15"/>
    </row>
    <row r="18" spans="1:42" x14ac:dyDescent="0.3">
      <c r="AL18" s="15"/>
      <c r="AM18" s="15"/>
      <c r="AN18" s="15"/>
      <c r="AO18" s="15"/>
      <c r="AP18" s="15"/>
    </row>
    <row r="19" spans="1:42" x14ac:dyDescent="0.3">
      <c r="A19" s="1" t="s">
        <v>51</v>
      </c>
      <c r="B19" s="8" t="s">
        <v>0</v>
      </c>
      <c r="C19" s="8"/>
      <c r="D19" s="56">
        <f t="shared" ref="D19:W19" si="5">D7-D17</f>
        <v>31.489999999998872</v>
      </c>
      <c r="E19" s="56">
        <f t="shared" si="5"/>
        <v>13.649999999999636</v>
      </c>
      <c r="F19" s="56">
        <f t="shared" si="5"/>
        <v>369.76000000000022</v>
      </c>
      <c r="G19" s="56">
        <f t="shared" si="5"/>
        <v>58.159999999999854</v>
      </c>
      <c r="H19" s="56">
        <f t="shared" si="5"/>
        <v>83.399999999997817</v>
      </c>
      <c r="I19" s="56">
        <f t="shared" si="5"/>
        <v>87.550000000001091</v>
      </c>
      <c r="J19" s="56">
        <f t="shared" si="5"/>
        <v>126.71000000000095</v>
      </c>
      <c r="K19" s="56">
        <f t="shared" si="5"/>
        <v>86.289999999999054</v>
      </c>
      <c r="L19" s="56">
        <f t="shared" si="5"/>
        <v>97.18999999999869</v>
      </c>
      <c r="M19" s="56">
        <f t="shared" si="5"/>
        <v>132.56999999999789</v>
      </c>
      <c r="N19" s="56">
        <f t="shared" si="5"/>
        <v>264.88999999999942</v>
      </c>
      <c r="O19" s="56">
        <f t="shared" si="5"/>
        <v>195.61999999999898</v>
      </c>
      <c r="P19" s="56">
        <f t="shared" si="5"/>
        <v>220.79999999999927</v>
      </c>
      <c r="Q19" s="56">
        <f t="shared" si="5"/>
        <v>212.60000000000218</v>
      </c>
      <c r="R19" s="56">
        <f t="shared" si="5"/>
        <v>445.59999999999854</v>
      </c>
      <c r="S19" s="56">
        <f t="shared" si="5"/>
        <v>395.5</v>
      </c>
      <c r="T19" s="56">
        <f t="shared" si="5"/>
        <v>437.10000000000218</v>
      </c>
      <c r="U19" s="56">
        <f t="shared" si="5"/>
        <v>564.19999999999709</v>
      </c>
      <c r="V19" s="56">
        <f t="shared" si="5"/>
        <v>1259.7999999999956</v>
      </c>
      <c r="W19" s="56">
        <f t="shared" si="5"/>
        <v>1215.2000000000007</v>
      </c>
      <c r="X19" s="56"/>
      <c r="Y19" s="56"/>
      <c r="Z19" s="56"/>
      <c r="AA19" s="56"/>
      <c r="AB19" s="8"/>
      <c r="AC19" s="60">
        <f t="shared" ref="AC19:AJ19" si="6">AC7-AC17</f>
        <v>-317.20000000000073</v>
      </c>
      <c r="AD19" s="60">
        <f t="shared" si="6"/>
        <v>-124.30000000000291</v>
      </c>
      <c r="AE19" s="60">
        <f t="shared" si="6"/>
        <v>753.38000000000102</v>
      </c>
      <c r="AF19" s="60">
        <f t="shared" si="6"/>
        <v>473.05999999999767</v>
      </c>
      <c r="AG19" s="60">
        <f t="shared" si="6"/>
        <v>383.95000000000437</v>
      </c>
      <c r="AH19" s="60">
        <f t="shared" si="6"/>
        <v>690.2699999999968</v>
      </c>
      <c r="AI19" s="60">
        <f t="shared" si="6"/>
        <v>1274.5</v>
      </c>
      <c r="AJ19" s="60">
        <f t="shared" si="6"/>
        <v>3476.2999999999884</v>
      </c>
      <c r="AL19" s="15"/>
      <c r="AM19" s="15"/>
      <c r="AN19" s="15"/>
      <c r="AO19" s="15"/>
      <c r="AP19" s="15"/>
    </row>
    <row r="20" spans="1:42" x14ac:dyDescent="0.3">
      <c r="A20" s="7" t="s">
        <v>52</v>
      </c>
      <c r="B20" s="8" t="s">
        <v>0</v>
      </c>
      <c r="C20" s="8" t="s">
        <v>39</v>
      </c>
      <c r="D20" s="59">
        <v>0</v>
      </c>
      <c r="E20" s="59">
        <v>0</v>
      </c>
      <c r="F20" s="59">
        <v>0</v>
      </c>
      <c r="G20" s="59">
        <v>0</v>
      </c>
      <c r="H20" s="59">
        <v>0</v>
      </c>
      <c r="I20" s="59">
        <v>0</v>
      </c>
      <c r="J20" s="59">
        <v>0</v>
      </c>
      <c r="K20" s="59">
        <v>0</v>
      </c>
      <c r="L20" s="59">
        <v>0</v>
      </c>
      <c r="M20" s="59">
        <v>0</v>
      </c>
      <c r="N20" s="59">
        <v>0</v>
      </c>
      <c r="O20" s="59">
        <v>0</v>
      </c>
      <c r="P20" s="59">
        <v>0</v>
      </c>
      <c r="Q20" s="59">
        <v>0</v>
      </c>
      <c r="R20" s="59">
        <v>0</v>
      </c>
      <c r="S20" s="59">
        <v>0</v>
      </c>
      <c r="T20" s="59">
        <v>0</v>
      </c>
      <c r="U20" s="59">
        <v>10.4</v>
      </c>
      <c r="V20" s="59">
        <v>163.6</v>
      </c>
      <c r="W20" s="59">
        <v>0</v>
      </c>
      <c r="X20" s="59"/>
      <c r="Y20" s="59"/>
      <c r="Z20" s="59"/>
      <c r="AA20" s="59"/>
      <c r="AB20" s="8"/>
      <c r="AC20" s="59">
        <v>0</v>
      </c>
      <c r="AD20" s="59">
        <v>0</v>
      </c>
      <c r="AE20" s="59">
        <v>0</v>
      </c>
      <c r="AF20" s="59">
        <v>0</v>
      </c>
      <c r="AG20" s="59">
        <v>0</v>
      </c>
      <c r="AH20" s="59">
        <v>0</v>
      </c>
      <c r="AI20" s="59">
        <v>0</v>
      </c>
      <c r="AJ20" s="59">
        <v>174</v>
      </c>
      <c r="AL20" s="15"/>
      <c r="AM20" s="15"/>
      <c r="AN20" s="15"/>
      <c r="AO20" s="15"/>
      <c r="AP20" s="15"/>
    </row>
    <row r="21" spans="1:42" x14ac:dyDescent="0.3">
      <c r="A21" s="1" t="s">
        <v>53</v>
      </c>
      <c r="B21" s="8" t="s">
        <v>0</v>
      </c>
      <c r="C21" s="8"/>
      <c r="D21" s="56">
        <f t="shared" ref="D21:W21" si="7">D19-D20</f>
        <v>31.489999999998872</v>
      </c>
      <c r="E21" s="56">
        <f t="shared" si="7"/>
        <v>13.649999999999636</v>
      </c>
      <c r="F21" s="56">
        <f t="shared" si="7"/>
        <v>369.76000000000022</v>
      </c>
      <c r="G21" s="56">
        <f t="shared" si="7"/>
        <v>58.159999999999854</v>
      </c>
      <c r="H21" s="56">
        <f t="shared" si="7"/>
        <v>83.399999999997817</v>
      </c>
      <c r="I21" s="56">
        <f t="shared" si="7"/>
        <v>87.550000000001091</v>
      </c>
      <c r="J21" s="56">
        <f t="shared" si="7"/>
        <v>126.71000000000095</v>
      </c>
      <c r="K21" s="56">
        <f t="shared" si="7"/>
        <v>86.289999999999054</v>
      </c>
      <c r="L21" s="56">
        <f t="shared" si="7"/>
        <v>97.18999999999869</v>
      </c>
      <c r="M21" s="56">
        <f t="shared" si="7"/>
        <v>132.56999999999789</v>
      </c>
      <c r="N21" s="56">
        <f t="shared" si="7"/>
        <v>264.88999999999942</v>
      </c>
      <c r="O21" s="56">
        <f t="shared" si="7"/>
        <v>195.61999999999898</v>
      </c>
      <c r="P21" s="56">
        <f t="shared" si="7"/>
        <v>220.79999999999927</v>
      </c>
      <c r="Q21" s="56">
        <f t="shared" si="7"/>
        <v>212.60000000000218</v>
      </c>
      <c r="R21" s="56">
        <f t="shared" si="7"/>
        <v>445.59999999999854</v>
      </c>
      <c r="S21" s="56">
        <f t="shared" si="7"/>
        <v>395.5</v>
      </c>
      <c r="T21" s="56">
        <f t="shared" si="7"/>
        <v>437.10000000000218</v>
      </c>
      <c r="U21" s="56">
        <f t="shared" si="7"/>
        <v>553.79999999999711</v>
      </c>
      <c r="V21" s="56">
        <f t="shared" si="7"/>
        <v>1096.1999999999957</v>
      </c>
      <c r="W21" s="56">
        <f t="shared" si="7"/>
        <v>1215.2000000000007</v>
      </c>
      <c r="X21" s="56"/>
      <c r="Y21" s="56"/>
      <c r="Z21" s="56"/>
      <c r="AA21" s="56"/>
      <c r="AB21" s="8"/>
      <c r="AC21" s="60">
        <f t="shared" ref="AC21:AJ21" si="8">AC19-AC20</f>
        <v>-317.20000000000073</v>
      </c>
      <c r="AD21" s="60">
        <f t="shared" si="8"/>
        <v>-124.30000000000291</v>
      </c>
      <c r="AE21" s="60">
        <f t="shared" si="8"/>
        <v>753.38000000000102</v>
      </c>
      <c r="AF21" s="60">
        <f t="shared" si="8"/>
        <v>473.05999999999767</v>
      </c>
      <c r="AG21" s="60">
        <f t="shared" si="8"/>
        <v>383.95000000000437</v>
      </c>
      <c r="AH21" s="60">
        <f t="shared" si="8"/>
        <v>690.2699999999968</v>
      </c>
      <c r="AI21" s="60">
        <f t="shared" si="8"/>
        <v>1274.5</v>
      </c>
      <c r="AJ21" s="60">
        <f t="shared" si="8"/>
        <v>3302.2999999999884</v>
      </c>
      <c r="AL21" s="15"/>
      <c r="AM21" s="15"/>
      <c r="AN21" s="15"/>
      <c r="AO21" s="15"/>
      <c r="AP21" s="15"/>
    </row>
    <row r="22" spans="1:42" x14ac:dyDescent="0.3">
      <c r="AL22" s="15"/>
      <c r="AM22" s="15"/>
      <c r="AN22" s="15"/>
      <c r="AO22" s="15"/>
      <c r="AP22" s="15"/>
    </row>
    <row r="23" spans="1:42" x14ac:dyDescent="0.3">
      <c r="A23" s="9" t="s">
        <v>54</v>
      </c>
      <c r="AL23" s="15"/>
      <c r="AM23" s="15"/>
      <c r="AN23" s="15"/>
      <c r="AO23" s="15"/>
      <c r="AP23" s="15"/>
    </row>
    <row r="24" spans="1:42" x14ac:dyDescent="0.3">
      <c r="A24" s="7" t="s">
        <v>55</v>
      </c>
      <c r="B24" s="8" t="s">
        <v>0</v>
      </c>
      <c r="C24" s="8" t="s">
        <v>39</v>
      </c>
      <c r="D24" s="59">
        <v>133.63999999999999</v>
      </c>
      <c r="E24" s="59">
        <v>3.66</v>
      </c>
      <c r="F24" s="59">
        <v>144.35</v>
      </c>
      <c r="G24" s="59">
        <v>141.28</v>
      </c>
      <c r="H24" s="59">
        <v>113.25</v>
      </c>
      <c r="I24" s="59">
        <v>215.91</v>
      </c>
      <c r="J24" s="59">
        <v>270.99</v>
      </c>
      <c r="K24" s="59">
        <v>260.95999999999998</v>
      </c>
      <c r="L24" s="59">
        <v>236.23</v>
      </c>
      <c r="M24" s="59">
        <v>215.86</v>
      </c>
      <c r="N24" s="59">
        <v>308.98</v>
      </c>
      <c r="O24" s="59">
        <v>306.27999999999997</v>
      </c>
      <c r="P24" s="59">
        <v>420.3</v>
      </c>
      <c r="Q24" s="59">
        <v>211.2</v>
      </c>
      <c r="R24" s="59">
        <v>319.89999999999998</v>
      </c>
      <c r="S24" s="59">
        <v>-536.4</v>
      </c>
      <c r="T24" s="59">
        <v>177.3</v>
      </c>
      <c r="U24" s="59">
        <v>209.2</v>
      </c>
      <c r="V24" s="59">
        <v>279.2</v>
      </c>
      <c r="W24" s="59">
        <v>709.2</v>
      </c>
      <c r="X24" s="59"/>
      <c r="Y24" s="59"/>
      <c r="Z24" s="59"/>
      <c r="AA24" s="59"/>
      <c r="AB24" s="8"/>
      <c r="AC24" s="59">
        <v>0</v>
      </c>
      <c r="AD24" s="59">
        <v>45.37</v>
      </c>
      <c r="AE24" s="59">
        <v>400.78</v>
      </c>
      <c r="AF24" s="59">
        <v>422.93</v>
      </c>
      <c r="AG24" s="59">
        <v>861.11</v>
      </c>
      <c r="AH24" s="59">
        <v>1067.3499999999999</v>
      </c>
      <c r="AI24" s="59">
        <v>415</v>
      </c>
      <c r="AJ24" s="59">
        <v>1374.9</v>
      </c>
      <c r="AL24" s="15"/>
      <c r="AM24" s="15"/>
      <c r="AN24" s="15"/>
      <c r="AO24" s="15"/>
      <c r="AP24" s="15"/>
    </row>
    <row r="25" spans="1:42" x14ac:dyDescent="0.3">
      <c r="A25" s="7" t="s">
        <v>56</v>
      </c>
      <c r="B25" s="8" t="s">
        <v>0</v>
      </c>
      <c r="C25" s="8" t="s">
        <v>39</v>
      </c>
      <c r="D25" s="59">
        <v>0</v>
      </c>
      <c r="E25" s="59">
        <v>0</v>
      </c>
      <c r="F25" s="59">
        <v>0</v>
      </c>
      <c r="G25" s="59">
        <v>23.46</v>
      </c>
      <c r="H25" s="59">
        <v>0</v>
      </c>
      <c r="I25" s="59">
        <v>0</v>
      </c>
      <c r="J25" s="59">
        <v>0</v>
      </c>
      <c r="K25" s="59">
        <v>0</v>
      </c>
      <c r="L25" s="59">
        <v>0</v>
      </c>
      <c r="M25" s="59">
        <v>0</v>
      </c>
      <c r="N25" s="59">
        <v>0</v>
      </c>
      <c r="O25" s="59">
        <v>0</v>
      </c>
      <c r="P25" s="59">
        <v>0</v>
      </c>
      <c r="Q25" s="59">
        <v>0</v>
      </c>
      <c r="R25" s="59">
        <v>0</v>
      </c>
      <c r="S25" s="59">
        <v>0</v>
      </c>
      <c r="T25" s="59">
        <v>0</v>
      </c>
      <c r="U25" s="59">
        <v>0</v>
      </c>
      <c r="V25" s="59">
        <v>0</v>
      </c>
      <c r="W25" s="59">
        <v>0</v>
      </c>
      <c r="X25" s="59"/>
      <c r="Y25" s="59"/>
      <c r="Z25" s="59"/>
      <c r="AA25" s="59"/>
      <c r="AB25" s="8"/>
      <c r="AC25" s="59">
        <v>0</v>
      </c>
      <c r="AD25" s="59">
        <v>0</v>
      </c>
      <c r="AE25" s="59">
        <v>0</v>
      </c>
      <c r="AF25" s="59">
        <v>23.46</v>
      </c>
      <c r="AG25" s="59">
        <v>0</v>
      </c>
      <c r="AH25" s="59">
        <v>0</v>
      </c>
      <c r="AI25" s="59">
        <v>0</v>
      </c>
      <c r="AJ25" s="59">
        <v>0</v>
      </c>
      <c r="AL25" s="15"/>
      <c r="AM25" s="15"/>
      <c r="AN25" s="15"/>
      <c r="AO25" s="15"/>
      <c r="AP25" s="15"/>
    </row>
    <row r="26" spans="1:42" x14ac:dyDescent="0.3">
      <c r="A26" s="7" t="s">
        <v>57</v>
      </c>
      <c r="B26" s="8" t="s">
        <v>0</v>
      </c>
      <c r="C26" s="8" t="s">
        <v>39</v>
      </c>
      <c r="D26" s="59">
        <v>-137.37</v>
      </c>
      <c r="E26" s="59">
        <v>-1.73</v>
      </c>
      <c r="F26" s="59">
        <v>-64.739999999999995</v>
      </c>
      <c r="G26" s="59">
        <v>-124.27</v>
      </c>
      <c r="H26" s="59">
        <v>-86.72</v>
      </c>
      <c r="I26" s="59">
        <v>-184.91</v>
      </c>
      <c r="J26" s="59">
        <v>-236.32</v>
      </c>
      <c r="K26" s="59">
        <v>-217.42</v>
      </c>
      <c r="L26" s="59">
        <v>-203.6</v>
      </c>
      <c r="M26" s="59">
        <v>-176.18</v>
      </c>
      <c r="N26" s="59">
        <v>-226.43</v>
      </c>
      <c r="O26" s="59">
        <v>-208.03</v>
      </c>
      <c r="P26" s="59">
        <v>-341.9</v>
      </c>
      <c r="Q26" s="59">
        <v>-133</v>
      </c>
      <c r="R26" s="59">
        <v>-144</v>
      </c>
      <c r="S26" s="59">
        <v>741.4</v>
      </c>
      <c r="T26" s="59">
        <v>15.1</v>
      </c>
      <c r="U26" s="59">
        <v>14.8</v>
      </c>
      <c r="V26" s="59">
        <v>139.6</v>
      </c>
      <c r="W26" s="59">
        <v>-281.5</v>
      </c>
      <c r="X26" s="59"/>
      <c r="Y26" s="59"/>
      <c r="Z26" s="59"/>
      <c r="AA26" s="59"/>
      <c r="AB26" s="8"/>
      <c r="AC26" s="59">
        <v>-71.81</v>
      </c>
      <c r="AD26" s="59">
        <v>-6.27</v>
      </c>
      <c r="AE26" s="59">
        <v>-266.85000000000002</v>
      </c>
      <c r="AF26" s="59">
        <v>-328.11</v>
      </c>
      <c r="AG26" s="59">
        <v>-725.37</v>
      </c>
      <c r="AH26" s="59">
        <v>-814.24</v>
      </c>
      <c r="AI26" s="59">
        <v>122.5</v>
      </c>
      <c r="AJ26" s="59">
        <v>-112</v>
      </c>
      <c r="AL26" s="15"/>
      <c r="AM26" s="15"/>
      <c r="AN26" s="15"/>
      <c r="AO26" s="15"/>
      <c r="AP26" s="15"/>
    </row>
    <row r="27" spans="1:42" x14ac:dyDescent="0.3">
      <c r="A27" s="7" t="s">
        <v>58</v>
      </c>
      <c r="B27" s="8" t="s">
        <v>0</v>
      </c>
      <c r="C27" s="8" t="s">
        <v>39</v>
      </c>
      <c r="D27" s="59">
        <v>0</v>
      </c>
      <c r="E27" s="59">
        <v>0</v>
      </c>
      <c r="F27" s="59">
        <v>0</v>
      </c>
      <c r="G27" s="59">
        <v>-58.1</v>
      </c>
      <c r="H27" s="59">
        <v>0</v>
      </c>
      <c r="I27" s="59">
        <v>0</v>
      </c>
      <c r="J27" s="59">
        <v>0</v>
      </c>
      <c r="K27" s="59">
        <v>0</v>
      </c>
      <c r="L27" s="59">
        <v>0</v>
      </c>
      <c r="M27" s="59">
        <v>0</v>
      </c>
      <c r="N27" s="59">
        <v>0</v>
      </c>
      <c r="O27" s="59">
        <v>0</v>
      </c>
      <c r="P27" s="59">
        <v>0</v>
      </c>
      <c r="Q27" s="59">
        <v>0</v>
      </c>
      <c r="R27" s="59">
        <v>0</v>
      </c>
      <c r="S27" s="59">
        <v>0</v>
      </c>
      <c r="T27" s="59">
        <v>0</v>
      </c>
      <c r="U27" s="59">
        <v>0</v>
      </c>
      <c r="V27" s="59">
        <v>0</v>
      </c>
      <c r="W27" s="59">
        <v>0</v>
      </c>
      <c r="X27" s="59"/>
      <c r="Y27" s="59"/>
      <c r="Z27" s="59"/>
      <c r="AA27" s="59"/>
      <c r="AB27" s="8"/>
      <c r="AC27" s="59">
        <v>0</v>
      </c>
      <c r="AD27" s="59">
        <v>0</v>
      </c>
      <c r="AE27" s="59">
        <v>0</v>
      </c>
      <c r="AF27" s="59">
        <v>-58.1</v>
      </c>
      <c r="AG27" s="59">
        <v>0</v>
      </c>
      <c r="AH27" s="59">
        <v>0</v>
      </c>
      <c r="AI27" s="59">
        <v>0</v>
      </c>
      <c r="AJ27" s="59">
        <v>0</v>
      </c>
      <c r="AL27" s="15"/>
      <c r="AM27" s="15"/>
      <c r="AN27" s="15"/>
      <c r="AO27" s="15"/>
      <c r="AP27" s="15"/>
    </row>
    <row r="28" spans="1:42" x14ac:dyDescent="0.3">
      <c r="A28" s="1" t="s">
        <v>59</v>
      </c>
      <c r="B28" s="8" t="s">
        <v>0</v>
      </c>
      <c r="C28" s="8"/>
      <c r="D28" s="56">
        <f t="shared" ref="D28:W28" si="9">SUM(D24:D27)</f>
        <v>-3.7300000000000182</v>
      </c>
      <c r="E28" s="56">
        <f t="shared" si="9"/>
        <v>1.9300000000000002</v>
      </c>
      <c r="F28" s="56">
        <f t="shared" si="9"/>
        <v>79.61</v>
      </c>
      <c r="G28" s="56">
        <f t="shared" si="9"/>
        <v>-17.629999999999988</v>
      </c>
      <c r="H28" s="56">
        <f t="shared" si="9"/>
        <v>26.53</v>
      </c>
      <c r="I28" s="56">
        <f t="shared" si="9"/>
        <v>31</v>
      </c>
      <c r="J28" s="56">
        <f t="shared" si="9"/>
        <v>34.670000000000016</v>
      </c>
      <c r="K28" s="56">
        <f t="shared" si="9"/>
        <v>43.539999999999992</v>
      </c>
      <c r="L28" s="56">
        <f t="shared" si="9"/>
        <v>32.629999999999995</v>
      </c>
      <c r="M28" s="56">
        <f t="shared" si="9"/>
        <v>39.680000000000007</v>
      </c>
      <c r="N28" s="56">
        <f t="shared" si="9"/>
        <v>82.550000000000011</v>
      </c>
      <c r="O28" s="56">
        <f t="shared" si="9"/>
        <v>98.249999999999972</v>
      </c>
      <c r="P28" s="56">
        <f t="shared" si="9"/>
        <v>78.400000000000034</v>
      </c>
      <c r="Q28" s="56">
        <f t="shared" si="9"/>
        <v>78.199999999999989</v>
      </c>
      <c r="R28" s="56">
        <f t="shared" si="9"/>
        <v>175.89999999999998</v>
      </c>
      <c r="S28" s="56">
        <f t="shared" si="9"/>
        <v>205</v>
      </c>
      <c r="T28" s="56">
        <f t="shared" si="9"/>
        <v>192.4</v>
      </c>
      <c r="U28" s="56">
        <f t="shared" si="9"/>
        <v>224</v>
      </c>
      <c r="V28" s="56">
        <f t="shared" si="9"/>
        <v>418.79999999999995</v>
      </c>
      <c r="W28" s="56">
        <f t="shared" si="9"/>
        <v>427.70000000000005</v>
      </c>
      <c r="X28" s="56"/>
      <c r="Y28" s="56"/>
      <c r="Z28" s="56"/>
      <c r="AA28" s="56"/>
      <c r="AB28" s="8"/>
      <c r="AC28" s="60">
        <f t="shared" ref="AC28:AJ28" si="10">SUM(AC24:AC27)</f>
        <v>-71.81</v>
      </c>
      <c r="AD28" s="60">
        <f t="shared" si="10"/>
        <v>39.099999999999994</v>
      </c>
      <c r="AE28" s="60">
        <f t="shared" si="10"/>
        <v>133.92999999999995</v>
      </c>
      <c r="AF28" s="60">
        <f t="shared" si="10"/>
        <v>60.179999999999971</v>
      </c>
      <c r="AG28" s="60">
        <f t="shared" si="10"/>
        <v>135.74</v>
      </c>
      <c r="AH28" s="60">
        <f t="shared" si="10"/>
        <v>253.1099999999999</v>
      </c>
      <c r="AI28" s="60">
        <f t="shared" si="10"/>
        <v>537.5</v>
      </c>
      <c r="AJ28" s="60">
        <f t="shared" si="10"/>
        <v>1262.9000000000001</v>
      </c>
      <c r="AL28" s="15"/>
      <c r="AM28" s="15"/>
      <c r="AN28" s="15"/>
      <c r="AO28" s="15"/>
      <c r="AP28" s="15"/>
    </row>
    <row r="29" spans="1:42" x14ac:dyDescent="0.3">
      <c r="AL29" s="15"/>
      <c r="AM29" s="15"/>
      <c r="AN29" s="15"/>
      <c r="AO29" s="15"/>
      <c r="AP29" s="15"/>
    </row>
    <row r="30" spans="1:42" x14ac:dyDescent="0.3">
      <c r="A30" s="1" t="s">
        <v>60</v>
      </c>
      <c r="B30" s="8" t="s">
        <v>0</v>
      </c>
      <c r="C30" s="8"/>
      <c r="D30" s="56">
        <f t="shared" ref="D30:W30" si="11">D21-D28</f>
        <v>35.21999999999889</v>
      </c>
      <c r="E30" s="56">
        <f t="shared" si="11"/>
        <v>11.719999999999636</v>
      </c>
      <c r="F30" s="56">
        <f t="shared" si="11"/>
        <v>290.1500000000002</v>
      </c>
      <c r="G30" s="56">
        <f t="shared" si="11"/>
        <v>75.78999999999985</v>
      </c>
      <c r="H30" s="56">
        <f t="shared" si="11"/>
        <v>56.869999999997816</v>
      </c>
      <c r="I30" s="56">
        <f t="shared" si="11"/>
        <v>56.550000000001091</v>
      </c>
      <c r="J30" s="56">
        <f t="shared" si="11"/>
        <v>92.04000000000093</v>
      </c>
      <c r="K30" s="56">
        <f t="shared" si="11"/>
        <v>42.749999999999062</v>
      </c>
      <c r="L30" s="56">
        <f t="shared" si="11"/>
        <v>64.559999999998695</v>
      </c>
      <c r="M30" s="56">
        <f t="shared" si="11"/>
        <v>92.889999999997883</v>
      </c>
      <c r="N30" s="56">
        <f t="shared" si="11"/>
        <v>182.33999999999941</v>
      </c>
      <c r="O30" s="56">
        <f t="shared" si="11"/>
        <v>97.36999999999901</v>
      </c>
      <c r="P30" s="56">
        <f t="shared" si="11"/>
        <v>142.39999999999924</v>
      </c>
      <c r="Q30" s="56">
        <f t="shared" si="11"/>
        <v>134.40000000000219</v>
      </c>
      <c r="R30" s="56">
        <f t="shared" si="11"/>
        <v>269.69999999999857</v>
      </c>
      <c r="S30" s="56">
        <f t="shared" si="11"/>
        <v>190.5</v>
      </c>
      <c r="T30" s="56">
        <f t="shared" si="11"/>
        <v>244.70000000000218</v>
      </c>
      <c r="U30" s="56">
        <f t="shared" si="11"/>
        <v>329.79999999999711</v>
      </c>
      <c r="V30" s="56">
        <f t="shared" si="11"/>
        <v>677.39999999999577</v>
      </c>
      <c r="W30" s="56">
        <f t="shared" si="11"/>
        <v>787.50000000000068</v>
      </c>
      <c r="X30" s="56"/>
      <c r="Y30" s="56"/>
      <c r="Z30" s="56"/>
      <c r="AA30" s="56"/>
      <c r="AB30" s="8"/>
      <c r="AC30" s="60">
        <f t="shared" ref="AC30:AJ30" si="12">AC21-AC28</f>
        <v>-245.39000000000073</v>
      </c>
      <c r="AD30" s="60">
        <f t="shared" si="12"/>
        <v>-163.4000000000029</v>
      </c>
      <c r="AE30" s="60">
        <f t="shared" si="12"/>
        <v>619.45000000000107</v>
      </c>
      <c r="AF30" s="60">
        <f t="shared" si="12"/>
        <v>412.87999999999772</v>
      </c>
      <c r="AG30" s="60">
        <f t="shared" si="12"/>
        <v>248.21000000000436</v>
      </c>
      <c r="AH30" s="60">
        <f t="shared" si="12"/>
        <v>437.1599999999969</v>
      </c>
      <c r="AI30" s="60">
        <f t="shared" si="12"/>
        <v>737</v>
      </c>
      <c r="AJ30" s="60">
        <f t="shared" si="12"/>
        <v>2039.3999999999883</v>
      </c>
      <c r="AL30" s="15"/>
      <c r="AM30" s="15"/>
      <c r="AN30" s="15"/>
      <c r="AO30" s="15"/>
      <c r="AP30" s="15"/>
    </row>
    <row r="31" spans="1:42" x14ac:dyDescent="0.3">
      <c r="A31" s="7" t="s">
        <v>61</v>
      </c>
      <c r="B31" s="8" t="s">
        <v>0</v>
      </c>
      <c r="C31" s="8" t="s">
        <v>39</v>
      </c>
      <c r="D31" s="59">
        <v>0</v>
      </c>
      <c r="E31" s="59">
        <v>0</v>
      </c>
      <c r="F31" s="59">
        <v>0</v>
      </c>
      <c r="G31" s="59">
        <v>0</v>
      </c>
      <c r="H31" s="59">
        <v>-6.77</v>
      </c>
      <c r="I31" s="59">
        <v>-4.6399999999999997</v>
      </c>
      <c r="J31" s="59">
        <v>-7.19</v>
      </c>
      <c r="K31" s="59">
        <v>-20</v>
      </c>
      <c r="L31" s="59">
        <v>-10.31</v>
      </c>
      <c r="M31" s="59">
        <v>-14.89</v>
      </c>
      <c r="N31" s="59">
        <v>-7.8</v>
      </c>
      <c r="O31" s="59">
        <v>-6.66</v>
      </c>
      <c r="P31" s="59">
        <v>-6</v>
      </c>
      <c r="Q31" s="59">
        <v>-4.7</v>
      </c>
      <c r="R31" s="59">
        <v>-5.6</v>
      </c>
      <c r="S31" s="59">
        <v>0</v>
      </c>
      <c r="T31" s="59">
        <v>0</v>
      </c>
      <c r="U31" s="59">
        <v>0</v>
      </c>
      <c r="V31" s="59">
        <v>0</v>
      </c>
      <c r="W31" s="59">
        <v>0</v>
      </c>
      <c r="X31" s="59"/>
      <c r="Y31" s="59"/>
      <c r="Z31" s="59"/>
      <c r="AA31" s="59"/>
      <c r="AB31" s="8"/>
      <c r="AC31" s="59">
        <v>0</v>
      </c>
      <c r="AD31" s="59">
        <v>0</v>
      </c>
      <c r="AE31" s="59">
        <v>0</v>
      </c>
      <c r="AF31" s="59">
        <v>0</v>
      </c>
      <c r="AG31" s="59">
        <v>-38.6</v>
      </c>
      <c r="AH31" s="59">
        <v>-39.67</v>
      </c>
      <c r="AI31" s="59">
        <v>-16.3</v>
      </c>
      <c r="AJ31" s="59">
        <v>0</v>
      </c>
      <c r="AL31" s="15"/>
      <c r="AM31" s="15"/>
      <c r="AN31" s="15"/>
      <c r="AO31" s="15"/>
      <c r="AP31" s="15"/>
    </row>
    <row r="32" spans="1:42" x14ac:dyDescent="0.3">
      <c r="A32" s="1" t="s">
        <v>62</v>
      </c>
      <c r="B32" s="8" t="s">
        <v>0</v>
      </c>
      <c r="C32" s="8"/>
      <c r="D32" s="56">
        <f t="shared" ref="D32:W32" si="13">D30+D31</f>
        <v>35.21999999999889</v>
      </c>
      <c r="E32" s="56">
        <f t="shared" si="13"/>
        <v>11.719999999999636</v>
      </c>
      <c r="F32" s="56">
        <f t="shared" si="13"/>
        <v>290.1500000000002</v>
      </c>
      <c r="G32" s="56">
        <f t="shared" si="13"/>
        <v>75.78999999999985</v>
      </c>
      <c r="H32" s="56">
        <f t="shared" si="13"/>
        <v>50.09999999999782</v>
      </c>
      <c r="I32" s="56">
        <f t="shared" si="13"/>
        <v>51.910000000001091</v>
      </c>
      <c r="J32" s="56">
        <f t="shared" si="13"/>
        <v>84.850000000000932</v>
      </c>
      <c r="K32" s="56">
        <f t="shared" si="13"/>
        <v>22.749999999999062</v>
      </c>
      <c r="L32" s="56">
        <f t="shared" si="13"/>
        <v>54.249999999998693</v>
      </c>
      <c r="M32" s="56">
        <f t="shared" si="13"/>
        <v>77.999999999997883</v>
      </c>
      <c r="N32" s="56">
        <f t="shared" si="13"/>
        <v>174.5399999999994</v>
      </c>
      <c r="O32" s="56">
        <f t="shared" si="13"/>
        <v>90.709999999999013</v>
      </c>
      <c r="P32" s="56">
        <f t="shared" si="13"/>
        <v>136.39999999999924</v>
      </c>
      <c r="Q32" s="56">
        <f t="shared" si="13"/>
        <v>129.70000000000221</v>
      </c>
      <c r="R32" s="56">
        <f t="shared" si="13"/>
        <v>264.09999999999854</v>
      </c>
      <c r="S32" s="56">
        <f t="shared" si="13"/>
        <v>190.5</v>
      </c>
      <c r="T32" s="56">
        <f t="shared" si="13"/>
        <v>244.70000000000218</v>
      </c>
      <c r="U32" s="56">
        <f t="shared" si="13"/>
        <v>329.79999999999711</v>
      </c>
      <c r="V32" s="56">
        <f t="shared" si="13"/>
        <v>677.39999999999577</v>
      </c>
      <c r="W32" s="56">
        <f t="shared" si="13"/>
        <v>787.50000000000068</v>
      </c>
      <c r="X32" s="56"/>
      <c r="Y32" s="56"/>
      <c r="Z32" s="56"/>
      <c r="AA32" s="56"/>
      <c r="AB32" s="8"/>
      <c r="AC32" s="60">
        <f t="shared" ref="AC32:AJ32" si="14">AC30+AC31</f>
        <v>-245.39000000000073</v>
      </c>
      <c r="AD32" s="60">
        <f t="shared" si="14"/>
        <v>-163.4000000000029</v>
      </c>
      <c r="AE32" s="60">
        <f t="shared" si="14"/>
        <v>619.45000000000107</v>
      </c>
      <c r="AF32" s="60">
        <f t="shared" si="14"/>
        <v>412.87999999999772</v>
      </c>
      <c r="AG32" s="60">
        <f t="shared" si="14"/>
        <v>209.61000000000436</v>
      </c>
      <c r="AH32" s="60">
        <f t="shared" si="14"/>
        <v>397.48999999999688</v>
      </c>
      <c r="AI32" s="60">
        <f t="shared" si="14"/>
        <v>720.7</v>
      </c>
      <c r="AJ32" s="60">
        <f t="shared" si="14"/>
        <v>2039.3999999999883</v>
      </c>
      <c r="AL32" s="15"/>
      <c r="AM32" s="15"/>
      <c r="AN32" s="15"/>
      <c r="AO32" s="15"/>
      <c r="AP32" s="15"/>
    </row>
    <row r="33" spans="1:42" x14ac:dyDescent="0.3">
      <c r="AL33" s="15"/>
      <c r="AM33" s="15"/>
      <c r="AN33" s="15"/>
      <c r="AO33" s="15"/>
      <c r="AP33" s="15"/>
    </row>
    <row r="34" spans="1:42" x14ac:dyDescent="0.3">
      <c r="A34" s="3" t="s">
        <v>63</v>
      </c>
      <c r="AL34" s="15"/>
      <c r="AM34" s="15"/>
      <c r="AN34" s="15"/>
      <c r="AO34" s="15"/>
      <c r="AP34" s="15"/>
    </row>
    <row r="35" spans="1:42" x14ac:dyDescent="0.3">
      <c r="A35" s="10" t="s">
        <v>64</v>
      </c>
      <c r="B35" s="8" t="s">
        <v>0</v>
      </c>
      <c r="C35" s="8" t="s">
        <v>39</v>
      </c>
      <c r="D35" s="59">
        <v>34.15</v>
      </c>
      <c r="E35" s="59">
        <v>11.7</v>
      </c>
      <c r="F35" s="59">
        <v>279.3</v>
      </c>
      <c r="G35" s="59">
        <v>85.6</v>
      </c>
      <c r="H35" s="59">
        <v>45.5</v>
      </c>
      <c r="I35" s="59">
        <v>41.08</v>
      </c>
      <c r="J35" s="59">
        <v>81.93</v>
      </c>
      <c r="K35" s="59">
        <v>24.11</v>
      </c>
      <c r="L35" s="59">
        <v>33.03</v>
      </c>
      <c r="M35" s="59">
        <v>58.46</v>
      </c>
      <c r="N35" s="59">
        <v>161.86000000000001</v>
      </c>
      <c r="O35" s="59">
        <v>69.31</v>
      </c>
      <c r="P35" s="59">
        <v>96.4</v>
      </c>
      <c r="Q35" s="59">
        <v>100.4</v>
      </c>
      <c r="R35" s="59">
        <v>261.2</v>
      </c>
      <c r="S35" s="59">
        <v>202.8</v>
      </c>
      <c r="T35" s="59">
        <v>233.2</v>
      </c>
      <c r="U35" s="59">
        <v>344.3</v>
      </c>
      <c r="V35" s="59">
        <v>633.1</v>
      </c>
      <c r="W35" s="59">
        <v>783.8</v>
      </c>
      <c r="X35" s="59"/>
      <c r="Y35" s="59"/>
      <c r="Z35" s="59"/>
      <c r="AA35" s="59"/>
      <c r="AB35" s="8"/>
      <c r="AC35" s="59">
        <v>-245.18</v>
      </c>
      <c r="AD35" s="59">
        <v>-166.09</v>
      </c>
      <c r="AE35" s="59">
        <v>618.48</v>
      </c>
      <c r="AF35" s="59">
        <v>410.75</v>
      </c>
      <c r="AG35" s="59">
        <v>192.62</v>
      </c>
      <c r="AH35" s="59">
        <v>322.64999999999998</v>
      </c>
      <c r="AI35" s="59">
        <v>660.8</v>
      </c>
      <c r="AJ35" s="59">
        <v>1994.4</v>
      </c>
      <c r="AL35" s="15"/>
      <c r="AM35" s="15"/>
      <c r="AN35" s="15"/>
      <c r="AO35" s="15"/>
      <c r="AP35" s="15"/>
    </row>
    <row r="36" spans="1:42" x14ac:dyDescent="0.3">
      <c r="A36" s="10" t="s">
        <v>65</v>
      </c>
      <c r="B36" s="8" t="s">
        <v>0</v>
      </c>
      <c r="C36" s="8" t="s">
        <v>39</v>
      </c>
      <c r="D36" s="59">
        <v>1.07</v>
      </c>
      <c r="E36" s="59">
        <v>0.02</v>
      </c>
      <c r="F36" s="59">
        <v>10.85</v>
      </c>
      <c r="G36" s="59">
        <v>-9.81</v>
      </c>
      <c r="H36" s="59">
        <v>4.5999999999999996</v>
      </c>
      <c r="I36" s="59">
        <v>10.83</v>
      </c>
      <c r="J36" s="59">
        <v>2.92</v>
      </c>
      <c r="K36" s="59">
        <v>-1.36</v>
      </c>
      <c r="L36" s="59">
        <v>21.22</v>
      </c>
      <c r="M36" s="59">
        <v>19.54</v>
      </c>
      <c r="N36" s="59">
        <v>12.68</v>
      </c>
      <c r="O36" s="59">
        <v>21.4</v>
      </c>
      <c r="P36" s="59">
        <v>40</v>
      </c>
      <c r="Q36" s="59">
        <v>29.3</v>
      </c>
      <c r="R36" s="59">
        <v>2.9</v>
      </c>
      <c r="S36" s="59">
        <v>-12.3</v>
      </c>
      <c r="T36" s="59">
        <v>11.5</v>
      </c>
      <c r="U36" s="59">
        <v>-14.5</v>
      </c>
      <c r="V36" s="59">
        <v>44.3</v>
      </c>
      <c r="W36" s="59">
        <v>3.7</v>
      </c>
      <c r="X36" s="59"/>
      <c r="Y36" s="59"/>
      <c r="Z36" s="59"/>
      <c r="AA36" s="59"/>
      <c r="AB36" s="8"/>
      <c r="AC36" s="59">
        <v>-0.21</v>
      </c>
      <c r="AD36" s="59">
        <v>2.69</v>
      </c>
      <c r="AE36" s="59">
        <v>0.97</v>
      </c>
      <c r="AF36" s="59">
        <v>2.13</v>
      </c>
      <c r="AG36" s="59">
        <v>16.989999999999998</v>
      </c>
      <c r="AH36" s="59">
        <v>74.84</v>
      </c>
      <c r="AI36" s="59">
        <v>59.9</v>
      </c>
      <c r="AJ36" s="59">
        <v>45</v>
      </c>
      <c r="AL36" s="15"/>
      <c r="AM36" s="15"/>
      <c r="AN36" s="15"/>
      <c r="AO36" s="15"/>
      <c r="AP36" s="15"/>
    </row>
    <row r="37" spans="1:42" x14ac:dyDescent="0.3">
      <c r="AL37" s="15"/>
      <c r="AM37" s="15"/>
      <c r="AN37" s="15"/>
      <c r="AO37" s="15"/>
      <c r="AP37" s="15"/>
    </row>
    <row r="38" spans="1:42" x14ac:dyDescent="0.3">
      <c r="A38" s="7" t="s">
        <v>66</v>
      </c>
      <c r="B38" s="8" t="s">
        <v>0</v>
      </c>
      <c r="C38" s="8" t="s">
        <v>39</v>
      </c>
      <c r="D38" s="61"/>
      <c r="E38" s="61"/>
      <c r="F38" s="61"/>
      <c r="G38" s="61"/>
      <c r="H38" s="61"/>
      <c r="I38" s="61"/>
      <c r="J38" s="61"/>
      <c r="K38" s="61"/>
      <c r="L38" s="61"/>
      <c r="M38" s="61"/>
      <c r="N38" s="61"/>
      <c r="O38" s="61"/>
      <c r="P38" s="59">
        <v>0</v>
      </c>
      <c r="Q38" s="59">
        <v>-20.2</v>
      </c>
      <c r="R38" s="59">
        <v>-1.3</v>
      </c>
      <c r="S38" s="59">
        <v>-21.6</v>
      </c>
      <c r="T38" s="59">
        <v>1.2</v>
      </c>
      <c r="U38" s="59">
        <v>22.5</v>
      </c>
      <c r="V38" s="59">
        <v>4.8</v>
      </c>
      <c r="W38" s="59">
        <v>23.5</v>
      </c>
      <c r="X38" s="59"/>
      <c r="Y38" s="59"/>
      <c r="Z38" s="59"/>
      <c r="AA38" s="59"/>
      <c r="AB38" s="8"/>
      <c r="AC38" s="59">
        <v>2.5099999999999998</v>
      </c>
      <c r="AD38" s="59">
        <v>1.0900000000000001</v>
      </c>
      <c r="AE38" s="59">
        <v>-21.8</v>
      </c>
      <c r="AF38" s="59">
        <v>5.56</v>
      </c>
      <c r="AG38" s="59">
        <v>1.57</v>
      </c>
      <c r="AH38" s="59">
        <v>4.43</v>
      </c>
      <c r="AI38" s="59">
        <v>-43.1</v>
      </c>
      <c r="AJ38" s="59">
        <v>52</v>
      </c>
      <c r="AL38" s="16">
        <f>SUM(D38:G38)-AF38</f>
        <v>-5.56</v>
      </c>
      <c r="AM38" s="16">
        <f>SUM(H38:K38)-AG38</f>
        <v>-1.57</v>
      </c>
      <c r="AN38" s="16">
        <f>SUM(L38:O38)-AH38</f>
        <v>-4.43</v>
      </c>
      <c r="AO38" s="15"/>
      <c r="AP38" s="15"/>
    </row>
    <row r="39" spans="1:42" x14ac:dyDescent="0.3">
      <c r="A39" s="1" t="s">
        <v>67</v>
      </c>
      <c r="B39" s="8" t="s">
        <v>0</v>
      </c>
      <c r="C39" s="8"/>
      <c r="D39" s="60">
        <f t="shared" ref="D39:W39" si="15">D32+D38</f>
        <v>35.21999999999889</v>
      </c>
      <c r="E39" s="60">
        <f t="shared" si="15"/>
        <v>11.719999999999636</v>
      </c>
      <c r="F39" s="60">
        <f t="shared" si="15"/>
        <v>290.1500000000002</v>
      </c>
      <c r="G39" s="60">
        <f t="shared" si="15"/>
        <v>75.78999999999985</v>
      </c>
      <c r="H39" s="60">
        <f t="shared" si="15"/>
        <v>50.09999999999782</v>
      </c>
      <c r="I39" s="60">
        <f t="shared" si="15"/>
        <v>51.910000000001091</v>
      </c>
      <c r="J39" s="60">
        <f t="shared" si="15"/>
        <v>84.850000000000932</v>
      </c>
      <c r="K39" s="60">
        <f t="shared" si="15"/>
        <v>22.749999999999062</v>
      </c>
      <c r="L39" s="60">
        <f t="shared" si="15"/>
        <v>54.249999999998693</v>
      </c>
      <c r="M39" s="60">
        <f t="shared" si="15"/>
        <v>77.999999999997883</v>
      </c>
      <c r="N39" s="60">
        <f t="shared" si="15"/>
        <v>174.5399999999994</v>
      </c>
      <c r="O39" s="60">
        <f t="shared" si="15"/>
        <v>90.709999999999013</v>
      </c>
      <c r="P39" s="60">
        <f t="shared" si="15"/>
        <v>136.39999999999924</v>
      </c>
      <c r="Q39" s="60">
        <f t="shared" si="15"/>
        <v>109.5000000000022</v>
      </c>
      <c r="R39" s="60">
        <f t="shared" si="15"/>
        <v>262.79999999999853</v>
      </c>
      <c r="S39" s="60">
        <f t="shared" si="15"/>
        <v>168.9</v>
      </c>
      <c r="T39" s="60">
        <f t="shared" si="15"/>
        <v>245.90000000000217</v>
      </c>
      <c r="U39" s="60">
        <f t="shared" si="15"/>
        <v>352.29999999999711</v>
      </c>
      <c r="V39" s="60">
        <f t="shared" si="15"/>
        <v>682.19999999999573</v>
      </c>
      <c r="W39" s="60">
        <f t="shared" si="15"/>
        <v>811.00000000000068</v>
      </c>
      <c r="X39" s="60"/>
      <c r="Y39" s="60"/>
      <c r="Z39" s="60"/>
      <c r="AA39" s="60"/>
      <c r="AB39" s="8"/>
      <c r="AC39" s="60">
        <f t="shared" ref="AC39:AJ39" si="16">AC32+AC38</f>
        <v>-242.88000000000073</v>
      </c>
      <c r="AD39" s="60">
        <f t="shared" si="16"/>
        <v>-162.3100000000029</v>
      </c>
      <c r="AE39" s="60">
        <f t="shared" si="16"/>
        <v>597.65000000000111</v>
      </c>
      <c r="AF39" s="60">
        <f t="shared" si="16"/>
        <v>418.43999999999772</v>
      </c>
      <c r="AG39" s="60">
        <f t="shared" si="16"/>
        <v>211.18000000000436</v>
      </c>
      <c r="AH39" s="60">
        <f t="shared" si="16"/>
        <v>401.91999999999689</v>
      </c>
      <c r="AI39" s="60">
        <f t="shared" si="16"/>
        <v>677.6</v>
      </c>
      <c r="AJ39" s="60">
        <f t="shared" si="16"/>
        <v>2091.3999999999883</v>
      </c>
      <c r="AL39" s="16">
        <f>SUM(D39:G39)-AF39</f>
        <v>-5.5599999999991496</v>
      </c>
      <c r="AM39" s="16">
        <f>SUM(H39:K39)-AG39</f>
        <v>-1.5700000000054501</v>
      </c>
      <c r="AN39" s="16">
        <f>SUM(L39:O39)-AH39</f>
        <v>-4.4200000000018917</v>
      </c>
      <c r="AO39" s="15"/>
      <c r="AP39" s="15"/>
    </row>
    <row r="40" spans="1:42" x14ac:dyDescent="0.3">
      <c r="AL40" s="15"/>
      <c r="AM40" s="15"/>
      <c r="AN40" s="15"/>
      <c r="AO40" s="15"/>
      <c r="AP40" s="15"/>
    </row>
    <row r="41" spans="1:42" x14ac:dyDescent="0.3">
      <c r="A41" s="7" t="s">
        <v>68</v>
      </c>
      <c r="B41" s="8" t="s">
        <v>69</v>
      </c>
      <c r="C41" s="8" t="s">
        <v>39</v>
      </c>
      <c r="D41" s="11">
        <v>0.08</v>
      </c>
      <c r="E41" s="11">
        <v>0.03</v>
      </c>
      <c r="F41" s="11">
        <v>0.6</v>
      </c>
      <c r="G41" s="11">
        <v>0.18</v>
      </c>
      <c r="H41" s="11">
        <v>0</v>
      </c>
      <c r="I41" s="11">
        <v>0.01</v>
      </c>
      <c r="J41" s="11">
        <v>0.03</v>
      </c>
      <c r="K41" s="11">
        <v>0.01</v>
      </c>
      <c r="L41" s="11">
        <v>0.02</v>
      </c>
      <c r="M41" s="11">
        <v>0.02</v>
      </c>
      <c r="N41" s="11">
        <v>0.06</v>
      </c>
      <c r="O41" s="11">
        <v>0.02</v>
      </c>
      <c r="P41" s="11">
        <v>0.03</v>
      </c>
      <c r="Q41" s="11">
        <v>0.04</v>
      </c>
      <c r="R41" s="11">
        <v>0.09</v>
      </c>
      <c r="S41" s="11">
        <v>7.0000000000000007E-2</v>
      </c>
      <c r="T41" s="11">
        <v>0.08</v>
      </c>
      <c r="U41" s="11">
        <v>0.12</v>
      </c>
      <c r="V41" s="11">
        <v>0.22</v>
      </c>
      <c r="W41" s="11">
        <v>0.27</v>
      </c>
      <c r="X41" s="11"/>
      <c r="Y41" s="11"/>
      <c r="Z41" s="11"/>
      <c r="AA41" s="11"/>
      <c r="AB41" s="8"/>
      <c r="AC41" s="11">
        <v>-17.7</v>
      </c>
      <c r="AD41" s="11">
        <v>-11.63</v>
      </c>
      <c r="AE41" s="11">
        <v>41.66</v>
      </c>
      <c r="AF41" s="11">
        <v>0.88</v>
      </c>
      <c r="AG41" s="11">
        <v>7.0000000000000007E-2</v>
      </c>
      <c r="AH41" s="11">
        <v>0.11</v>
      </c>
      <c r="AI41" s="11">
        <v>0.23</v>
      </c>
      <c r="AJ41" s="11">
        <v>0.7</v>
      </c>
      <c r="AL41" s="15"/>
      <c r="AM41" s="15"/>
      <c r="AN41" s="15"/>
      <c r="AO41" s="15"/>
      <c r="AP41" s="15"/>
    </row>
    <row r="42" spans="1:42" x14ac:dyDescent="0.3">
      <c r="A42" s="7" t="s">
        <v>70</v>
      </c>
      <c r="B42" s="8" t="s">
        <v>69</v>
      </c>
      <c r="C42" s="8" t="s">
        <v>39</v>
      </c>
      <c r="D42" s="11">
        <v>7.0000000000000007E-2</v>
      </c>
      <c r="E42" s="11">
        <v>0.03</v>
      </c>
      <c r="F42" s="11">
        <v>0.6</v>
      </c>
      <c r="G42" s="11">
        <v>0.18</v>
      </c>
      <c r="H42" s="11">
        <v>0</v>
      </c>
      <c r="I42" s="11">
        <v>0.01</v>
      </c>
      <c r="J42" s="11">
        <v>0.03</v>
      </c>
      <c r="K42" s="11">
        <v>0.01</v>
      </c>
      <c r="L42" s="11">
        <v>0.02</v>
      </c>
      <c r="M42" s="11">
        <v>0.02</v>
      </c>
      <c r="N42" s="11">
        <v>0.06</v>
      </c>
      <c r="O42" s="11">
        <v>0.02</v>
      </c>
      <c r="P42" s="11">
        <v>0.03</v>
      </c>
      <c r="Q42" s="11">
        <v>0.04</v>
      </c>
      <c r="R42" s="11">
        <v>0.09</v>
      </c>
      <c r="S42" s="11">
        <v>7.0000000000000007E-2</v>
      </c>
      <c r="T42" s="11">
        <v>0.08</v>
      </c>
      <c r="U42" s="11">
        <v>0.12</v>
      </c>
      <c r="V42" s="11">
        <v>0.22</v>
      </c>
      <c r="W42" s="11">
        <v>0.27</v>
      </c>
      <c r="X42" s="11"/>
      <c r="Y42" s="11"/>
      <c r="Z42" s="11"/>
      <c r="AA42" s="11"/>
      <c r="AB42" s="8"/>
      <c r="AC42" s="11">
        <v>-17.7</v>
      </c>
      <c r="AD42" s="11">
        <v>-11.63</v>
      </c>
      <c r="AE42" s="11">
        <v>40.07</v>
      </c>
      <c r="AF42" s="11">
        <v>0.87</v>
      </c>
      <c r="AG42" s="11">
        <v>7.0000000000000007E-2</v>
      </c>
      <c r="AH42" s="11">
        <v>0.11</v>
      </c>
      <c r="AI42" s="11">
        <v>0.23</v>
      </c>
      <c r="AJ42" s="11">
        <v>0.7</v>
      </c>
      <c r="AL42" s="15"/>
      <c r="AM42" s="15"/>
      <c r="AN42" s="15"/>
      <c r="AO42" s="15"/>
      <c r="AP42" s="15"/>
    </row>
    <row r="43" spans="1:42" x14ac:dyDescent="0.3">
      <c r="A43" s="8" t="s">
        <v>71</v>
      </c>
    </row>
    <row r="46" spans="1:42" x14ac:dyDescent="0.3">
      <c r="A46" s="5" t="s">
        <v>72</v>
      </c>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row>
    <row r="47" spans="1:42" x14ac:dyDescent="0.3">
      <c r="A47" s="9" t="s">
        <v>73</v>
      </c>
    </row>
    <row r="48" spans="1:42" x14ac:dyDescent="0.3">
      <c r="A48" s="9" t="s">
        <v>74</v>
      </c>
    </row>
    <row r="49" spans="1:36" x14ac:dyDescent="0.3">
      <c r="A49" s="10" t="s">
        <v>75</v>
      </c>
      <c r="B49" s="8" t="s">
        <v>0</v>
      </c>
      <c r="C49" s="8" t="s">
        <v>39</v>
      </c>
      <c r="D49" s="62"/>
      <c r="E49" s="61"/>
      <c r="F49" s="62"/>
      <c r="G49" s="59">
        <v>1244.42</v>
      </c>
      <c r="H49" s="62"/>
      <c r="I49" s="59">
        <v>1713.47</v>
      </c>
      <c r="J49" s="62"/>
      <c r="K49" s="59">
        <v>2313.46</v>
      </c>
      <c r="L49" s="62"/>
      <c r="M49" s="59">
        <v>2315.23</v>
      </c>
      <c r="N49" s="62"/>
      <c r="O49" s="59">
        <v>2357.7199999999998</v>
      </c>
      <c r="P49" s="62"/>
      <c r="Q49" s="59">
        <v>2351.5</v>
      </c>
      <c r="R49" s="62"/>
      <c r="S49" s="59">
        <v>2717.2</v>
      </c>
      <c r="T49" s="62"/>
      <c r="U49" s="59">
        <v>2712.6</v>
      </c>
      <c r="V49" s="62"/>
      <c r="W49" s="59">
        <v>2999.7</v>
      </c>
      <c r="X49" s="59"/>
      <c r="Y49" s="59"/>
      <c r="Z49" s="59"/>
      <c r="AA49" s="59"/>
      <c r="AB49" s="8"/>
      <c r="AC49" s="59">
        <v>429.05</v>
      </c>
      <c r="AD49" s="59">
        <v>701.49</v>
      </c>
      <c r="AE49" s="59">
        <v>686.52</v>
      </c>
      <c r="AF49" s="59">
        <v>1244.42</v>
      </c>
      <c r="AG49" s="59">
        <v>2313.46</v>
      </c>
      <c r="AH49" s="59">
        <v>2357.7199999999998</v>
      </c>
      <c r="AI49" s="59">
        <v>2717.2</v>
      </c>
      <c r="AJ49" s="59">
        <v>2999.7</v>
      </c>
    </row>
    <row r="50" spans="1:36" x14ac:dyDescent="0.3">
      <c r="A50" s="10" t="s">
        <v>76</v>
      </c>
      <c r="B50" s="8" t="s">
        <v>0</v>
      </c>
      <c r="C50" s="8" t="s">
        <v>39</v>
      </c>
      <c r="D50" s="62"/>
      <c r="E50" s="61"/>
      <c r="F50" s="62"/>
      <c r="G50" s="59">
        <v>97.64</v>
      </c>
      <c r="H50" s="62"/>
      <c r="I50" s="59">
        <v>108.64</v>
      </c>
      <c r="J50" s="62"/>
      <c r="K50" s="59">
        <v>20.22</v>
      </c>
      <c r="L50" s="62"/>
      <c r="M50" s="59">
        <v>8.52</v>
      </c>
      <c r="N50" s="62"/>
      <c r="O50" s="59">
        <v>60.77</v>
      </c>
      <c r="P50" s="62"/>
      <c r="Q50" s="59">
        <v>20.6</v>
      </c>
      <c r="R50" s="62"/>
      <c r="S50" s="59">
        <v>31.7</v>
      </c>
      <c r="T50" s="62"/>
      <c r="U50" s="59">
        <v>46.9</v>
      </c>
      <c r="V50" s="62"/>
      <c r="W50" s="59">
        <v>92.5</v>
      </c>
      <c r="X50" s="59"/>
      <c r="Y50" s="59"/>
      <c r="Z50" s="59"/>
      <c r="AA50" s="59"/>
      <c r="AB50" s="8"/>
      <c r="AC50" s="59">
        <v>3.2</v>
      </c>
      <c r="AD50" s="59">
        <v>7.78</v>
      </c>
      <c r="AE50" s="59">
        <v>19.690000000000001</v>
      </c>
      <c r="AF50" s="59">
        <v>97.64</v>
      </c>
      <c r="AG50" s="59">
        <v>20.22</v>
      </c>
      <c r="AH50" s="59">
        <v>60.77</v>
      </c>
      <c r="AI50" s="59">
        <v>31.7</v>
      </c>
      <c r="AJ50" s="59">
        <v>92.5</v>
      </c>
    </row>
    <row r="51" spans="1:36" x14ac:dyDescent="0.3">
      <c r="A51" s="10" t="s">
        <v>77</v>
      </c>
      <c r="B51" s="8" t="s">
        <v>0</v>
      </c>
      <c r="C51" s="8" t="s">
        <v>39</v>
      </c>
      <c r="D51" s="62"/>
      <c r="E51" s="61"/>
      <c r="F51" s="62"/>
      <c r="G51" s="59">
        <v>474.78</v>
      </c>
      <c r="H51" s="62"/>
      <c r="I51" s="59">
        <v>789.04</v>
      </c>
      <c r="J51" s="62"/>
      <c r="K51" s="59">
        <v>610.65</v>
      </c>
      <c r="L51" s="62"/>
      <c r="M51" s="59">
        <v>610.65</v>
      </c>
      <c r="N51" s="62"/>
      <c r="O51" s="59">
        <v>610.65</v>
      </c>
      <c r="P51" s="62"/>
      <c r="Q51" s="59">
        <v>610.70000000000005</v>
      </c>
      <c r="R51" s="62"/>
      <c r="S51" s="59">
        <v>975</v>
      </c>
      <c r="T51" s="62"/>
      <c r="U51" s="59">
        <v>975.1</v>
      </c>
      <c r="V51" s="62"/>
      <c r="W51" s="59">
        <v>975</v>
      </c>
      <c r="X51" s="59"/>
      <c r="Y51" s="59"/>
      <c r="Z51" s="59"/>
      <c r="AA51" s="59"/>
      <c r="AB51" s="8"/>
      <c r="AC51" s="59">
        <v>1.43</v>
      </c>
      <c r="AD51" s="59">
        <v>1.43</v>
      </c>
      <c r="AE51" s="59">
        <v>5.43</v>
      </c>
      <c r="AF51" s="59">
        <v>474.78</v>
      </c>
      <c r="AG51" s="59">
        <v>610.65</v>
      </c>
      <c r="AH51" s="59">
        <v>610.65</v>
      </c>
      <c r="AI51" s="59">
        <v>975</v>
      </c>
      <c r="AJ51" s="59">
        <v>975</v>
      </c>
    </row>
    <row r="52" spans="1:36" x14ac:dyDescent="0.3">
      <c r="A52" s="10" t="s">
        <v>78</v>
      </c>
      <c r="B52" s="8" t="s">
        <v>0</v>
      </c>
      <c r="C52" s="8" t="s">
        <v>39</v>
      </c>
      <c r="D52" s="62"/>
      <c r="E52" s="61"/>
      <c r="F52" s="62"/>
      <c r="G52" s="59">
        <v>640.04999999999995</v>
      </c>
      <c r="H52" s="62"/>
      <c r="I52" s="59">
        <v>664.77</v>
      </c>
      <c r="J52" s="62"/>
      <c r="K52" s="59">
        <v>944.85</v>
      </c>
      <c r="L52" s="62"/>
      <c r="M52" s="59">
        <v>1009.09</v>
      </c>
      <c r="N52" s="62"/>
      <c r="O52" s="59">
        <v>1104.67</v>
      </c>
      <c r="P52" s="62"/>
      <c r="Q52" s="59">
        <v>1063.9000000000001</v>
      </c>
      <c r="R52" s="62"/>
      <c r="S52" s="59">
        <v>1357.4</v>
      </c>
      <c r="T52" s="62"/>
      <c r="U52" s="59">
        <v>1244.3</v>
      </c>
      <c r="V52" s="62"/>
      <c r="W52" s="59">
        <v>1490.1</v>
      </c>
      <c r="X52" s="59"/>
      <c r="Y52" s="59"/>
      <c r="Z52" s="59"/>
      <c r="AA52" s="59"/>
      <c r="AB52" s="8"/>
      <c r="AC52" s="59">
        <v>106.03</v>
      </c>
      <c r="AD52" s="59">
        <v>127.45</v>
      </c>
      <c r="AE52" s="59">
        <v>230.34</v>
      </c>
      <c r="AF52" s="59">
        <v>640.04999999999995</v>
      </c>
      <c r="AG52" s="59">
        <v>944.85</v>
      </c>
      <c r="AH52" s="59">
        <v>1104.67</v>
      </c>
      <c r="AI52" s="59">
        <v>1357.4</v>
      </c>
      <c r="AJ52" s="59">
        <v>1490.1</v>
      </c>
    </row>
    <row r="53" spans="1:36" x14ac:dyDescent="0.3">
      <c r="A53" s="10" t="s">
        <v>79</v>
      </c>
      <c r="B53" s="8" t="s">
        <v>0</v>
      </c>
      <c r="C53" s="8" t="s">
        <v>39</v>
      </c>
      <c r="D53" s="62"/>
      <c r="E53" s="61"/>
      <c r="F53" s="62"/>
      <c r="G53" s="59">
        <v>2473.2600000000002</v>
      </c>
      <c r="H53" s="62"/>
      <c r="I53" s="59">
        <v>4069.36</v>
      </c>
      <c r="J53" s="62"/>
      <c r="K53" s="59">
        <v>3119.21</v>
      </c>
      <c r="L53" s="62"/>
      <c r="M53" s="59">
        <v>2768.35</v>
      </c>
      <c r="N53" s="62"/>
      <c r="O53" s="59">
        <v>2608.54</v>
      </c>
      <c r="P53" s="62"/>
      <c r="Q53" s="59">
        <v>2786.2</v>
      </c>
      <c r="R53" s="62"/>
      <c r="S53" s="59">
        <v>3298.6</v>
      </c>
      <c r="T53" s="62"/>
      <c r="U53" s="59">
        <v>3865.4</v>
      </c>
      <c r="V53" s="62"/>
      <c r="W53" s="59">
        <v>4614.7</v>
      </c>
      <c r="X53" s="59"/>
      <c r="Y53" s="59"/>
      <c r="Z53" s="59"/>
      <c r="AA53" s="59"/>
      <c r="AB53" s="8"/>
      <c r="AC53" s="59">
        <v>859.31</v>
      </c>
      <c r="AD53" s="59">
        <v>1439.94</v>
      </c>
      <c r="AE53" s="59">
        <v>1389.34</v>
      </c>
      <c r="AF53" s="59">
        <v>2473.2600000000002</v>
      </c>
      <c r="AG53" s="59">
        <v>3119.21</v>
      </c>
      <c r="AH53" s="59">
        <v>2608.54</v>
      </c>
      <c r="AI53" s="59">
        <v>3298.6</v>
      </c>
      <c r="AJ53" s="59">
        <v>4614.7</v>
      </c>
    </row>
    <row r="54" spans="1:36" x14ac:dyDescent="0.3">
      <c r="A54" s="10" t="s">
        <v>80</v>
      </c>
      <c r="B54" s="8" t="s">
        <v>0</v>
      </c>
      <c r="C54" s="8" t="s">
        <v>39</v>
      </c>
      <c r="D54" s="62"/>
      <c r="E54" s="61"/>
      <c r="F54" s="62"/>
      <c r="G54" s="59">
        <v>147.31</v>
      </c>
      <c r="H54" s="62"/>
      <c r="I54" s="59">
        <v>246.38</v>
      </c>
      <c r="J54" s="62"/>
      <c r="K54" s="59">
        <v>288.56</v>
      </c>
      <c r="L54" s="62"/>
      <c r="M54" s="59">
        <v>254.59</v>
      </c>
      <c r="N54" s="62"/>
      <c r="O54" s="59">
        <v>236.99</v>
      </c>
      <c r="P54" s="62"/>
      <c r="Q54" s="59">
        <v>328.7</v>
      </c>
      <c r="R54" s="62"/>
      <c r="S54" s="59">
        <v>335.7</v>
      </c>
      <c r="T54" s="62"/>
      <c r="U54" s="59">
        <v>402.2</v>
      </c>
      <c r="V54" s="62"/>
      <c r="W54" s="59">
        <v>0</v>
      </c>
      <c r="X54" s="59"/>
      <c r="Y54" s="59"/>
      <c r="Z54" s="59"/>
      <c r="AA54" s="59"/>
      <c r="AB54" s="8"/>
      <c r="AC54" s="59">
        <v>0</v>
      </c>
      <c r="AD54" s="59">
        <v>12.45</v>
      </c>
      <c r="AE54" s="59">
        <v>3.88</v>
      </c>
      <c r="AF54" s="59">
        <v>147.31</v>
      </c>
      <c r="AG54" s="59">
        <v>288.56</v>
      </c>
      <c r="AH54" s="59">
        <v>236.99</v>
      </c>
      <c r="AI54" s="59">
        <v>335.7</v>
      </c>
      <c r="AJ54" s="59">
        <v>0</v>
      </c>
    </row>
    <row r="55" spans="1:36" x14ac:dyDescent="0.3">
      <c r="A55" s="10" t="s">
        <v>81</v>
      </c>
      <c r="B55" s="8" t="s">
        <v>0</v>
      </c>
      <c r="C55" s="8" t="s">
        <v>39</v>
      </c>
      <c r="D55" s="62"/>
      <c r="E55" s="61"/>
      <c r="F55" s="62"/>
      <c r="G55" s="59">
        <v>0</v>
      </c>
      <c r="H55" s="62"/>
      <c r="I55" s="59">
        <v>0</v>
      </c>
      <c r="J55" s="62"/>
      <c r="K55" s="59">
        <v>0</v>
      </c>
      <c r="L55" s="62"/>
      <c r="M55" s="59">
        <v>0</v>
      </c>
      <c r="N55" s="62"/>
      <c r="O55" s="59">
        <v>338.23</v>
      </c>
      <c r="P55" s="62"/>
      <c r="Q55" s="59">
        <v>327.60000000000002</v>
      </c>
      <c r="R55" s="62"/>
      <c r="S55" s="59">
        <v>0</v>
      </c>
      <c r="T55" s="62"/>
      <c r="U55" s="59">
        <v>0</v>
      </c>
      <c r="V55" s="62"/>
      <c r="W55" s="59">
        <v>0</v>
      </c>
      <c r="X55" s="59"/>
      <c r="Y55" s="59"/>
      <c r="Z55" s="59"/>
      <c r="AA55" s="59"/>
      <c r="AB55" s="8"/>
      <c r="AC55" s="59">
        <v>0</v>
      </c>
      <c r="AD55" s="59">
        <v>0</v>
      </c>
      <c r="AE55" s="59">
        <v>0</v>
      </c>
      <c r="AF55" s="59">
        <v>0</v>
      </c>
      <c r="AG55" s="59">
        <v>0</v>
      </c>
      <c r="AH55" s="59">
        <v>338.23</v>
      </c>
      <c r="AI55" s="59">
        <v>0</v>
      </c>
      <c r="AJ55" s="59">
        <v>0</v>
      </c>
    </row>
    <row r="56" spans="1:36" x14ac:dyDescent="0.3">
      <c r="A56" s="10" t="s">
        <v>82</v>
      </c>
      <c r="B56" s="8" t="s">
        <v>0</v>
      </c>
      <c r="C56" s="8" t="s">
        <v>39</v>
      </c>
      <c r="D56" s="62"/>
      <c r="E56" s="61"/>
      <c r="F56" s="62"/>
      <c r="G56" s="59">
        <v>0</v>
      </c>
      <c r="H56" s="62"/>
      <c r="I56" s="59">
        <v>405.08</v>
      </c>
      <c r="J56" s="62"/>
      <c r="K56" s="59">
        <v>381.2</v>
      </c>
      <c r="L56" s="62"/>
      <c r="M56" s="59">
        <v>356</v>
      </c>
      <c r="N56" s="62"/>
      <c r="O56" s="59">
        <v>4.88</v>
      </c>
      <c r="P56" s="62"/>
      <c r="Q56" s="59">
        <v>4.9000000000000004</v>
      </c>
      <c r="R56" s="62"/>
      <c r="S56" s="59">
        <v>1.6</v>
      </c>
      <c r="T56" s="62"/>
      <c r="U56" s="59">
        <v>1.6</v>
      </c>
      <c r="V56" s="62"/>
      <c r="W56" s="59">
        <v>1.6</v>
      </c>
      <c r="X56" s="59"/>
      <c r="Y56" s="59"/>
      <c r="Z56" s="59"/>
      <c r="AA56" s="59"/>
      <c r="AB56" s="8"/>
      <c r="AC56" s="59">
        <v>32.299999999999997</v>
      </c>
      <c r="AD56" s="59">
        <v>38.03</v>
      </c>
      <c r="AE56" s="59">
        <v>13.19</v>
      </c>
      <c r="AF56" s="59">
        <v>0</v>
      </c>
      <c r="AG56" s="59">
        <v>381.2</v>
      </c>
      <c r="AH56" s="59">
        <v>4.88</v>
      </c>
      <c r="AI56" s="59">
        <v>1.6</v>
      </c>
      <c r="AJ56" s="59">
        <v>1.6</v>
      </c>
    </row>
    <row r="57" spans="1:36" x14ac:dyDescent="0.3">
      <c r="A57" s="10" t="s">
        <v>83</v>
      </c>
      <c r="B57" s="8" t="s">
        <v>0</v>
      </c>
      <c r="C57" s="8" t="s">
        <v>39</v>
      </c>
      <c r="D57" s="62"/>
      <c r="E57" s="61"/>
      <c r="F57" s="62"/>
      <c r="G57" s="59">
        <v>0</v>
      </c>
      <c r="H57" s="62"/>
      <c r="I57" s="59">
        <v>0</v>
      </c>
      <c r="J57" s="62"/>
      <c r="K57" s="59">
        <v>0</v>
      </c>
      <c r="L57" s="62"/>
      <c r="M57" s="59">
        <v>0</v>
      </c>
      <c r="N57" s="62"/>
      <c r="O57" s="59">
        <v>0</v>
      </c>
      <c r="P57" s="62"/>
      <c r="Q57" s="59">
        <v>0</v>
      </c>
      <c r="R57" s="62"/>
      <c r="S57" s="59">
        <v>0</v>
      </c>
      <c r="T57" s="62"/>
      <c r="U57" s="59">
        <v>0</v>
      </c>
      <c r="V57" s="62"/>
      <c r="W57" s="59">
        <v>0</v>
      </c>
      <c r="X57" s="59"/>
      <c r="Y57" s="59"/>
      <c r="Z57" s="59"/>
      <c r="AA57" s="59"/>
      <c r="AB57" s="8"/>
      <c r="AC57" s="59">
        <v>56.31</v>
      </c>
      <c r="AD57" s="59">
        <v>105.84</v>
      </c>
      <c r="AE57" s="59">
        <v>161.79</v>
      </c>
      <c r="AF57" s="59">
        <v>0</v>
      </c>
      <c r="AG57" s="59">
        <v>0</v>
      </c>
      <c r="AH57" s="59">
        <v>0</v>
      </c>
      <c r="AI57" s="59">
        <v>0</v>
      </c>
      <c r="AJ57" s="59">
        <v>0</v>
      </c>
    </row>
    <row r="58" spans="1:36" x14ac:dyDescent="0.3">
      <c r="A58" s="10" t="s">
        <v>84</v>
      </c>
      <c r="B58" s="8" t="s">
        <v>0</v>
      </c>
      <c r="C58" s="8" t="s">
        <v>39</v>
      </c>
      <c r="D58" s="62"/>
      <c r="E58" s="61"/>
      <c r="F58" s="62"/>
      <c r="G58" s="59">
        <v>718.79</v>
      </c>
      <c r="H58" s="62"/>
      <c r="I58" s="59">
        <v>889.82</v>
      </c>
      <c r="J58" s="62"/>
      <c r="K58" s="59">
        <v>434.5</v>
      </c>
      <c r="L58" s="62"/>
      <c r="M58" s="59">
        <v>417.87</v>
      </c>
      <c r="N58" s="62"/>
      <c r="O58" s="59">
        <v>492.36</v>
      </c>
      <c r="P58" s="62"/>
      <c r="Q58" s="59">
        <v>1153.7</v>
      </c>
      <c r="R58" s="62"/>
      <c r="S58" s="59">
        <v>986.8</v>
      </c>
      <c r="T58" s="62"/>
      <c r="U58" s="59">
        <v>593.9</v>
      </c>
      <c r="V58" s="62"/>
      <c r="W58" s="59">
        <v>685.2</v>
      </c>
      <c r="X58" s="59"/>
      <c r="Y58" s="59"/>
      <c r="Z58" s="59"/>
      <c r="AA58" s="59"/>
      <c r="AB58" s="8"/>
      <c r="AC58" s="59">
        <v>0</v>
      </c>
      <c r="AD58" s="59">
        <v>0</v>
      </c>
      <c r="AE58" s="59">
        <v>0</v>
      </c>
      <c r="AF58" s="59">
        <v>718.79</v>
      </c>
      <c r="AG58" s="59">
        <v>434.5</v>
      </c>
      <c r="AH58" s="59">
        <v>492.36</v>
      </c>
      <c r="AI58" s="59">
        <v>986.8</v>
      </c>
      <c r="AJ58" s="59">
        <v>685.2</v>
      </c>
    </row>
    <row r="59" spans="1:36" x14ac:dyDescent="0.3">
      <c r="A59" s="10" t="s">
        <v>85</v>
      </c>
      <c r="B59" s="8" t="s">
        <v>0</v>
      </c>
      <c r="C59" s="8" t="s">
        <v>39</v>
      </c>
      <c r="D59" s="62"/>
      <c r="E59" s="61"/>
      <c r="F59" s="62"/>
      <c r="G59" s="59">
        <v>1152.18</v>
      </c>
      <c r="H59" s="62"/>
      <c r="I59" s="59">
        <v>1424.09</v>
      </c>
      <c r="J59" s="62"/>
      <c r="K59" s="59">
        <v>1877.73</v>
      </c>
      <c r="L59" s="62"/>
      <c r="M59" s="59">
        <v>2258.39</v>
      </c>
      <c r="N59" s="62"/>
      <c r="O59" s="59">
        <v>2689.91</v>
      </c>
      <c r="P59" s="62"/>
      <c r="Q59" s="59">
        <v>3173.5</v>
      </c>
      <c r="R59" s="62"/>
      <c r="S59" s="59">
        <v>2579.5</v>
      </c>
      <c r="T59" s="62"/>
      <c r="U59" s="59">
        <v>2550.5</v>
      </c>
      <c r="V59" s="62"/>
      <c r="W59" s="59">
        <v>2687.8</v>
      </c>
      <c r="X59" s="59"/>
      <c r="Y59" s="59"/>
      <c r="Z59" s="59"/>
      <c r="AA59" s="59"/>
      <c r="AB59" s="8"/>
      <c r="AC59" s="59">
        <v>501.48</v>
      </c>
      <c r="AD59" s="59">
        <v>506.11</v>
      </c>
      <c r="AE59" s="59">
        <v>780.41</v>
      </c>
      <c r="AF59" s="59">
        <v>1152.18</v>
      </c>
      <c r="AG59" s="59">
        <v>1877.73</v>
      </c>
      <c r="AH59" s="59">
        <v>2689.91</v>
      </c>
      <c r="AI59" s="59">
        <v>2579.5</v>
      </c>
      <c r="AJ59" s="59">
        <v>2687.8</v>
      </c>
    </row>
    <row r="60" spans="1:36" x14ac:dyDescent="0.3">
      <c r="A60" s="10" t="s">
        <v>86</v>
      </c>
      <c r="B60" s="8" t="s">
        <v>0</v>
      </c>
      <c r="C60" s="8" t="s">
        <v>39</v>
      </c>
      <c r="D60" s="62"/>
      <c r="E60" s="61"/>
      <c r="F60" s="62"/>
      <c r="G60" s="59">
        <v>138.69999999999999</v>
      </c>
      <c r="H60" s="62"/>
      <c r="I60" s="59">
        <v>187.28</v>
      </c>
      <c r="J60" s="62"/>
      <c r="K60" s="59">
        <v>211.82</v>
      </c>
      <c r="L60" s="62"/>
      <c r="M60" s="59">
        <v>352.36</v>
      </c>
      <c r="N60" s="62"/>
      <c r="O60" s="59">
        <v>456.72</v>
      </c>
      <c r="P60" s="62"/>
      <c r="Q60" s="59">
        <v>22.8</v>
      </c>
      <c r="R60" s="62"/>
      <c r="S60" s="59">
        <v>639.5</v>
      </c>
      <c r="T60" s="62"/>
      <c r="U60" s="59">
        <v>844.4</v>
      </c>
      <c r="V60" s="62"/>
      <c r="W60" s="59">
        <v>622.6</v>
      </c>
      <c r="X60" s="59"/>
      <c r="Y60" s="59"/>
      <c r="Z60" s="59"/>
      <c r="AA60" s="59"/>
      <c r="AB60" s="8"/>
      <c r="AC60" s="59">
        <v>110.46</v>
      </c>
      <c r="AD60" s="59">
        <v>110.45</v>
      </c>
      <c r="AE60" s="59">
        <v>85.63</v>
      </c>
      <c r="AF60" s="59">
        <v>138.69999999999999</v>
      </c>
      <c r="AG60" s="59">
        <v>211.82</v>
      </c>
      <c r="AH60" s="59">
        <v>456.72</v>
      </c>
      <c r="AI60" s="59">
        <v>639.5</v>
      </c>
      <c r="AJ60" s="59">
        <v>622.6</v>
      </c>
    </row>
    <row r="61" spans="1:36" x14ac:dyDescent="0.3">
      <c r="A61" s="10" t="s">
        <v>87</v>
      </c>
      <c r="B61" s="8" t="s">
        <v>0</v>
      </c>
      <c r="C61" s="8" t="s">
        <v>39</v>
      </c>
      <c r="D61" s="62"/>
      <c r="E61" s="61"/>
      <c r="F61" s="62"/>
      <c r="G61" s="59">
        <v>102.69</v>
      </c>
      <c r="H61" s="62"/>
      <c r="I61" s="59">
        <v>235.41</v>
      </c>
      <c r="J61" s="62"/>
      <c r="K61" s="59">
        <v>241.6</v>
      </c>
      <c r="L61" s="62"/>
      <c r="M61" s="59">
        <v>191.36</v>
      </c>
      <c r="N61" s="62"/>
      <c r="O61" s="59">
        <v>115.36</v>
      </c>
      <c r="P61" s="62"/>
      <c r="Q61" s="59">
        <v>82.9</v>
      </c>
      <c r="R61" s="62"/>
      <c r="S61" s="59">
        <v>101.5</v>
      </c>
      <c r="T61" s="62"/>
      <c r="U61" s="59">
        <v>51.8</v>
      </c>
      <c r="V61" s="62"/>
      <c r="W61" s="59">
        <v>55.2</v>
      </c>
      <c r="X61" s="59"/>
      <c r="Y61" s="59"/>
      <c r="Z61" s="59"/>
      <c r="AA61" s="59"/>
      <c r="AB61" s="8"/>
      <c r="AC61" s="59">
        <v>16.73</v>
      </c>
      <c r="AD61" s="59">
        <v>38.909999999999997</v>
      </c>
      <c r="AE61" s="59">
        <v>13.53</v>
      </c>
      <c r="AF61" s="59">
        <v>102.69</v>
      </c>
      <c r="AG61" s="59">
        <v>241.6</v>
      </c>
      <c r="AH61" s="59">
        <v>115.36</v>
      </c>
      <c r="AI61" s="59">
        <v>101.5</v>
      </c>
      <c r="AJ61" s="59">
        <v>55.2</v>
      </c>
    </row>
    <row r="62" spans="1:36" x14ac:dyDescent="0.3">
      <c r="A62" s="1" t="s">
        <v>88</v>
      </c>
      <c r="B62" s="8" t="s">
        <v>0</v>
      </c>
      <c r="C62" s="8"/>
      <c r="D62" s="62"/>
      <c r="E62" s="61"/>
      <c r="F62" s="62"/>
      <c r="G62" s="56">
        <f>SUM(G49:G61)</f>
        <v>7189.8200000000006</v>
      </c>
      <c r="H62" s="62"/>
      <c r="I62" s="56">
        <f>SUM(I49:I61)</f>
        <v>10733.340000000002</v>
      </c>
      <c r="J62" s="62"/>
      <c r="K62" s="56">
        <f>SUM(K49:K61)</f>
        <v>10443.799999999999</v>
      </c>
      <c r="L62" s="62"/>
      <c r="M62" s="56">
        <f>SUM(M49:M61)</f>
        <v>10542.410000000002</v>
      </c>
      <c r="N62" s="62"/>
      <c r="O62" s="56">
        <f>SUM(O49:O61)</f>
        <v>11076.8</v>
      </c>
      <c r="P62" s="62"/>
      <c r="Q62" s="56">
        <f>SUM(Q49:Q61)</f>
        <v>11926.999999999998</v>
      </c>
      <c r="R62" s="62"/>
      <c r="S62" s="56">
        <f>SUM(S49:S61)</f>
        <v>13024.5</v>
      </c>
      <c r="T62" s="62"/>
      <c r="U62" s="56">
        <f>SUM(U49:U61)</f>
        <v>13288.699999999999</v>
      </c>
      <c r="V62" s="62"/>
      <c r="W62" s="56">
        <f>SUM(W49:W61)</f>
        <v>14224.400000000003</v>
      </c>
      <c r="X62" s="56"/>
      <c r="Y62" s="56"/>
      <c r="Z62" s="56"/>
      <c r="AA62" s="56"/>
      <c r="AB62" s="8"/>
      <c r="AC62" s="60">
        <f t="shared" ref="AC62:AJ62" si="17">SUM(AC49:AC61)</f>
        <v>2116.2999999999997</v>
      </c>
      <c r="AD62" s="60">
        <f t="shared" si="17"/>
        <v>3089.88</v>
      </c>
      <c r="AE62" s="60">
        <f t="shared" si="17"/>
        <v>3389.75</v>
      </c>
      <c r="AF62" s="60">
        <f t="shared" si="17"/>
        <v>7189.8200000000006</v>
      </c>
      <c r="AG62" s="60">
        <f t="shared" si="17"/>
        <v>10443.799999999999</v>
      </c>
      <c r="AH62" s="60">
        <f t="shared" si="17"/>
        <v>11076.8</v>
      </c>
      <c r="AI62" s="60">
        <f t="shared" si="17"/>
        <v>13024.5</v>
      </c>
      <c r="AJ62" s="60">
        <f t="shared" si="17"/>
        <v>14224.400000000003</v>
      </c>
    </row>
    <row r="64" spans="1:36" x14ac:dyDescent="0.3">
      <c r="A64" s="9" t="s">
        <v>89</v>
      </c>
      <c r="E64" s="14"/>
    </row>
    <row r="65" spans="1:36" x14ac:dyDescent="0.3">
      <c r="A65" s="10" t="s">
        <v>90</v>
      </c>
      <c r="B65" s="8" t="s">
        <v>0</v>
      </c>
      <c r="C65" s="8" t="s">
        <v>39</v>
      </c>
      <c r="D65" s="62"/>
      <c r="E65" s="61"/>
      <c r="F65" s="62"/>
      <c r="G65" s="59">
        <v>8756.2099999999991</v>
      </c>
      <c r="H65" s="62"/>
      <c r="I65" s="59">
        <v>9332.3700000000008</v>
      </c>
      <c r="J65" s="62"/>
      <c r="K65" s="59">
        <v>10051.4</v>
      </c>
      <c r="L65" s="62"/>
      <c r="M65" s="59">
        <v>10937.07</v>
      </c>
      <c r="N65" s="62"/>
      <c r="O65" s="59">
        <v>11920.46</v>
      </c>
      <c r="P65" s="62"/>
      <c r="Q65" s="59">
        <v>14111</v>
      </c>
      <c r="R65" s="62"/>
      <c r="S65" s="59">
        <v>14175.4</v>
      </c>
      <c r="T65" s="62"/>
      <c r="U65" s="59">
        <v>15729.2</v>
      </c>
      <c r="V65" s="62"/>
      <c r="W65" s="59">
        <v>16421.599999999999</v>
      </c>
      <c r="X65" s="59"/>
      <c r="Y65" s="59"/>
      <c r="Z65" s="59"/>
      <c r="AA65" s="59"/>
      <c r="AB65" s="8"/>
      <c r="AC65" s="59">
        <v>2445.96</v>
      </c>
      <c r="AD65" s="59">
        <v>4453.3599999999997</v>
      </c>
      <c r="AE65" s="59">
        <v>4980.92</v>
      </c>
      <c r="AF65" s="59">
        <v>8756.2099999999991</v>
      </c>
      <c r="AG65" s="59">
        <v>10051.4</v>
      </c>
      <c r="AH65" s="59">
        <v>11920.46</v>
      </c>
      <c r="AI65" s="59">
        <v>14175.4</v>
      </c>
      <c r="AJ65" s="59">
        <v>16421.599999999999</v>
      </c>
    </row>
    <row r="66" spans="1:36" x14ac:dyDescent="0.3">
      <c r="A66" s="10" t="s">
        <v>82</v>
      </c>
      <c r="B66" s="8" t="s">
        <v>0</v>
      </c>
      <c r="C66" s="8" t="s">
        <v>39</v>
      </c>
      <c r="D66" s="62"/>
      <c r="E66" s="61"/>
      <c r="F66" s="62"/>
      <c r="G66" s="59">
        <v>0</v>
      </c>
      <c r="H66" s="62"/>
      <c r="I66" s="59">
        <v>0</v>
      </c>
      <c r="J66" s="62"/>
      <c r="K66" s="59">
        <v>0</v>
      </c>
      <c r="L66" s="62"/>
      <c r="M66" s="59">
        <v>0</v>
      </c>
      <c r="N66" s="62"/>
      <c r="O66" s="59">
        <v>0</v>
      </c>
      <c r="P66" s="62"/>
      <c r="Q66" s="59">
        <v>0</v>
      </c>
      <c r="R66" s="62"/>
      <c r="S66" s="59">
        <v>0</v>
      </c>
      <c r="T66" s="62"/>
      <c r="U66" s="59">
        <v>0</v>
      </c>
      <c r="V66" s="62"/>
      <c r="W66" s="59">
        <v>0</v>
      </c>
      <c r="X66" s="59"/>
      <c r="Y66" s="59"/>
      <c r="Z66" s="59"/>
      <c r="AA66" s="59"/>
      <c r="AB66" s="8"/>
      <c r="AC66" s="59">
        <v>1350.4</v>
      </c>
      <c r="AD66" s="59">
        <v>0</v>
      </c>
      <c r="AE66" s="59">
        <v>0</v>
      </c>
      <c r="AF66" s="59">
        <v>0</v>
      </c>
      <c r="AG66" s="59">
        <v>0</v>
      </c>
      <c r="AH66" s="59">
        <v>0</v>
      </c>
      <c r="AI66" s="59">
        <v>0</v>
      </c>
      <c r="AJ66" s="59">
        <v>0</v>
      </c>
    </row>
    <row r="67" spans="1:36" x14ac:dyDescent="0.3">
      <c r="A67" s="10" t="s">
        <v>91</v>
      </c>
      <c r="B67" s="8" t="s">
        <v>0</v>
      </c>
      <c r="C67" s="8" t="s">
        <v>39</v>
      </c>
      <c r="D67" s="62"/>
      <c r="E67" s="61"/>
      <c r="F67" s="62"/>
      <c r="G67" s="59">
        <v>945.33</v>
      </c>
      <c r="H67" s="62"/>
      <c r="I67" s="59">
        <v>1263.57</v>
      </c>
      <c r="J67" s="62"/>
      <c r="K67" s="59">
        <v>1635.31</v>
      </c>
      <c r="L67" s="62"/>
      <c r="M67" s="59">
        <v>1764.15</v>
      </c>
      <c r="N67" s="62"/>
      <c r="O67" s="59">
        <v>2416</v>
      </c>
      <c r="P67" s="62"/>
      <c r="Q67" s="59">
        <v>2547</v>
      </c>
      <c r="R67" s="62"/>
      <c r="S67" s="59">
        <v>2466.1</v>
      </c>
      <c r="T67" s="62"/>
      <c r="U67" s="59">
        <v>2588</v>
      </c>
      <c r="V67" s="62"/>
      <c r="W67" s="59">
        <v>2893.8</v>
      </c>
      <c r="X67" s="59"/>
      <c r="Y67" s="59"/>
      <c r="Z67" s="59"/>
      <c r="AA67" s="59"/>
      <c r="AB67" s="8"/>
      <c r="AC67" s="59">
        <v>579.24</v>
      </c>
      <c r="AD67" s="59">
        <v>984.32</v>
      </c>
      <c r="AE67" s="59">
        <v>766.35</v>
      </c>
      <c r="AF67" s="59">
        <v>945.33</v>
      </c>
      <c r="AG67" s="59">
        <v>1635.31</v>
      </c>
      <c r="AH67" s="59">
        <v>2416</v>
      </c>
      <c r="AI67" s="59">
        <v>2466.1</v>
      </c>
      <c r="AJ67" s="59">
        <v>2893.8</v>
      </c>
    </row>
    <row r="68" spans="1:36" x14ac:dyDescent="0.3">
      <c r="A68" s="10" t="s">
        <v>92</v>
      </c>
      <c r="B68" s="8" t="s">
        <v>0</v>
      </c>
      <c r="C68" s="8" t="s">
        <v>39</v>
      </c>
      <c r="D68" s="62"/>
      <c r="E68" s="61"/>
      <c r="F68" s="62"/>
      <c r="G68" s="59">
        <v>658.9</v>
      </c>
      <c r="H68" s="62"/>
      <c r="I68" s="59">
        <v>259.14</v>
      </c>
      <c r="J68" s="62"/>
      <c r="K68" s="59">
        <v>413.76</v>
      </c>
      <c r="L68" s="62"/>
      <c r="M68" s="59">
        <v>259.63</v>
      </c>
      <c r="N68" s="62"/>
      <c r="O68" s="59">
        <v>757.77</v>
      </c>
      <c r="P68" s="62"/>
      <c r="Q68" s="59">
        <v>836.7</v>
      </c>
      <c r="R68" s="62"/>
      <c r="S68" s="59">
        <v>1249.4000000000001</v>
      </c>
      <c r="T68" s="62"/>
      <c r="U68" s="59">
        <v>1125.7</v>
      </c>
      <c r="V68" s="62"/>
      <c r="W68" s="59">
        <v>1772</v>
      </c>
      <c r="X68" s="59"/>
      <c r="Y68" s="59"/>
      <c r="Z68" s="59"/>
      <c r="AA68" s="59"/>
      <c r="AB68" s="8"/>
      <c r="AC68" s="59">
        <v>114.1</v>
      </c>
      <c r="AD68" s="59">
        <v>1011.91</v>
      </c>
      <c r="AE68" s="59">
        <v>835.82</v>
      </c>
      <c r="AF68" s="59">
        <v>658.9</v>
      </c>
      <c r="AG68" s="59">
        <v>413.76</v>
      </c>
      <c r="AH68" s="59">
        <v>757.77</v>
      </c>
      <c r="AI68" s="59">
        <v>1249.4000000000001</v>
      </c>
      <c r="AJ68" s="59">
        <v>1772</v>
      </c>
    </row>
    <row r="69" spans="1:36" x14ac:dyDescent="0.3">
      <c r="A69" s="10" t="s">
        <v>93</v>
      </c>
      <c r="B69" s="8" t="s">
        <v>0</v>
      </c>
      <c r="C69" s="8" t="s">
        <v>39</v>
      </c>
      <c r="D69" s="62"/>
      <c r="E69" s="61"/>
      <c r="F69" s="62"/>
      <c r="G69" s="59">
        <v>2011.53</v>
      </c>
      <c r="H69" s="62"/>
      <c r="I69" s="59">
        <v>1353.82</v>
      </c>
      <c r="J69" s="62"/>
      <c r="K69" s="59">
        <v>1073.6400000000001</v>
      </c>
      <c r="L69" s="62"/>
      <c r="M69" s="59">
        <v>1193.95</v>
      </c>
      <c r="N69" s="62"/>
      <c r="O69" s="59">
        <v>1640.81</v>
      </c>
      <c r="P69" s="62"/>
      <c r="Q69" s="59">
        <v>1110.9000000000001</v>
      </c>
      <c r="R69" s="62"/>
      <c r="S69" s="59">
        <v>922.1</v>
      </c>
      <c r="T69" s="62"/>
      <c r="U69" s="59">
        <v>1011</v>
      </c>
      <c r="V69" s="62"/>
      <c r="W69" s="59">
        <v>1428.3</v>
      </c>
      <c r="X69" s="59"/>
      <c r="Y69" s="59"/>
      <c r="Z69" s="59"/>
      <c r="AA69" s="59"/>
      <c r="AB69" s="8"/>
      <c r="AC69" s="59">
        <v>5.34</v>
      </c>
      <c r="AD69" s="59">
        <v>744.28</v>
      </c>
      <c r="AE69" s="59">
        <v>1640.88</v>
      </c>
      <c r="AF69" s="59">
        <v>2011.53</v>
      </c>
      <c r="AG69" s="59">
        <v>1073.6400000000001</v>
      </c>
      <c r="AH69" s="59">
        <v>1640.81</v>
      </c>
      <c r="AI69" s="59">
        <v>922.1</v>
      </c>
      <c r="AJ69" s="59">
        <v>1428.3</v>
      </c>
    </row>
    <row r="70" spans="1:36" x14ac:dyDescent="0.3">
      <c r="A70" s="10" t="s">
        <v>83</v>
      </c>
      <c r="B70" s="8" t="s">
        <v>0</v>
      </c>
      <c r="C70" s="8" t="s">
        <v>39</v>
      </c>
      <c r="D70" s="62"/>
      <c r="E70" s="61"/>
      <c r="F70" s="62"/>
      <c r="G70" s="59">
        <v>0</v>
      </c>
      <c r="H70" s="62"/>
      <c r="I70" s="59">
        <v>0</v>
      </c>
      <c r="J70" s="62"/>
      <c r="K70" s="59">
        <v>0</v>
      </c>
      <c r="L70" s="62"/>
      <c r="M70" s="59">
        <v>0</v>
      </c>
      <c r="N70" s="62"/>
      <c r="O70" s="59">
        <v>0</v>
      </c>
      <c r="P70" s="62"/>
      <c r="Q70" s="59">
        <v>0</v>
      </c>
      <c r="R70" s="62"/>
      <c r="S70" s="59">
        <v>0</v>
      </c>
      <c r="T70" s="62"/>
      <c r="U70" s="59">
        <v>0</v>
      </c>
      <c r="V70" s="62"/>
      <c r="W70" s="59">
        <v>0</v>
      </c>
      <c r="X70" s="59"/>
      <c r="Y70" s="59"/>
      <c r="Z70" s="59"/>
      <c r="AA70" s="59"/>
      <c r="AB70" s="8"/>
      <c r="AC70" s="59">
        <v>48.19</v>
      </c>
      <c r="AD70" s="59">
        <v>74.11</v>
      </c>
      <c r="AE70" s="59">
        <v>54.26</v>
      </c>
      <c r="AF70" s="59">
        <v>0</v>
      </c>
      <c r="AG70" s="59">
        <v>0</v>
      </c>
      <c r="AH70" s="59">
        <v>0</v>
      </c>
      <c r="AI70" s="59">
        <v>0</v>
      </c>
      <c r="AJ70" s="59">
        <v>0</v>
      </c>
    </row>
    <row r="71" spans="1:36" x14ac:dyDescent="0.3">
      <c r="A71" s="10" t="s">
        <v>94</v>
      </c>
      <c r="B71" s="8" t="s">
        <v>0</v>
      </c>
      <c r="C71" s="8" t="s">
        <v>39</v>
      </c>
      <c r="D71" s="62"/>
      <c r="E71" s="61"/>
      <c r="F71" s="62"/>
      <c r="G71" s="59">
        <v>4878.78</v>
      </c>
      <c r="H71" s="62"/>
      <c r="I71" s="59">
        <v>2552.4499999999998</v>
      </c>
      <c r="J71" s="62"/>
      <c r="K71" s="59">
        <v>2644.86</v>
      </c>
      <c r="L71" s="62"/>
      <c r="M71" s="59">
        <v>2723.34</v>
      </c>
      <c r="N71" s="62"/>
      <c r="O71" s="59">
        <v>1833.22</v>
      </c>
      <c r="P71" s="62"/>
      <c r="Q71" s="59">
        <v>1729.5</v>
      </c>
      <c r="R71" s="62"/>
      <c r="S71" s="59">
        <v>2693</v>
      </c>
      <c r="T71" s="62"/>
      <c r="U71" s="59">
        <v>3192.8</v>
      </c>
      <c r="V71" s="62"/>
      <c r="W71" s="59">
        <v>3122.5</v>
      </c>
      <c r="X71" s="59"/>
      <c r="Y71" s="59"/>
      <c r="Z71" s="59"/>
      <c r="AA71" s="59"/>
      <c r="AB71" s="8"/>
      <c r="AC71" s="59">
        <v>466.83</v>
      </c>
      <c r="AD71" s="59">
        <v>258.99</v>
      </c>
      <c r="AE71" s="59">
        <v>520.12</v>
      </c>
      <c r="AF71" s="59">
        <v>4878.78</v>
      </c>
      <c r="AG71" s="59">
        <v>2644.86</v>
      </c>
      <c r="AH71" s="59">
        <v>1833.22</v>
      </c>
      <c r="AI71" s="59">
        <v>2693</v>
      </c>
      <c r="AJ71" s="59">
        <v>3122.5</v>
      </c>
    </row>
    <row r="72" spans="1:36" x14ac:dyDescent="0.3">
      <c r="A72" s="10" t="s">
        <v>95</v>
      </c>
      <c r="B72" s="8" t="s">
        <v>0</v>
      </c>
      <c r="C72" s="8" t="s">
        <v>39</v>
      </c>
      <c r="D72" s="62"/>
      <c r="E72" s="61"/>
      <c r="F72" s="62"/>
      <c r="G72" s="59">
        <v>2019.78</v>
      </c>
      <c r="H72" s="62"/>
      <c r="I72" s="59">
        <v>3369.24</v>
      </c>
      <c r="J72" s="62"/>
      <c r="K72" s="59">
        <v>3237.01</v>
      </c>
      <c r="L72" s="62"/>
      <c r="M72" s="59">
        <v>3938.04</v>
      </c>
      <c r="N72" s="62"/>
      <c r="O72" s="59">
        <v>4361.2</v>
      </c>
      <c r="P72" s="62"/>
      <c r="Q72" s="59">
        <v>4972.1000000000004</v>
      </c>
      <c r="R72" s="62"/>
      <c r="S72" s="59">
        <v>5264.8</v>
      </c>
      <c r="T72" s="62"/>
      <c r="U72" s="59">
        <v>6388.6</v>
      </c>
      <c r="V72" s="62"/>
      <c r="W72" s="59">
        <v>6251.2</v>
      </c>
      <c r="X72" s="59"/>
      <c r="Y72" s="59"/>
      <c r="Z72" s="59"/>
      <c r="AA72" s="59"/>
      <c r="AB72" s="8"/>
      <c r="AC72" s="59">
        <v>630.21</v>
      </c>
      <c r="AD72" s="59">
        <v>627.97</v>
      </c>
      <c r="AE72" s="59">
        <v>831.8</v>
      </c>
      <c r="AF72" s="59">
        <v>2019.78</v>
      </c>
      <c r="AG72" s="59">
        <v>3237.01</v>
      </c>
      <c r="AH72" s="59">
        <v>4361.2</v>
      </c>
      <c r="AI72" s="59">
        <v>5264.8</v>
      </c>
      <c r="AJ72" s="59">
        <v>6251.2</v>
      </c>
    </row>
    <row r="73" spans="1:36" x14ac:dyDescent="0.3">
      <c r="A73" s="1" t="s">
        <v>96</v>
      </c>
      <c r="B73" s="8" t="s">
        <v>0</v>
      </c>
      <c r="C73" s="8"/>
      <c r="D73" s="62"/>
      <c r="E73" s="61"/>
      <c r="F73" s="62"/>
      <c r="G73" s="56">
        <f>SUM(G65:G72)</f>
        <v>19270.53</v>
      </c>
      <c r="H73" s="62"/>
      <c r="I73" s="56">
        <f>SUM(I65:I72)</f>
        <v>18130.589999999997</v>
      </c>
      <c r="J73" s="62"/>
      <c r="K73" s="56">
        <f>SUM(K65:K72)</f>
        <v>19055.98</v>
      </c>
      <c r="L73" s="62"/>
      <c r="M73" s="56">
        <f>SUM(M65:M72)</f>
        <v>20816.18</v>
      </c>
      <c r="N73" s="62"/>
      <c r="O73" s="56">
        <f>SUM(O65:O72)</f>
        <v>22929.460000000003</v>
      </c>
      <c r="P73" s="62"/>
      <c r="Q73" s="56">
        <f>SUM(Q65:Q72)</f>
        <v>25307.200000000004</v>
      </c>
      <c r="R73" s="62"/>
      <c r="S73" s="56">
        <f>SUM(S65:S72)</f>
        <v>26770.799999999999</v>
      </c>
      <c r="T73" s="62"/>
      <c r="U73" s="56">
        <f>SUM(U65:U72)</f>
        <v>30035.300000000003</v>
      </c>
      <c r="V73" s="62"/>
      <c r="W73" s="56">
        <f>SUM(W65:W72)</f>
        <v>31889.399999999998</v>
      </c>
      <c r="X73" s="56"/>
      <c r="Y73" s="56"/>
      <c r="Z73" s="56"/>
      <c r="AA73" s="56"/>
      <c r="AB73" s="8"/>
      <c r="AC73" s="60">
        <f t="shared" ref="AC73:AJ73" si="18">SUM(AC65:AC72)</f>
        <v>5640.27</v>
      </c>
      <c r="AD73" s="60">
        <f t="shared" si="18"/>
        <v>8154.9399999999987</v>
      </c>
      <c r="AE73" s="60">
        <f t="shared" si="18"/>
        <v>9630.1500000000015</v>
      </c>
      <c r="AF73" s="60">
        <f t="shared" si="18"/>
        <v>19270.53</v>
      </c>
      <c r="AG73" s="60">
        <f t="shared" si="18"/>
        <v>19055.98</v>
      </c>
      <c r="AH73" s="60">
        <f t="shared" si="18"/>
        <v>22929.460000000003</v>
      </c>
      <c r="AI73" s="60">
        <f t="shared" si="18"/>
        <v>26770.799999999999</v>
      </c>
      <c r="AJ73" s="60">
        <f t="shared" si="18"/>
        <v>31889.399999999998</v>
      </c>
    </row>
    <row r="75" spans="1:36" x14ac:dyDescent="0.3">
      <c r="A75" s="1" t="s">
        <v>97</v>
      </c>
      <c r="B75" s="8" t="s">
        <v>0</v>
      </c>
      <c r="C75" s="8"/>
      <c r="D75" s="62"/>
      <c r="E75" s="61"/>
      <c r="F75" s="62"/>
      <c r="G75" s="56">
        <f>G62+G73</f>
        <v>26460.35</v>
      </c>
      <c r="H75" s="62"/>
      <c r="I75" s="56">
        <f>I62+I73</f>
        <v>28863.93</v>
      </c>
      <c r="J75" s="62"/>
      <c r="K75" s="56">
        <f>K62+K73</f>
        <v>29499.78</v>
      </c>
      <c r="L75" s="62"/>
      <c r="M75" s="56">
        <f>M62+M73</f>
        <v>31358.590000000004</v>
      </c>
      <c r="N75" s="62"/>
      <c r="O75" s="56">
        <f>O62+O73</f>
        <v>34006.26</v>
      </c>
      <c r="P75" s="62"/>
      <c r="Q75" s="56">
        <f>Q62+Q73</f>
        <v>37234.200000000004</v>
      </c>
      <c r="R75" s="62"/>
      <c r="S75" s="56">
        <f>S62+S73</f>
        <v>39795.300000000003</v>
      </c>
      <c r="T75" s="62"/>
      <c r="U75" s="56">
        <f>U62+U73</f>
        <v>43324</v>
      </c>
      <c r="V75" s="62"/>
      <c r="W75" s="56">
        <f>W62+W73</f>
        <v>46113.8</v>
      </c>
      <c r="X75" s="56"/>
      <c r="Y75" s="56"/>
      <c r="Z75" s="56"/>
      <c r="AA75" s="56"/>
      <c r="AB75" s="8"/>
      <c r="AC75" s="60">
        <f t="shared" ref="AC75:AJ75" si="19">AC62+AC73</f>
        <v>7756.57</v>
      </c>
      <c r="AD75" s="60">
        <f t="shared" si="19"/>
        <v>11244.82</v>
      </c>
      <c r="AE75" s="60">
        <f t="shared" si="19"/>
        <v>13019.900000000001</v>
      </c>
      <c r="AF75" s="60">
        <f t="shared" si="19"/>
        <v>26460.35</v>
      </c>
      <c r="AG75" s="60">
        <f t="shared" si="19"/>
        <v>29499.78</v>
      </c>
      <c r="AH75" s="60">
        <f t="shared" si="19"/>
        <v>34006.26</v>
      </c>
      <c r="AI75" s="60">
        <f t="shared" si="19"/>
        <v>39795.300000000003</v>
      </c>
      <c r="AJ75" s="60">
        <f t="shared" si="19"/>
        <v>46113.8</v>
      </c>
    </row>
    <row r="77" spans="1:36" x14ac:dyDescent="0.3">
      <c r="A77" s="9" t="s">
        <v>98</v>
      </c>
      <c r="E77" s="14"/>
    </row>
    <row r="78" spans="1:36" x14ac:dyDescent="0.3">
      <c r="A78" s="9" t="s">
        <v>99</v>
      </c>
      <c r="E78" s="14"/>
    </row>
    <row r="79" spans="1:36" x14ac:dyDescent="0.3">
      <c r="A79" s="10" t="s">
        <v>100</v>
      </c>
      <c r="B79" s="8" t="s">
        <v>0</v>
      </c>
      <c r="C79" s="8" t="s">
        <v>39</v>
      </c>
      <c r="D79" s="62"/>
      <c r="E79" s="61"/>
      <c r="F79" s="62"/>
      <c r="G79" s="59">
        <v>474.11</v>
      </c>
      <c r="H79" s="62"/>
      <c r="I79" s="59">
        <v>474.55</v>
      </c>
      <c r="J79" s="62"/>
      <c r="K79" s="59">
        <v>2852.45</v>
      </c>
      <c r="L79" s="62"/>
      <c r="M79" s="59">
        <v>2853.73</v>
      </c>
      <c r="N79" s="62"/>
      <c r="O79" s="59">
        <v>2855.99</v>
      </c>
      <c r="P79" s="62"/>
      <c r="Q79" s="59">
        <v>2857.9</v>
      </c>
      <c r="R79" s="62"/>
      <c r="S79" s="59">
        <v>2859.3</v>
      </c>
      <c r="T79" s="62"/>
      <c r="U79" s="59">
        <v>2861.3</v>
      </c>
      <c r="V79" s="62"/>
      <c r="W79" s="59">
        <v>2863.3</v>
      </c>
      <c r="X79" s="59"/>
      <c r="Y79" s="59"/>
      <c r="Z79" s="59"/>
      <c r="AA79" s="59"/>
      <c r="AB79" s="8"/>
      <c r="AC79" s="59">
        <v>142.43</v>
      </c>
      <c r="AD79" s="59">
        <v>145.5</v>
      </c>
      <c r="AE79" s="59">
        <v>150.58000000000001</v>
      </c>
      <c r="AF79" s="59">
        <v>474.11</v>
      </c>
      <c r="AG79" s="59">
        <v>2852.45</v>
      </c>
      <c r="AH79" s="59">
        <v>2855.99</v>
      </c>
      <c r="AI79" s="59">
        <v>2859.3</v>
      </c>
      <c r="AJ79" s="59">
        <v>2863.3</v>
      </c>
    </row>
    <row r="80" spans="1:36" x14ac:dyDescent="0.3">
      <c r="A80" s="10" t="s">
        <v>101</v>
      </c>
      <c r="B80" s="8" t="s">
        <v>0</v>
      </c>
      <c r="C80" s="8" t="s">
        <v>39</v>
      </c>
      <c r="D80" s="62"/>
      <c r="E80" s="61"/>
      <c r="F80" s="62"/>
      <c r="G80" s="59">
        <v>12924.89</v>
      </c>
      <c r="H80" s="62"/>
      <c r="I80" s="59">
        <v>13138.2</v>
      </c>
      <c r="J80" s="62"/>
      <c r="K80" s="59">
        <v>10927.65</v>
      </c>
      <c r="L80" s="62"/>
      <c r="M80" s="59">
        <v>11059.05</v>
      </c>
      <c r="N80" s="62"/>
      <c r="O80" s="59">
        <v>9766.34</v>
      </c>
      <c r="P80" s="62"/>
      <c r="Q80" s="59">
        <v>10190</v>
      </c>
      <c r="R80" s="62"/>
      <c r="S80" s="59">
        <v>10153.5</v>
      </c>
      <c r="T80" s="62"/>
      <c r="U80" s="59">
        <v>11017.2</v>
      </c>
      <c r="V80" s="62"/>
      <c r="W80" s="59">
        <v>11516.5</v>
      </c>
      <c r="X80" s="59"/>
      <c r="Y80" s="59"/>
      <c r="Z80" s="59"/>
      <c r="AA80" s="59"/>
      <c r="AB80" s="8"/>
      <c r="AC80" s="59">
        <v>2163.15</v>
      </c>
      <c r="AD80" s="59">
        <v>3075.99</v>
      </c>
      <c r="AE80" s="59">
        <v>4748.8100000000004</v>
      </c>
      <c r="AF80" s="59">
        <v>12924.89</v>
      </c>
      <c r="AG80" s="59">
        <v>10927.65</v>
      </c>
      <c r="AH80" s="59">
        <v>9766.34</v>
      </c>
      <c r="AI80" s="59">
        <v>10153.5</v>
      </c>
      <c r="AJ80" s="59">
        <v>11516.5</v>
      </c>
    </row>
    <row r="81" spans="1:36" x14ac:dyDescent="0.3">
      <c r="A81" s="1" t="s">
        <v>102</v>
      </c>
      <c r="B81" s="8" t="s">
        <v>0</v>
      </c>
      <c r="C81" s="8"/>
      <c r="D81" s="62"/>
      <c r="E81" s="61"/>
      <c r="F81" s="62"/>
      <c r="G81" s="56">
        <f>SUM(G79:G80)</f>
        <v>13399</v>
      </c>
      <c r="H81" s="62"/>
      <c r="I81" s="56">
        <f>SUM(I79:I80)</f>
        <v>13612.75</v>
      </c>
      <c r="J81" s="62"/>
      <c r="K81" s="56">
        <f>SUM(K79:K80)</f>
        <v>13780.099999999999</v>
      </c>
      <c r="L81" s="62"/>
      <c r="M81" s="56">
        <f>SUM(M79:M80)</f>
        <v>13912.779999999999</v>
      </c>
      <c r="N81" s="62"/>
      <c r="O81" s="56">
        <f>SUM(O79:O80)</f>
        <v>12622.33</v>
      </c>
      <c r="P81" s="62"/>
      <c r="Q81" s="56">
        <f>SUM(Q79:Q80)</f>
        <v>13047.9</v>
      </c>
      <c r="R81" s="62"/>
      <c r="S81" s="56">
        <f>SUM(S79:S80)</f>
        <v>13012.8</v>
      </c>
      <c r="T81" s="62"/>
      <c r="U81" s="56">
        <f>SUM(U79:U80)</f>
        <v>13878.5</v>
      </c>
      <c r="V81" s="62"/>
      <c r="W81" s="56">
        <f>SUM(W79:W80)</f>
        <v>14379.8</v>
      </c>
      <c r="X81" s="56"/>
      <c r="Y81" s="56"/>
      <c r="Z81" s="56"/>
      <c r="AA81" s="56"/>
      <c r="AB81" s="8"/>
      <c r="AC81" s="60">
        <f t="shared" ref="AC81:AJ81" si="20">SUM(AC79:AC80)</f>
        <v>2305.58</v>
      </c>
      <c r="AD81" s="60">
        <f t="shared" si="20"/>
        <v>3221.49</v>
      </c>
      <c r="AE81" s="60">
        <f t="shared" si="20"/>
        <v>4899.3900000000003</v>
      </c>
      <c r="AF81" s="60">
        <f t="shared" si="20"/>
        <v>13399</v>
      </c>
      <c r="AG81" s="60">
        <f t="shared" si="20"/>
        <v>13780.099999999999</v>
      </c>
      <c r="AH81" s="60">
        <f t="shared" si="20"/>
        <v>12622.33</v>
      </c>
      <c r="AI81" s="60">
        <f t="shared" si="20"/>
        <v>13012.8</v>
      </c>
      <c r="AJ81" s="60">
        <f t="shared" si="20"/>
        <v>14379.8</v>
      </c>
    </row>
    <row r="82" spans="1:36" x14ac:dyDescent="0.3">
      <c r="A82" s="10" t="s">
        <v>103</v>
      </c>
      <c r="B82" s="8" t="s">
        <v>0</v>
      </c>
      <c r="C82" s="8" t="s">
        <v>39</v>
      </c>
      <c r="D82" s="62"/>
      <c r="E82" s="61"/>
      <c r="F82" s="62"/>
      <c r="G82" s="59">
        <v>56.15</v>
      </c>
      <c r="H82" s="62"/>
      <c r="I82" s="59">
        <v>95.09</v>
      </c>
      <c r="J82" s="62"/>
      <c r="K82" s="59">
        <v>141.44999999999999</v>
      </c>
      <c r="L82" s="62"/>
      <c r="M82" s="59">
        <v>182.6</v>
      </c>
      <c r="N82" s="62"/>
      <c r="O82" s="59">
        <v>188.11</v>
      </c>
      <c r="P82" s="62"/>
      <c r="Q82" s="59">
        <v>287.8</v>
      </c>
      <c r="R82" s="62"/>
      <c r="S82" s="59">
        <v>413.8</v>
      </c>
      <c r="T82" s="62"/>
      <c r="U82" s="59">
        <v>515.79999999999995</v>
      </c>
      <c r="V82" s="62"/>
      <c r="W82" s="59">
        <v>641.20000000000005</v>
      </c>
      <c r="X82" s="59"/>
      <c r="Y82" s="59"/>
      <c r="Z82" s="59"/>
      <c r="AA82" s="59"/>
      <c r="AB82" s="8"/>
      <c r="AC82" s="59">
        <v>4.6900000000000004</v>
      </c>
      <c r="AD82" s="59">
        <v>7.38</v>
      </c>
      <c r="AE82" s="59">
        <v>8.36</v>
      </c>
      <c r="AF82" s="59">
        <v>56.15</v>
      </c>
      <c r="AG82" s="59">
        <v>141.44999999999999</v>
      </c>
      <c r="AH82" s="59">
        <v>188.11</v>
      </c>
      <c r="AI82" s="59">
        <v>413.8</v>
      </c>
      <c r="AJ82" s="59">
        <v>641.20000000000005</v>
      </c>
    </row>
    <row r="83" spans="1:36" x14ac:dyDescent="0.3">
      <c r="A83" s="1" t="s">
        <v>104</v>
      </c>
      <c r="B83" s="8" t="s">
        <v>0</v>
      </c>
      <c r="C83" s="8"/>
      <c r="D83" s="62"/>
      <c r="E83" s="61"/>
      <c r="F83" s="62"/>
      <c r="G83" s="56">
        <f>G81+G82</f>
        <v>13455.15</v>
      </c>
      <c r="H83" s="62"/>
      <c r="I83" s="56">
        <f>I81+I82</f>
        <v>13707.84</v>
      </c>
      <c r="J83" s="62"/>
      <c r="K83" s="56">
        <f>K81+K82</f>
        <v>13921.55</v>
      </c>
      <c r="L83" s="62"/>
      <c r="M83" s="56">
        <f>M81+M82</f>
        <v>14095.38</v>
      </c>
      <c r="N83" s="62"/>
      <c r="O83" s="56">
        <f>O81+O82</f>
        <v>12810.44</v>
      </c>
      <c r="P83" s="62"/>
      <c r="Q83" s="56">
        <f>Q81+Q82</f>
        <v>13335.699999999999</v>
      </c>
      <c r="R83" s="62"/>
      <c r="S83" s="56">
        <f>S81+S82</f>
        <v>13426.599999999999</v>
      </c>
      <c r="T83" s="62"/>
      <c r="U83" s="56">
        <f>U81+U82</f>
        <v>14394.3</v>
      </c>
      <c r="V83" s="62"/>
      <c r="W83" s="56">
        <f>W81+W82</f>
        <v>15021</v>
      </c>
      <c r="X83" s="56"/>
      <c r="Y83" s="56"/>
      <c r="Z83" s="56"/>
      <c r="AA83" s="56"/>
      <c r="AB83" s="8"/>
      <c r="AC83" s="60">
        <f t="shared" ref="AC83:AJ83" si="21">AC81+AC82</f>
        <v>2310.27</v>
      </c>
      <c r="AD83" s="60">
        <f t="shared" si="21"/>
        <v>3228.87</v>
      </c>
      <c r="AE83" s="60">
        <f t="shared" si="21"/>
        <v>4907.75</v>
      </c>
      <c r="AF83" s="60">
        <f t="shared" si="21"/>
        <v>13455.15</v>
      </c>
      <c r="AG83" s="60">
        <f t="shared" si="21"/>
        <v>13921.55</v>
      </c>
      <c r="AH83" s="60">
        <f t="shared" si="21"/>
        <v>12810.44</v>
      </c>
      <c r="AI83" s="60">
        <f t="shared" si="21"/>
        <v>13426.599999999999</v>
      </c>
      <c r="AJ83" s="60">
        <f t="shared" si="21"/>
        <v>15021</v>
      </c>
    </row>
    <row r="85" spans="1:36" x14ac:dyDescent="0.3">
      <c r="A85" s="9" t="s">
        <v>105</v>
      </c>
      <c r="E85" s="14"/>
    </row>
    <row r="86" spans="1:36" x14ac:dyDescent="0.3">
      <c r="A86" s="10" t="s">
        <v>106</v>
      </c>
      <c r="B86" s="8" t="s">
        <v>0</v>
      </c>
      <c r="C86" s="8" t="s">
        <v>39</v>
      </c>
      <c r="D86" s="62"/>
      <c r="E86" s="61"/>
      <c r="F86" s="62"/>
      <c r="G86" s="59">
        <v>9.2200000000000006</v>
      </c>
      <c r="H86" s="62"/>
      <c r="I86" s="59">
        <v>6.53</v>
      </c>
      <c r="J86" s="62"/>
      <c r="K86" s="59">
        <v>3.61</v>
      </c>
      <c r="L86" s="62"/>
      <c r="M86" s="59">
        <v>0.47</v>
      </c>
      <c r="N86" s="62"/>
      <c r="O86" s="59">
        <v>0</v>
      </c>
      <c r="P86" s="62"/>
      <c r="Q86" s="59">
        <v>625</v>
      </c>
      <c r="R86" s="62"/>
      <c r="S86" s="59">
        <v>1102.0999999999999</v>
      </c>
      <c r="T86" s="62"/>
      <c r="U86" s="59">
        <v>327.39999999999998</v>
      </c>
      <c r="V86" s="62"/>
      <c r="W86" s="59">
        <v>183.3</v>
      </c>
      <c r="X86" s="59"/>
      <c r="Y86" s="59"/>
      <c r="Z86" s="59"/>
      <c r="AA86" s="59"/>
      <c r="AB86" s="8"/>
      <c r="AC86" s="59">
        <v>1.28</v>
      </c>
      <c r="AD86" s="59">
        <v>1.5</v>
      </c>
      <c r="AE86" s="59">
        <v>16.600000000000001</v>
      </c>
      <c r="AF86" s="59">
        <v>9.2200000000000006</v>
      </c>
      <c r="AG86" s="59">
        <v>3.61</v>
      </c>
      <c r="AH86" s="59">
        <v>0</v>
      </c>
      <c r="AI86" s="59">
        <v>1102.0999999999999</v>
      </c>
      <c r="AJ86" s="59">
        <v>183.3</v>
      </c>
    </row>
    <row r="87" spans="1:36" x14ac:dyDescent="0.3">
      <c r="A87" s="10" t="s">
        <v>107</v>
      </c>
      <c r="B87" s="8" t="s">
        <v>0</v>
      </c>
      <c r="C87" s="8" t="s">
        <v>39</v>
      </c>
      <c r="D87" s="62"/>
      <c r="E87" s="61"/>
      <c r="F87" s="62"/>
      <c r="G87" s="59">
        <v>2043.19</v>
      </c>
      <c r="H87" s="62"/>
      <c r="I87" s="59">
        <v>3354.12</v>
      </c>
      <c r="J87" s="62"/>
      <c r="K87" s="59">
        <v>2133.6799999999998</v>
      </c>
      <c r="L87" s="62"/>
      <c r="M87" s="59">
        <v>1766.89</v>
      </c>
      <c r="N87" s="62"/>
      <c r="O87" s="59">
        <v>1593.03</v>
      </c>
      <c r="P87" s="62"/>
      <c r="Q87" s="59">
        <v>1665.8</v>
      </c>
      <c r="R87" s="62"/>
      <c r="S87" s="59">
        <v>2115.5</v>
      </c>
      <c r="T87" s="62"/>
      <c r="U87" s="59">
        <v>2562</v>
      </c>
      <c r="V87" s="62"/>
      <c r="W87" s="59">
        <v>2968.5</v>
      </c>
      <c r="X87" s="59"/>
      <c r="Y87" s="59"/>
      <c r="Z87" s="59"/>
      <c r="AA87" s="59"/>
      <c r="AB87" s="8"/>
      <c r="AC87" s="59">
        <v>763.61</v>
      </c>
      <c r="AD87" s="59">
        <v>1302.58</v>
      </c>
      <c r="AE87" s="59">
        <v>1073.9000000000001</v>
      </c>
      <c r="AF87" s="59">
        <v>2043.19</v>
      </c>
      <c r="AG87" s="59">
        <v>2133.6799999999998</v>
      </c>
      <c r="AH87" s="59">
        <v>1593.03</v>
      </c>
      <c r="AI87" s="59">
        <v>2115.5</v>
      </c>
      <c r="AJ87" s="59">
        <v>2968.5</v>
      </c>
    </row>
    <row r="88" spans="1:36" x14ac:dyDescent="0.3">
      <c r="A88" s="10" t="s">
        <v>108</v>
      </c>
      <c r="B88" s="8" t="s">
        <v>0</v>
      </c>
      <c r="C88" s="8" t="s">
        <v>39</v>
      </c>
      <c r="D88" s="62"/>
      <c r="E88" s="61"/>
      <c r="F88" s="62"/>
      <c r="G88" s="59">
        <v>1222.26</v>
      </c>
      <c r="H88" s="62"/>
      <c r="I88" s="59">
        <v>1280.33</v>
      </c>
      <c r="J88" s="62"/>
      <c r="K88" s="59">
        <v>1373.2</v>
      </c>
      <c r="L88" s="62"/>
      <c r="M88" s="59">
        <v>0</v>
      </c>
      <c r="N88" s="62"/>
      <c r="O88" s="59">
        <v>711.85</v>
      </c>
      <c r="P88" s="62"/>
      <c r="Q88" s="59">
        <v>0</v>
      </c>
      <c r="R88" s="62"/>
      <c r="S88" s="59">
        <v>1358.8</v>
      </c>
      <c r="T88" s="62"/>
      <c r="U88" s="59">
        <v>0</v>
      </c>
      <c r="V88" s="62"/>
      <c r="W88" s="59">
        <v>16.600000000000001</v>
      </c>
      <c r="X88" s="59"/>
      <c r="Y88" s="59"/>
      <c r="Z88" s="59"/>
      <c r="AA88" s="59"/>
      <c r="AB88" s="8"/>
      <c r="AC88" s="59">
        <v>0</v>
      </c>
      <c r="AD88" s="59">
        <v>0</v>
      </c>
      <c r="AE88" s="59">
        <v>0</v>
      </c>
      <c r="AF88" s="59">
        <v>1222.26</v>
      </c>
      <c r="AG88" s="59">
        <v>1373.2</v>
      </c>
      <c r="AH88" s="59">
        <v>711.85</v>
      </c>
      <c r="AI88" s="59">
        <v>1358.8</v>
      </c>
      <c r="AJ88" s="59">
        <v>16.600000000000001</v>
      </c>
    </row>
    <row r="89" spans="1:36" x14ac:dyDescent="0.3">
      <c r="A89" s="10" t="s">
        <v>109</v>
      </c>
      <c r="B89" s="8" t="s">
        <v>0</v>
      </c>
      <c r="C89" s="8" t="s">
        <v>39</v>
      </c>
      <c r="D89" s="62"/>
      <c r="E89" s="61"/>
      <c r="F89" s="62"/>
      <c r="G89" s="59">
        <v>77.959999999999994</v>
      </c>
      <c r="H89" s="62"/>
      <c r="I89" s="59">
        <v>89.21</v>
      </c>
      <c r="J89" s="62"/>
      <c r="K89" s="59">
        <v>92.65</v>
      </c>
      <c r="L89" s="62"/>
      <c r="M89" s="59">
        <v>108.65</v>
      </c>
      <c r="N89" s="62"/>
      <c r="O89" s="59">
        <v>102.21</v>
      </c>
      <c r="P89" s="62"/>
      <c r="Q89" s="59">
        <v>145.5</v>
      </c>
      <c r="R89" s="62"/>
      <c r="S89" s="59">
        <v>186.4</v>
      </c>
      <c r="T89" s="62"/>
      <c r="U89" s="59">
        <v>187</v>
      </c>
      <c r="V89" s="62"/>
      <c r="W89" s="59">
        <v>341.9</v>
      </c>
      <c r="X89" s="59"/>
      <c r="Y89" s="59"/>
      <c r="Z89" s="59"/>
      <c r="AA89" s="59"/>
      <c r="AB89" s="8"/>
      <c r="AC89" s="59">
        <v>24.46</v>
      </c>
      <c r="AD89" s="59">
        <v>52.61</v>
      </c>
      <c r="AE89" s="59">
        <v>73.45</v>
      </c>
      <c r="AF89" s="59">
        <v>77.959999999999994</v>
      </c>
      <c r="AG89" s="59">
        <v>92.65</v>
      </c>
      <c r="AH89" s="59">
        <v>102.21</v>
      </c>
      <c r="AI89" s="59">
        <v>186.4</v>
      </c>
      <c r="AJ89" s="59">
        <v>341.9</v>
      </c>
    </row>
    <row r="90" spans="1:36" x14ac:dyDescent="0.3">
      <c r="A90" s="1" t="s">
        <v>110</v>
      </c>
      <c r="B90" s="8" t="s">
        <v>0</v>
      </c>
      <c r="C90" s="8"/>
      <c r="D90" s="62"/>
      <c r="E90" s="61"/>
      <c r="F90" s="62"/>
      <c r="G90" s="56">
        <f>SUM(G86:G89)</f>
        <v>3352.63</v>
      </c>
      <c r="H90" s="62"/>
      <c r="I90" s="56">
        <f>SUM(I86:I89)</f>
        <v>4730.1899999999996</v>
      </c>
      <c r="J90" s="62"/>
      <c r="K90" s="56">
        <f>SUM(K86:K89)</f>
        <v>3603.14</v>
      </c>
      <c r="L90" s="62"/>
      <c r="M90" s="56">
        <f>SUM(M86:M89)</f>
        <v>1876.0100000000002</v>
      </c>
      <c r="N90" s="62"/>
      <c r="O90" s="56">
        <f>SUM(O86:O89)</f>
        <v>2407.09</v>
      </c>
      <c r="P90" s="62"/>
      <c r="Q90" s="56">
        <f>SUM(Q86:Q89)</f>
        <v>2436.3000000000002</v>
      </c>
      <c r="R90" s="62"/>
      <c r="S90" s="56">
        <f>SUM(S86:S89)</f>
        <v>4762.7999999999993</v>
      </c>
      <c r="T90" s="62"/>
      <c r="U90" s="56">
        <f>SUM(U86:U89)</f>
        <v>3076.4</v>
      </c>
      <c r="V90" s="62"/>
      <c r="W90" s="56">
        <f>SUM(W86:W89)</f>
        <v>3510.3</v>
      </c>
      <c r="X90" s="56"/>
      <c r="Y90" s="56"/>
      <c r="Z90" s="56"/>
      <c r="AA90" s="56"/>
      <c r="AB90" s="8"/>
      <c r="AC90" s="60">
        <f t="shared" ref="AC90:AJ90" si="22">SUM(AC86:AC89)</f>
        <v>789.35</v>
      </c>
      <c r="AD90" s="60">
        <f t="shared" si="22"/>
        <v>1356.6899999999998</v>
      </c>
      <c r="AE90" s="60">
        <f t="shared" si="22"/>
        <v>1163.95</v>
      </c>
      <c r="AF90" s="60">
        <f t="shared" si="22"/>
        <v>3352.63</v>
      </c>
      <c r="AG90" s="60">
        <f t="shared" si="22"/>
        <v>3603.14</v>
      </c>
      <c r="AH90" s="60">
        <f t="shared" si="22"/>
        <v>2407.09</v>
      </c>
      <c r="AI90" s="60">
        <f t="shared" si="22"/>
        <v>4762.7999999999993</v>
      </c>
      <c r="AJ90" s="60">
        <f t="shared" si="22"/>
        <v>3510.3</v>
      </c>
    </row>
    <row r="92" spans="1:36" x14ac:dyDescent="0.3">
      <c r="A92" s="9" t="s">
        <v>111</v>
      </c>
      <c r="E92" s="14"/>
    </row>
    <row r="93" spans="1:36" x14ac:dyDescent="0.3">
      <c r="A93" s="10" t="s">
        <v>106</v>
      </c>
      <c r="B93" s="8" t="s">
        <v>0</v>
      </c>
      <c r="C93" s="8" t="s">
        <v>39</v>
      </c>
      <c r="D93" s="62"/>
      <c r="E93" s="61"/>
      <c r="F93" s="62"/>
      <c r="G93" s="59">
        <v>3321.12</v>
      </c>
      <c r="H93" s="62"/>
      <c r="I93" s="59">
        <v>4862.24</v>
      </c>
      <c r="J93" s="62"/>
      <c r="K93" s="59">
        <v>4600.01</v>
      </c>
      <c r="L93" s="62"/>
      <c r="M93" s="59">
        <v>6596.02</v>
      </c>
      <c r="N93" s="62"/>
      <c r="O93" s="59">
        <v>6803.95</v>
      </c>
      <c r="P93" s="62"/>
      <c r="Q93" s="59">
        <v>9388.7000000000007</v>
      </c>
      <c r="R93" s="62"/>
      <c r="S93" s="59">
        <v>8511.5</v>
      </c>
      <c r="T93" s="62"/>
      <c r="U93" s="59">
        <v>9571.1</v>
      </c>
      <c r="V93" s="62"/>
      <c r="W93" s="59">
        <v>7288.8</v>
      </c>
      <c r="X93" s="59"/>
      <c r="Y93" s="59"/>
      <c r="Z93" s="59"/>
      <c r="AA93" s="59"/>
      <c r="AB93" s="8"/>
      <c r="AC93" s="59">
        <v>2254.48</v>
      </c>
      <c r="AD93" s="59">
        <v>2673.26</v>
      </c>
      <c r="AE93" s="59">
        <v>1858.05</v>
      </c>
      <c r="AF93" s="59">
        <v>3321.12</v>
      </c>
      <c r="AG93" s="59">
        <v>4600.01</v>
      </c>
      <c r="AH93" s="59">
        <v>6803.95</v>
      </c>
      <c r="AI93" s="59">
        <v>8511.5</v>
      </c>
      <c r="AJ93" s="59">
        <v>7288.8</v>
      </c>
    </row>
    <row r="94" spans="1:36" x14ac:dyDescent="0.3">
      <c r="A94" s="10" t="s">
        <v>107</v>
      </c>
      <c r="B94" s="8" t="s">
        <v>0</v>
      </c>
      <c r="C94" s="8" t="s">
        <v>39</v>
      </c>
      <c r="D94" s="62"/>
      <c r="E94" s="61"/>
      <c r="F94" s="62"/>
      <c r="G94" s="59">
        <v>552.70000000000005</v>
      </c>
      <c r="H94" s="62"/>
      <c r="I94" s="59">
        <v>844.52</v>
      </c>
      <c r="J94" s="62"/>
      <c r="K94" s="59">
        <v>1247.6300000000001</v>
      </c>
      <c r="L94" s="62"/>
      <c r="M94" s="59">
        <v>1293.1600000000001</v>
      </c>
      <c r="N94" s="62"/>
      <c r="O94" s="59">
        <v>1297.8900000000001</v>
      </c>
      <c r="P94" s="62"/>
      <c r="Q94" s="59">
        <v>1383.4</v>
      </c>
      <c r="R94" s="62"/>
      <c r="S94" s="59">
        <v>1476.8</v>
      </c>
      <c r="T94" s="62"/>
      <c r="U94" s="59">
        <v>1609.7</v>
      </c>
      <c r="V94" s="62"/>
      <c r="W94" s="59">
        <v>1937.5</v>
      </c>
      <c r="X94" s="59"/>
      <c r="Y94" s="59"/>
      <c r="Z94" s="59"/>
      <c r="AA94" s="59"/>
      <c r="AB94" s="8"/>
      <c r="AC94" s="59">
        <v>84.63</v>
      </c>
      <c r="AD94" s="59">
        <v>147.44</v>
      </c>
      <c r="AE94" s="59">
        <v>378.16</v>
      </c>
      <c r="AF94" s="59">
        <v>552.70000000000005</v>
      </c>
      <c r="AG94" s="59">
        <v>1247.6300000000001</v>
      </c>
      <c r="AH94" s="59">
        <v>1297.8900000000001</v>
      </c>
      <c r="AI94" s="59">
        <v>1476.8</v>
      </c>
      <c r="AJ94" s="59">
        <v>1937.5</v>
      </c>
    </row>
    <row r="95" spans="1:36" x14ac:dyDescent="0.3">
      <c r="A95" s="10" t="s">
        <v>112</v>
      </c>
      <c r="B95" s="8" t="s">
        <v>0</v>
      </c>
      <c r="C95" s="8" t="s">
        <v>39</v>
      </c>
      <c r="D95" s="62"/>
      <c r="E95" s="61"/>
      <c r="F95" s="62"/>
      <c r="G95" s="59">
        <v>560.70000000000005</v>
      </c>
      <c r="H95" s="62"/>
      <c r="I95" s="59">
        <v>228.37</v>
      </c>
      <c r="J95" s="62"/>
      <c r="K95" s="59">
        <v>418.93</v>
      </c>
      <c r="L95" s="62"/>
      <c r="M95" s="59">
        <v>510.01</v>
      </c>
      <c r="N95" s="62"/>
      <c r="O95" s="59">
        <v>370.16</v>
      </c>
      <c r="P95" s="62"/>
      <c r="Q95" s="59">
        <v>423.4</v>
      </c>
      <c r="R95" s="62"/>
      <c r="S95" s="59">
        <v>452.6</v>
      </c>
      <c r="T95" s="62"/>
      <c r="U95" s="59">
        <v>762.4</v>
      </c>
      <c r="V95" s="62"/>
      <c r="W95" s="59">
        <v>1163.4000000000001</v>
      </c>
      <c r="X95" s="59"/>
      <c r="Y95" s="59"/>
      <c r="Z95" s="59"/>
      <c r="AA95" s="59"/>
      <c r="AB95" s="8"/>
      <c r="AC95" s="59">
        <v>12.77</v>
      </c>
      <c r="AD95" s="59">
        <v>104.6</v>
      </c>
      <c r="AE95" s="59">
        <v>90.75</v>
      </c>
      <c r="AF95" s="59">
        <v>560.70000000000005</v>
      </c>
      <c r="AG95" s="59">
        <v>418.93</v>
      </c>
      <c r="AH95" s="59">
        <v>370.16</v>
      </c>
      <c r="AI95" s="59">
        <v>452.6</v>
      </c>
      <c r="AJ95" s="59">
        <v>1163.4000000000001</v>
      </c>
    </row>
    <row r="96" spans="1:36" x14ac:dyDescent="0.3">
      <c r="A96" s="10" t="s">
        <v>113</v>
      </c>
      <c r="B96" s="8" t="s">
        <v>0</v>
      </c>
      <c r="C96" s="8" t="s">
        <v>39</v>
      </c>
      <c r="D96" s="62"/>
      <c r="E96" s="61"/>
      <c r="F96" s="62"/>
      <c r="G96" s="59">
        <v>3059.84</v>
      </c>
      <c r="H96" s="62"/>
      <c r="I96" s="59">
        <v>1559.62</v>
      </c>
      <c r="J96" s="62"/>
      <c r="K96" s="59">
        <v>2234.96</v>
      </c>
      <c r="L96" s="62"/>
      <c r="M96" s="59">
        <v>2367.64</v>
      </c>
      <c r="N96" s="62"/>
      <c r="O96" s="59">
        <v>3496.76</v>
      </c>
      <c r="P96" s="62"/>
      <c r="Q96" s="59">
        <v>5040.7</v>
      </c>
      <c r="R96" s="62"/>
      <c r="S96" s="59">
        <v>5895.7</v>
      </c>
      <c r="T96" s="62"/>
      <c r="U96" s="59">
        <v>6144.8</v>
      </c>
      <c r="V96" s="62"/>
      <c r="W96" s="59">
        <v>6161.6</v>
      </c>
      <c r="X96" s="59"/>
      <c r="Y96" s="59"/>
      <c r="Z96" s="59"/>
      <c r="AA96" s="59"/>
      <c r="AB96" s="8"/>
      <c r="AC96" s="59">
        <v>1804.89</v>
      </c>
      <c r="AD96" s="59">
        <v>3028.05</v>
      </c>
      <c r="AE96" s="59">
        <v>3071.37</v>
      </c>
      <c r="AF96" s="59">
        <v>3059.84</v>
      </c>
      <c r="AG96" s="59">
        <v>2234.96</v>
      </c>
      <c r="AH96" s="59">
        <v>3496.76</v>
      </c>
      <c r="AI96" s="59">
        <v>5895.7</v>
      </c>
      <c r="AJ96" s="59">
        <v>6161.6</v>
      </c>
    </row>
    <row r="97" spans="1:36" x14ac:dyDescent="0.3">
      <c r="A97" s="10" t="s">
        <v>108</v>
      </c>
      <c r="B97" s="8" t="s">
        <v>0</v>
      </c>
      <c r="C97" s="8" t="s">
        <v>39</v>
      </c>
      <c r="D97" s="62"/>
      <c r="E97" s="61"/>
      <c r="F97" s="62"/>
      <c r="G97" s="59">
        <v>1666.92</v>
      </c>
      <c r="H97" s="62"/>
      <c r="I97" s="59">
        <v>2319.9499999999998</v>
      </c>
      <c r="J97" s="62"/>
      <c r="K97" s="59">
        <v>2703.61</v>
      </c>
      <c r="L97" s="62"/>
      <c r="M97" s="59">
        <v>3962.46</v>
      </c>
      <c r="N97" s="62"/>
      <c r="O97" s="59">
        <v>6084.58</v>
      </c>
      <c r="P97" s="62"/>
      <c r="Q97" s="59">
        <v>4540.8999999999996</v>
      </c>
      <c r="R97" s="62"/>
      <c r="S97" s="59">
        <v>4386.1000000000004</v>
      </c>
      <c r="T97" s="62"/>
      <c r="U97" s="59">
        <v>6755.2</v>
      </c>
      <c r="V97" s="62"/>
      <c r="W97" s="59">
        <v>9473</v>
      </c>
      <c r="X97" s="59"/>
      <c r="Y97" s="59"/>
      <c r="Z97" s="59"/>
      <c r="AA97" s="59"/>
      <c r="AB97" s="8"/>
      <c r="AC97" s="59">
        <v>275.44</v>
      </c>
      <c r="AD97" s="59">
        <v>470.53</v>
      </c>
      <c r="AE97" s="59">
        <v>850.14</v>
      </c>
      <c r="AF97" s="59">
        <v>1666.92</v>
      </c>
      <c r="AG97" s="59">
        <v>2703.61</v>
      </c>
      <c r="AH97" s="59">
        <v>6084.58</v>
      </c>
      <c r="AI97" s="59">
        <v>4386.1000000000004</v>
      </c>
      <c r="AJ97" s="59">
        <v>9473</v>
      </c>
    </row>
    <row r="98" spans="1:36" x14ac:dyDescent="0.3">
      <c r="A98" s="10" t="s">
        <v>109</v>
      </c>
      <c r="B98" s="8" t="s">
        <v>0</v>
      </c>
      <c r="C98" s="8" t="s">
        <v>39</v>
      </c>
      <c r="D98" s="62"/>
      <c r="E98" s="61"/>
      <c r="F98" s="62"/>
      <c r="G98" s="59">
        <v>88.66</v>
      </c>
      <c r="H98" s="62"/>
      <c r="I98" s="59">
        <v>97.1</v>
      </c>
      <c r="J98" s="62"/>
      <c r="K98" s="59">
        <v>113.86</v>
      </c>
      <c r="L98" s="62"/>
      <c r="M98" s="59">
        <v>87.54</v>
      </c>
      <c r="N98" s="62"/>
      <c r="O98" s="59">
        <v>86.9</v>
      </c>
      <c r="P98" s="62"/>
      <c r="Q98" s="59">
        <v>113.6</v>
      </c>
      <c r="R98" s="62"/>
      <c r="S98" s="59">
        <v>101.9</v>
      </c>
      <c r="T98" s="62"/>
      <c r="U98" s="59">
        <v>123.8</v>
      </c>
      <c r="V98" s="62"/>
      <c r="W98" s="59">
        <v>268.10000000000002</v>
      </c>
      <c r="X98" s="59"/>
      <c r="Y98" s="59"/>
      <c r="Z98" s="59"/>
      <c r="AA98" s="59"/>
      <c r="AB98" s="8"/>
      <c r="AC98" s="59">
        <v>0.37</v>
      </c>
      <c r="AD98" s="59">
        <v>0.67</v>
      </c>
      <c r="AE98" s="59">
        <v>108.47</v>
      </c>
      <c r="AF98" s="59">
        <v>88.66</v>
      </c>
      <c r="AG98" s="59">
        <v>113.86</v>
      </c>
      <c r="AH98" s="59">
        <v>86.9</v>
      </c>
      <c r="AI98" s="59">
        <v>101.9</v>
      </c>
      <c r="AJ98" s="59">
        <v>268.10000000000002</v>
      </c>
    </row>
    <row r="99" spans="1:36" x14ac:dyDescent="0.3">
      <c r="A99" s="10" t="s">
        <v>114</v>
      </c>
      <c r="B99" s="8" t="s">
        <v>0</v>
      </c>
      <c r="C99" s="8" t="s">
        <v>39</v>
      </c>
      <c r="D99" s="62"/>
      <c r="E99" s="61"/>
      <c r="F99" s="62"/>
      <c r="G99" s="59">
        <v>160.41</v>
      </c>
      <c r="H99" s="62"/>
      <c r="I99" s="59">
        <v>258.81</v>
      </c>
      <c r="J99" s="62"/>
      <c r="K99" s="59">
        <v>234.78</v>
      </c>
      <c r="L99" s="62"/>
      <c r="M99" s="59">
        <v>249.52</v>
      </c>
      <c r="N99" s="62"/>
      <c r="O99" s="59">
        <v>273.42</v>
      </c>
      <c r="P99" s="62"/>
      <c r="Q99" s="59">
        <v>271.7</v>
      </c>
      <c r="R99" s="62"/>
      <c r="S99" s="59">
        <v>376.1</v>
      </c>
      <c r="T99" s="62"/>
      <c r="U99" s="59">
        <v>561.79999999999995</v>
      </c>
      <c r="V99" s="62"/>
      <c r="W99" s="59">
        <v>600.70000000000005</v>
      </c>
      <c r="X99" s="59"/>
      <c r="Y99" s="59"/>
      <c r="Z99" s="59"/>
      <c r="AA99" s="59"/>
      <c r="AB99" s="8"/>
      <c r="AC99" s="59">
        <v>101.91</v>
      </c>
      <c r="AD99" s="59">
        <v>148.69999999999999</v>
      </c>
      <c r="AE99" s="59">
        <v>169.15</v>
      </c>
      <c r="AF99" s="59">
        <v>160.41</v>
      </c>
      <c r="AG99" s="59">
        <v>234.78</v>
      </c>
      <c r="AH99" s="59">
        <v>273.42</v>
      </c>
      <c r="AI99" s="59">
        <v>376.1</v>
      </c>
      <c r="AJ99" s="59">
        <v>600.70000000000005</v>
      </c>
    </row>
    <row r="100" spans="1:36" x14ac:dyDescent="0.3">
      <c r="A100" s="10" t="s">
        <v>115</v>
      </c>
      <c r="B100" s="8" t="s">
        <v>0</v>
      </c>
      <c r="C100" s="8" t="s">
        <v>39</v>
      </c>
      <c r="D100" s="62"/>
      <c r="E100" s="61"/>
      <c r="F100" s="62"/>
      <c r="G100" s="59">
        <v>21.73</v>
      </c>
      <c r="H100" s="62"/>
      <c r="I100" s="59">
        <v>80.400000000000006</v>
      </c>
      <c r="J100" s="62"/>
      <c r="K100" s="59">
        <v>0</v>
      </c>
      <c r="L100" s="62"/>
      <c r="M100" s="59">
        <v>0</v>
      </c>
      <c r="N100" s="62"/>
      <c r="O100" s="59">
        <v>0</v>
      </c>
      <c r="P100" s="62"/>
      <c r="Q100" s="59">
        <v>299.8</v>
      </c>
      <c r="R100" s="62"/>
      <c r="S100" s="59">
        <v>0</v>
      </c>
      <c r="T100" s="62"/>
      <c r="U100" s="59">
        <v>0</v>
      </c>
      <c r="V100" s="62"/>
      <c r="W100" s="59">
        <v>0</v>
      </c>
      <c r="X100" s="59"/>
      <c r="Y100" s="59"/>
      <c r="Z100" s="59"/>
      <c r="AA100" s="59"/>
      <c r="AB100" s="8"/>
      <c r="AC100" s="59">
        <v>0</v>
      </c>
      <c r="AD100" s="59">
        <v>2.69</v>
      </c>
      <c r="AE100" s="59">
        <v>246.94</v>
      </c>
      <c r="AF100" s="59">
        <v>21.73</v>
      </c>
      <c r="AG100" s="59">
        <v>0</v>
      </c>
      <c r="AH100" s="59">
        <v>0</v>
      </c>
      <c r="AI100" s="59">
        <v>0</v>
      </c>
      <c r="AJ100" s="59">
        <v>0</v>
      </c>
    </row>
    <row r="101" spans="1:36" x14ac:dyDescent="0.3">
      <c r="A101" s="10" t="s">
        <v>116</v>
      </c>
      <c r="B101" s="8" t="s">
        <v>0</v>
      </c>
      <c r="C101" s="8" t="s">
        <v>39</v>
      </c>
      <c r="D101" s="62"/>
      <c r="E101" s="61"/>
      <c r="F101" s="62"/>
      <c r="G101" s="59">
        <v>220.49</v>
      </c>
      <c r="H101" s="62"/>
      <c r="I101" s="59">
        <v>174.89</v>
      </c>
      <c r="J101" s="62"/>
      <c r="K101" s="59">
        <v>421.31</v>
      </c>
      <c r="L101" s="62"/>
      <c r="M101" s="59">
        <v>320.85000000000002</v>
      </c>
      <c r="N101" s="62"/>
      <c r="O101" s="59">
        <v>375.07</v>
      </c>
      <c r="P101" s="62"/>
      <c r="Q101" s="59"/>
      <c r="R101" s="62"/>
      <c r="S101" s="59">
        <v>405.2</v>
      </c>
      <c r="T101" s="62"/>
      <c r="U101" s="59">
        <v>324.5</v>
      </c>
      <c r="V101" s="62"/>
      <c r="W101" s="59">
        <v>689.4</v>
      </c>
      <c r="X101" s="59"/>
      <c r="Y101" s="59"/>
      <c r="Z101" s="59"/>
      <c r="AA101" s="59"/>
      <c r="AB101" s="8"/>
      <c r="AC101" s="59">
        <v>122.46</v>
      </c>
      <c r="AD101" s="59">
        <v>83.32</v>
      </c>
      <c r="AE101" s="59">
        <v>175.17</v>
      </c>
      <c r="AF101" s="59">
        <v>220.49</v>
      </c>
      <c r="AG101" s="59">
        <v>421.31</v>
      </c>
      <c r="AH101" s="59">
        <v>375.07</v>
      </c>
      <c r="AI101" s="59">
        <v>405.2</v>
      </c>
      <c r="AJ101" s="59">
        <v>689.4</v>
      </c>
    </row>
    <row r="102" spans="1:36" x14ac:dyDescent="0.3">
      <c r="A102" s="1" t="s">
        <v>117</v>
      </c>
      <c r="B102" s="8" t="s">
        <v>0</v>
      </c>
      <c r="C102" s="8"/>
      <c r="D102" s="62"/>
      <c r="E102" s="61"/>
      <c r="F102" s="62"/>
      <c r="G102" s="56">
        <f>SUM(G93:G101)</f>
        <v>9652.5699999999979</v>
      </c>
      <c r="H102" s="62"/>
      <c r="I102" s="56">
        <f>SUM(I93:I101)</f>
        <v>10425.9</v>
      </c>
      <c r="J102" s="62"/>
      <c r="K102" s="56">
        <f>SUM(K93:K101)</f>
        <v>11975.090000000002</v>
      </c>
      <c r="L102" s="62"/>
      <c r="M102" s="56">
        <f>SUM(M93:M101)</f>
        <v>15387.200000000003</v>
      </c>
      <c r="N102" s="62"/>
      <c r="O102" s="56">
        <f>SUM(O93:O101)</f>
        <v>18788.73</v>
      </c>
      <c r="P102" s="62"/>
      <c r="Q102" s="56">
        <f>SUM(Q93:Q101)</f>
        <v>21462.199999999997</v>
      </c>
      <c r="R102" s="62"/>
      <c r="S102" s="56">
        <f>SUM(S93:S101)</f>
        <v>21605.899999999998</v>
      </c>
      <c r="T102" s="62"/>
      <c r="U102" s="56">
        <f>SUM(U93:U101)</f>
        <v>25853.3</v>
      </c>
      <c r="V102" s="62"/>
      <c r="W102" s="56">
        <f>SUM(W93:W101)</f>
        <v>27582.5</v>
      </c>
      <c r="X102" s="56"/>
      <c r="Y102" s="56"/>
      <c r="Z102" s="56"/>
      <c r="AA102" s="56"/>
      <c r="AB102" s="8"/>
      <c r="AC102" s="60">
        <f t="shared" ref="AC102:AJ102" si="23">SUM(AC93:AC101)</f>
        <v>4656.95</v>
      </c>
      <c r="AD102" s="60">
        <f t="shared" si="23"/>
        <v>6659.2599999999993</v>
      </c>
      <c r="AE102" s="60">
        <f t="shared" si="23"/>
        <v>6948.2</v>
      </c>
      <c r="AF102" s="60">
        <f t="shared" si="23"/>
        <v>9652.5699999999979</v>
      </c>
      <c r="AG102" s="60">
        <f t="shared" si="23"/>
        <v>11975.090000000002</v>
      </c>
      <c r="AH102" s="60">
        <f t="shared" si="23"/>
        <v>18788.73</v>
      </c>
      <c r="AI102" s="60">
        <f t="shared" si="23"/>
        <v>21605.899999999998</v>
      </c>
      <c r="AJ102" s="60">
        <f t="shared" si="23"/>
        <v>27582.5</v>
      </c>
    </row>
    <row r="104" spans="1:36" x14ac:dyDescent="0.3">
      <c r="A104" s="1" t="s">
        <v>118</v>
      </c>
      <c r="B104" s="8" t="s">
        <v>0</v>
      </c>
      <c r="C104" s="8"/>
      <c r="D104" s="62"/>
      <c r="E104" s="61"/>
      <c r="F104" s="62"/>
      <c r="G104" s="56">
        <f>G90+G102</f>
        <v>13005.199999999997</v>
      </c>
      <c r="H104" s="62"/>
      <c r="I104" s="56">
        <f>I90+I102</f>
        <v>15156.09</v>
      </c>
      <c r="J104" s="62"/>
      <c r="K104" s="56">
        <f>K90+K102</f>
        <v>15578.230000000001</v>
      </c>
      <c r="L104" s="62"/>
      <c r="M104" s="56">
        <f>M90+M102</f>
        <v>17263.210000000003</v>
      </c>
      <c r="N104" s="62"/>
      <c r="O104" s="56">
        <f>O90+O102</f>
        <v>21195.82</v>
      </c>
      <c r="P104" s="62"/>
      <c r="Q104" s="56">
        <f>Q90+Q102</f>
        <v>23898.499999999996</v>
      </c>
      <c r="R104" s="62"/>
      <c r="S104" s="56">
        <f>S90+S102</f>
        <v>26368.699999999997</v>
      </c>
      <c r="T104" s="62"/>
      <c r="U104" s="56">
        <f>U90+U102</f>
        <v>28929.7</v>
      </c>
      <c r="V104" s="62"/>
      <c r="W104" s="56">
        <f>W90+W102</f>
        <v>31092.799999999999</v>
      </c>
      <c r="X104" s="56"/>
      <c r="Y104" s="56"/>
      <c r="Z104" s="56"/>
      <c r="AA104" s="56"/>
      <c r="AB104" s="8"/>
      <c r="AC104" s="60">
        <f t="shared" ref="AC104:AJ104" si="24">AC90+AC102</f>
        <v>5446.3</v>
      </c>
      <c r="AD104" s="60">
        <f t="shared" si="24"/>
        <v>8015.9499999999989</v>
      </c>
      <c r="AE104" s="60">
        <f t="shared" si="24"/>
        <v>8112.15</v>
      </c>
      <c r="AF104" s="60">
        <f t="shared" si="24"/>
        <v>13005.199999999997</v>
      </c>
      <c r="AG104" s="60">
        <f t="shared" si="24"/>
        <v>15578.230000000001</v>
      </c>
      <c r="AH104" s="60">
        <f t="shared" si="24"/>
        <v>21195.82</v>
      </c>
      <c r="AI104" s="60">
        <f t="shared" si="24"/>
        <v>26368.699999999997</v>
      </c>
      <c r="AJ104" s="60">
        <f t="shared" si="24"/>
        <v>31092.799999999999</v>
      </c>
    </row>
    <row r="105" spans="1:36" x14ac:dyDescent="0.3">
      <c r="A105" s="1" t="s">
        <v>119</v>
      </c>
      <c r="B105" s="8" t="s">
        <v>0</v>
      </c>
      <c r="C105" s="8"/>
      <c r="D105" s="62"/>
      <c r="E105" s="61"/>
      <c r="F105" s="62"/>
      <c r="G105" s="56">
        <f>G83+G104</f>
        <v>26460.35</v>
      </c>
      <c r="H105" s="62"/>
      <c r="I105" s="56">
        <f>I83+I104</f>
        <v>28863.93</v>
      </c>
      <c r="J105" s="62"/>
      <c r="K105" s="56">
        <f>K83+K104</f>
        <v>29499.78</v>
      </c>
      <c r="L105" s="62"/>
      <c r="M105" s="56">
        <f>M83+M104</f>
        <v>31358.590000000004</v>
      </c>
      <c r="N105" s="62"/>
      <c r="O105" s="56">
        <f>O83+O104</f>
        <v>34006.26</v>
      </c>
      <c r="P105" s="62"/>
      <c r="Q105" s="56">
        <f>Q83+Q104</f>
        <v>37234.199999999997</v>
      </c>
      <c r="R105" s="62"/>
      <c r="S105" s="56">
        <f>S83+S104</f>
        <v>39795.299999999996</v>
      </c>
      <c r="T105" s="62"/>
      <c r="U105" s="56">
        <f>U83+U104</f>
        <v>43324</v>
      </c>
      <c r="V105" s="62"/>
      <c r="W105" s="56">
        <f>W83+W104</f>
        <v>46113.8</v>
      </c>
      <c r="X105" s="56"/>
      <c r="Y105" s="56"/>
      <c r="Z105" s="56"/>
      <c r="AA105" s="56"/>
      <c r="AB105" s="8"/>
      <c r="AC105" s="60">
        <f t="shared" ref="AC105:AJ105" si="25">AC83+AC104</f>
        <v>7756.57</v>
      </c>
      <c r="AD105" s="60">
        <f t="shared" si="25"/>
        <v>11244.82</v>
      </c>
      <c r="AE105" s="60">
        <f t="shared" si="25"/>
        <v>13019.9</v>
      </c>
      <c r="AF105" s="60">
        <f t="shared" si="25"/>
        <v>26460.35</v>
      </c>
      <c r="AG105" s="60">
        <f t="shared" si="25"/>
        <v>29499.78</v>
      </c>
      <c r="AH105" s="60">
        <f t="shared" si="25"/>
        <v>34006.26</v>
      </c>
      <c r="AI105" s="60">
        <f t="shared" si="25"/>
        <v>39795.299999999996</v>
      </c>
      <c r="AJ105" s="60">
        <f t="shared" si="25"/>
        <v>46113.8</v>
      </c>
    </row>
    <row r="106" spans="1:36" x14ac:dyDescent="0.3">
      <c r="A106" s="12" t="s">
        <v>120</v>
      </c>
      <c r="B106" s="8" t="s">
        <v>0</v>
      </c>
      <c r="C106" s="8"/>
      <c r="D106" s="62"/>
      <c r="E106" s="61"/>
      <c r="F106" s="62"/>
      <c r="G106" s="56">
        <f>G75-G105</f>
        <v>0</v>
      </c>
      <c r="H106" s="62"/>
      <c r="I106" s="56">
        <f>I75-I105</f>
        <v>0</v>
      </c>
      <c r="J106" s="62"/>
      <c r="K106" s="56">
        <f>K75-K105</f>
        <v>0</v>
      </c>
      <c r="L106" s="62"/>
      <c r="M106" s="56">
        <f>M75-M105</f>
        <v>0</v>
      </c>
      <c r="N106" s="62"/>
      <c r="O106" s="56">
        <f>O75-O105</f>
        <v>0</v>
      </c>
      <c r="P106" s="62"/>
      <c r="Q106" s="56">
        <f>Q75-Q105</f>
        <v>0</v>
      </c>
      <c r="R106" s="62"/>
      <c r="S106" s="56">
        <f>S75-S105</f>
        <v>0</v>
      </c>
      <c r="T106" s="62"/>
      <c r="U106" s="56">
        <f>U75-U105</f>
        <v>0</v>
      </c>
      <c r="V106" s="62"/>
      <c r="W106" s="56">
        <f>W75-W105</f>
        <v>0</v>
      </c>
      <c r="X106" s="56"/>
      <c r="Y106" s="56"/>
      <c r="Z106" s="56"/>
      <c r="AA106" s="56"/>
      <c r="AB106" s="8"/>
      <c r="AC106" s="56">
        <f t="shared" ref="AC106:AJ106" si="26">AC75-AC105</f>
        <v>0</v>
      </c>
      <c r="AD106" s="56">
        <f t="shared" si="26"/>
        <v>0</v>
      </c>
      <c r="AE106" s="56">
        <f t="shared" si="26"/>
        <v>0</v>
      </c>
      <c r="AF106" s="56">
        <f t="shared" si="26"/>
        <v>0</v>
      </c>
      <c r="AG106" s="56">
        <f t="shared" si="26"/>
        <v>0</v>
      </c>
      <c r="AH106" s="56">
        <f t="shared" si="26"/>
        <v>0</v>
      </c>
      <c r="AI106" s="56">
        <f t="shared" si="26"/>
        <v>0</v>
      </c>
      <c r="AJ106" s="56">
        <f t="shared" si="26"/>
        <v>0</v>
      </c>
    </row>
    <row r="109" spans="1:36" x14ac:dyDescent="0.3">
      <c r="A109" s="5" t="s">
        <v>121</v>
      </c>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row>
    <row r="110" spans="1:36" hidden="1" outlineLevel="1" x14ac:dyDescent="0.3">
      <c r="A110" s="7" t="s">
        <v>122</v>
      </c>
      <c r="B110" s="8" t="s">
        <v>0</v>
      </c>
      <c r="C110" s="8" t="s">
        <v>39</v>
      </c>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8"/>
      <c r="AC110" s="59">
        <v>-317.2</v>
      </c>
      <c r="AD110" s="59">
        <v>-124.3</v>
      </c>
      <c r="AE110" s="59">
        <v>753.38</v>
      </c>
      <c r="AF110" s="59">
        <v>473.06</v>
      </c>
      <c r="AG110" s="59">
        <v>383.95</v>
      </c>
      <c r="AH110" s="59">
        <v>690.27</v>
      </c>
      <c r="AI110" s="59">
        <v>1274.5</v>
      </c>
      <c r="AJ110" s="59">
        <v>3302.3</v>
      </c>
    </row>
    <row r="111" spans="1:36" hidden="1" outlineLevel="1" x14ac:dyDescent="0.3">
      <c r="A111" s="3" t="s">
        <v>123</v>
      </c>
    </row>
    <row r="112" spans="1:36" hidden="1" outlineLevel="1" x14ac:dyDescent="0.3">
      <c r="A112" s="10" t="s">
        <v>124</v>
      </c>
      <c r="B112" s="8" t="s">
        <v>0</v>
      </c>
      <c r="C112" s="8" t="s">
        <v>39</v>
      </c>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8"/>
      <c r="AC112" s="59">
        <v>308.76</v>
      </c>
      <c r="AD112" s="59">
        <v>595.09</v>
      </c>
      <c r="AE112" s="59">
        <v>671.28</v>
      </c>
      <c r="AF112" s="59">
        <v>835</v>
      </c>
      <c r="AG112" s="59">
        <v>1559.73</v>
      </c>
      <c r="AH112" s="59">
        <v>1998.62</v>
      </c>
      <c r="AI112" s="59">
        <v>2321.1999999999998</v>
      </c>
      <c r="AJ112" s="59">
        <v>2766.1</v>
      </c>
    </row>
    <row r="113" spans="1:36" hidden="1" outlineLevel="1" x14ac:dyDescent="0.3">
      <c r="A113" s="10" t="s">
        <v>125</v>
      </c>
      <c r="B113" s="8" t="s">
        <v>0</v>
      </c>
      <c r="C113" s="8" t="s">
        <v>39</v>
      </c>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8"/>
      <c r="AC113" s="59">
        <v>0</v>
      </c>
      <c r="AD113" s="59">
        <v>0</v>
      </c>
      <c r="AE113" s="59">
        <v>0</v>
      </c>
      <c r="AF113" s="59">
        <v>129.12</v>
      </c>
      <c r="AG113" s="59">
        <v>172.81</v>
      </c>
      <c r="AH113" s="59">
        <v>243.71</v>
      </c>
      <c r="AI113" s="59">
        <v>342.8</v>
      </c>
      <c r="AJ113" s="59">
        <v>437.2</v>
      </c>
    </row>
    <row r="114" spans="1:36" hidden="1" outlineLevel="1" x14ac:dyDescent="0.3">
      <c r="A114" s="10" t="s">
        <v>126</v>
      </c>
      <c r="B114" s="8" t="s">
        <v>0</v>
      </c>
      <c r="C114" s="8" t="s">
        <v>39</v>
      </c>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8"/>
      <c r="AC114" s="59">
        <v>263.42</v>
      </c>
      <c r="AD114" s="59">
        <v>442.93</v>
      </c>
      <c r="AE114" s="59">
        <v>307.01</v>
      </c>
      <c r="AF114" s="59">
        <v>465.11</v>
      </c>
      <c r="AG114" s="59">
        <v>746.05</v>
      </c>
      <c r="AH114" s="59">
        <v>828.32</v>
      </c>
      <c r="AI114" s="59">
        <v>1073.2</v>
      </c>
      <c r="AJ114" s="59">
        <v>1171.2</v>
      </c>
    </row>
    <row r="115" spans="1:36" hidden="1" outlineLevel="1" x14ac:dyDescent="0.3">
      <c r="A115" s="10" t="s">
        <v>127</v>
      </c>
      <c r="B115" s="8" t="s">
        <v>0</v>
      </c>
      <c r="C115" s="8" t="s">
        <v>39</v>
      </c>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8"/>
      <c r="AC115" s="59">
        <v>0</v>
      </c>
      <c r="AD115" s="59">
        <v>0</v>
      </c>
      <c r="AE115" s="59">
        <v>0</v>
      </c>
      <c r="AF115" s="59">
        <v>0.65</v>
      </c>
      <c r="AG115" s="59">
        <v>-3.11</v>
      </c>
      <c r="AH115" s="59">
        <v>6.41</v>
      </c>
      <c r="AI115" s="59">
        <v>0</v>
      </c>
      <c r="AJ115" s="59">
        <v>-31.9</v>
      </c>
    </row>
    <row r="116" spans="1:36" hidden="1" outlineLevel="1" x14ac:dyDescent="0.3">
      <c r="A116" s="10" t="s">
        <v>128</v>
      </c>
      <c r="B116" s="8" t="s">
        <v>0</v>
      </c>
      <c r="C116" s="8" t="s">
        <v>39</v>
      </c>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8"/>
      <c r="AC116" s="59">
        <v>0</v>
      </c>
      <c r="AD116" s="59">
        <v>-74.41</v>
      </c>
      <c r="AE116" s="59">
        <v>0</v>
      </c>
      <c r="AF116" s="59">
        <v>0</v>
      </c>
      <c r="AG116" s="59">
        <v>0</v>
      </c>
      <c r="AH116" s="59">
        <v>0</v>
      </c>
      <c r="AI116" s="59">
        <v>0</v>
      </c>
      <c r="AJ116" s="59">
        <v>0</v>
      </c>
    </row>
    <row r="117" spans="1:36" hidden="1" outlineLevel="1" x14ac:dyDescent="0.3">
      <c r="A117" s="10" t="s">
        <v>129</v>
      </c>
      <c r="B117" s="8" t="s">
        <v>0</v>
      </c>
      <c r="C117" s="8" t="s">
        <v>39</v>
      </c>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8"/>
      <c r="AC117" s="59">
        <v>-15.28</v>
      </c>
      <c r="AD117" s="59">
        <v>0</v>
      </c>
      <c r="AE117" s="59">
        <v>0</v>
      </c>
      <c r="AF117" s="59">
        <v>0</v>
      </c>
      <c r="AG117" s="59">
        <v>0</v>
      </c>
      <c r="AH117" s="59">
        <v>0</v>
      </c>
      <c r="AI117" s="59">
        <v>0</v>
      </c>
      <c r="AJ117" s="59">
        <v>0</v>
      </c>
    </row>
    <row r="118" spans="1:36" hidden="1" outlineLevel="1" x14ac:dyDescent="0.3">
      <c r="A118" s="10" t="s">
        <v>130</v>
      </c>
      <c r="B118" s="8" t="s">
        <v>0</v>
      </c>
      <c r="C118" s="8" t="s">
        <v>39</v>
      </c>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8"/>
      <c r="AC118" s="59">
        <v>42.1</v>
      </c>
      <c r="AD118" s="59">
        <v>43.61</v>
      </c>
      <c r="AE118" s="59">
        <v>52.6</v>
      </c>
      <c r="AF118" s="59">
        <v>143.24</v>
      </c>
      <c r="AG118" s="59">
        <v>93.96</v>
      </c>
      <c r="AH118" s="59">
        <v>163.63999999999999</v>
      </c>
      <c r="AI118" s="59">
        <v>169</v>
      </c>
      <c r="AJ118" s="59">
        <v>167.1</v>
      </c>
    </row>
    <row r="119" spans="1:36" hidden="1" outlineLevel="1" x14ac:dyDescent="0.3">
      <c r="A119" s="10" t="s">
        <v>131</v>
      </c>
      <c r="B119" s="8" t="s">
        <v>0</v>
      </c>
      <c r="C119" s="8" t="s">
        <v>39</v>
      </c>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8"/>
      <c r="AC119" s="59">
        <v>12.36</v>
      </c>
      <c r="AD119" s="59">
        <v>25.45</v>
      </c>
      <c r="AE119" s="59">
        <v>38.020000000000003</v>
      </c>
      <c r="AF119" s="59">
        <v>35.5</v>
      </c>
      <c r="AG119" s="59">
        <v>41.65</v>
      </c>
      <c r="AH119" s="59">
        <v>45.78</v>
      </c>
      <c r="AI119" s="59">
        <v>43.1</v>
      </c>
      <c r="AJ119" s="59">
        <v>232.4</v>
      </c>
    </row>
    <row r="120" spans="1:36" hidden="1" outlineLevel="1" x14ac:dyDescent="0.3">
      <c r="A120" s="10" t="s">
        <v>132</v>
      </c>
      <c r="B120" s="8" t="s">
        <v>0</v>
      </c>
      <c r="C120" s="8" t="s">
        <v>39</v>
      </c>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8"/>
      <c r="AC120" s="59">
        <v>0</v>
      </c>
      <c r="AD120" s="59">
        <v>0</v>
      </c>
      <c r="AE120" s="59">
        <v>102.81</v>
      </c>
      <c r="AF120" s="59">
        <v>0.65</v>
      </c>
      <c r="AG120" s="59">
        <v>30.04</v>
      </c>
      <c r="AH120" s="59">
        <v>-19.04</v>
      </c>
      <c r="AI120" s="59">
        <v>23.1</v>
      </c>
      <c r="AJ120" s="59">
        <v>75.3</v>
      </c>
    </row>
    <row r="121" spans="1:36" hidden="1" outlineLevel="1" x14ac:dyDescent="0.3">
      <c r="A121" s="10" t="s">
        <v>133</v>
      </c>
      <c r="B121" s="8" t="s">
        <v>0</v>
      </c>
      <c r="C121" s="8" t="s">
        <v>39</v>
      </c>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8"/>
      <c r="AC121" s="59">
        <v>0.67</v>
      </c>
      <c r="AD121" s="59">
        <v>0.35</v>
      </c>
      <c r="AE121" s="59">
        <v>66.67</v>
      </c>
      <c r="AF121" s="59">
        <v>-23.29</v>
      </c>
      <c r="AG121" s="59">
        <v>44.8</v>
      </c>
      <c r="AH121" s="59">
        <v>113.14</v>
      </c>
      <c r="AI121" s="59">
        <v>-7.8</v>
      </c>
      <c r="AJ121" s="59">
        <v>8.9</v>
      </c>
    </row>
    <row r="122" spans="1:36" hidden="1" outlineLevel="1" x14ac:dyDescent="0.3">
      <c r="A122" s="10" t="s">
        <v>134</v>
      </c>
      <c r="B122" s="8" t="s">
        <v>0</v>
      </c>
      <c r="C122" s="8" t="s">
        <v>39</v>
      </c>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8"/>
      <c r="AC122" s="59">
        <v>-8.2799999999999994</v>
      </c>
      <c r="AD122" s="59">
        <v>-18.86</v>
      </c>
      <c r="AE122" s="59">
        <v>-102.92</v>
      </c>
      <c r="AF122" s="59">
        <v>-227.78</v>
      </c>
      <c r="AG122" s="59">
        <v>-218.59</v>
      </c>
      <c r="AH122" s="59">
        <v>-197.32</v>
      </c>
      <c r="AI122" s="59">
        <v>-182.9</v>
      </c>
      <c r="AJ122" s="59">
        <v>-249.5</v>
      </c>
    </row>
    <row r="123" spans="1:36" hidden="1" outlineLevel="1" x14ac:dyDescent="0.3">
      <c r="A123" s="10" t="s">
        <v>135</v>
      </c>
      <c r="B123" s="8" t="s">
        <v>0</v>
      </c>
      <c r="C123" s="8" t="s">
        <v>39</v>
      </c>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8"/>
      <c r="AC123" s="59">
        <v>0</v>
      </c>
      <c r="AD123" s="59">
        <v>0</v>
      </c>
      <c r="AE123" s="59">
        <v>0</v>
      </c>
      <c r="AF123" s="59">
        <v>0</v>
      </c>
      <c r="AG123" s="59">
        <v>-2.19</v>
      </c>
      <c r="AH123" s="59">
        <v>-18.329999999999998</v>
      </c>
      <c r="AI123" s="59">
        <v>0</v>
      </c>
      <c r="AJ123" s="59">
        <v>0</v>
      </c>
    </row>
    <row r="124" spans="1:36" hidden="1" outlineLevel="1" x14ac:dyDescent="0.3">
      <c r="A124" s="10" t="s">
        <v>136</v>
      </c>
      <c r="B124" s="8" t="s">
        <v>0</v>
      </c>
      <c r="C124" s="8" t="s">
        <v>39</v>
      </c>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8"/>
      <c r="AC124" s="59">
        <v>0</v>
      </c>
      <c r="AD124" s="59">
        <v>0.22</v>
      </c>
      <c r="AE124" s="59">
        <v>17.760000000000002</v>
      </c>
      <c r="AF124" s="59">
        <v>0</v>
      </c>
      <c r="AG124" s="59">
        <v>0</v>
      </c>
      <c r="AH124" s="59">
        <v>0</v>
      </c>
      <c r="AI124" s="59">
        <v>0</v>
      </c>
      <c r="AJ124" s="59">
        <v>3.1</v>
      </c>
    </row>
    <row r="125" spans="1:36" hidden="1" outlineLevel="1" x14ac:dyDescent="0.3">
      <c r="A125" s="10" t="s">
        <v>137</v>
      </c>
      <c r="B125" s="8" t="s">
        <v>0</v>
      </c>
      <c r="C125" s="8" t="s">
        <v>39</v>
      </c>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8"/>
      <c r="AC125" s="59">
        <v>0</v>
      </c>
      <c r="AD125" s="59">
        <v>0</v>
      </c>
      <c r="AE125" s="59">
        <v>0</v>
      </c>
      <c r="AF125" s="59">
        <v>0</v>
      </c>
      <c r="AG125" s="59">
        <v>0</v>
      </c>
      <c r="AH125" s="59">
        <v>0</v>
      </c>
      <c r="AI125" s="59">
        <v>35.200000000000003</v>
      </c>
      <c r="AJ125" s="59">
        <v>77.7</v>
      </c>
    </row>
    <row r="126" spans="1:36" hidden="1" outlineLevel="1" x14ac:dyDescent="0.3">
      <c r="A126" s="10" t="s">
        <v>138</v>
      </c>
      <c r="B126" s="8" t="s">
        <v>0</v>
      </c>
      <c r="C126" s="8" t="s">
        <v>39</v>
      </c>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8"/>
      <c r="AC126" s="59">
        <v>0</v>
      </c>
      <c r="AD126" s="59">
        <v>0</v>
      </c>
      <c r="AE126" s="59">
        <v>-3.44</v>
      </c>
      <c r="AF126" s="59">
        <v>0</v>
      </c>
      <c r="AG126" s="59">
        <v>-10.1</v>
      </c>
      <c r="AH126" s="59">
        <v>-27.46</v>
      </c>
      <c r="AI126" s="59">
        <v>-38.4</v>
      </c>
      <c r="AJ126" s="59">
        <v>-13.8</v>
      </c>
    </row>
    <row r="127" spans="1:36" hidden="1" outlineLevel="1" x14ac:dyDescent="0.3">
      <c r="A127" s="1" t="s">
        <v>139</v>
      </c>
      <c r="B127" s="8" t="s">
        <v>0</v>
      </c>
      <c r="C127" s="8"/>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8"/>
      <c r="AC127" s="60">
        <f t="shared" ref="AC127:AJ127" si="27">AC110+SUM(AC112:AC126)</f>
        <v>286.55000000000013</v>
      </c>
      <c r="AD127" s="60">
        <f t="shared" si="27"/>
        <v>890.08</v>
      </c>
      <c r="AE127" s="60">
        <f t="shared" si="27"/>
        <v>1903.1699999999996</v>
      </c>
      <c r="AF127" s="60">
        <f t="shared" si="27"/>
        <v>1831.2600000000002</v>
      </c>
      <c r="AG127" s="60">
        <f t="shared" si="27"/>
        <v>2839</v>
      </c>
      <c r="AH127" s="60">
        <f t="shared" si="27"/>
        <v>3827.74</v>
      </c>
      <c r="AI127" s="60">
        <f t="shared" si="27"/>
        <v>5052.9999999999991</v>
      </c>
      <c r="AJ127" s="60">
        <f t="shared" si="27"/>
        <v>7946.1</v>
      </c>
    </row>
    <row r="128" spans="1:36" hidden="1" outlineLevel="1" x14ac:dyDescent="0.3"/>
    <row r="129" spans="1:36" hidden="1" outlineLevel="1" x14ac:dyDescent="0.3">
      <c r="A129" s="3" t="s">
        <v>140</v>
      </c>
    </row>
    <row r="130" spans="1:36" hidden="1" outlineLevel="1" x14ac:dyDescent="0.3">
      <c r="A130" s="10" t="s">
        <v>141</v>
      </c>
      <c r="B130" s="8" t="s">
        <v>0</v>
      </c>
      <c r="C130" s="8" t="s">
        <v>39</v>
      </c>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8"/>
      <c r="AC130" s="59">
        <v>66.59</v>
      </c>
      <c r="AD130" s="59">
        <v>-404.76</v>
      </c>
      <c r="AE130" s="59">
        <v>152.49</v>
      </c>
      <c r="AF130" s="59">
        <v>-136.97</v>
      </c>
      <c r="AG130" s="59">
        <v>-718.84</v>
      </c>
      <c r="AH130" s="59">
        <v>-893.83</v>
      </c>
      <c r="AI130" s="59">
        <v>-39.299999999999997</v>
      </c>
      <c r="AJ130" s="59">
        <v>-470.3</v>
      </c>
    </row>
    <row r="131" spans="1:36" hidden="1" outlineLevel="1" x14ac:dyDescent="0.3">
      <c r="A131" s="10" t="s">
        <v>142</v>
      </c>
      <c r="B131" s="8" t="s">
        <v>0</v>
      </c>
      <c r="C131" s="8" t="s">
        <v>39</v>
      </c>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8"/>
      <c r="AC131" s="59">
        <v>-1256.67</v>
      </c>
      <c r="AD131" s="59">
        <v>-2007.45</v>
      </c>
      <c r="AE131" s="59">
        <v>-521.30999999999995</v>
      </c>
      <c r="AF131" s="59">
        <v>-3719.01</v>
      </c>
      <c r="AG131" s="59">
        <v>-1295.19</v>
      </c>
      <c r="AH131" s="59">
        <v>-1869.06</v>
      </c>
      <c r="AI131" s="59">
        <v>-2170</v>
      </c>
      <c r="AJ131" s="59">
        <v>-2246.1999999999998</v>
      </c>
    </row>
    <row r="132" spans="1:36" hidden="1" outlineLevel="1" x14ac:dyDescent="0.3">
      <c r="A132" s="10" t="s">
        <v>143</v>
      </c>
      <c r="B132" s="8" t="s">
        <v>0</v>
      </c>
      <c r="C132" s="8" t="s">
        <v>39</v>
      </c>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8"/>
      <c r="AC132" s="59">
        <v>-466.68</v>
      </c>
      <c r="AD132" s="59">
        <v>207.75</v>
      </c>
      <c r="AE132" s="59">
        <v>-262.24</v>
      </c>
      <c r="AF132" s="59">
        <v>-413.29</v>
      </c>
      <c r="AG132" s="59">
        <v>-91.44</v>
      </c>
      <c r="AH132" s="59">
        <v>-591.51</v>
      </c>
      <c r="AI132" s="59">
        <v>140.30000000000001</v>
      </c>
      <c r="AJ132" s="59">
        <v>-187.9</v>
      </c>
    </row>
    <row r="133" spans="1:36" hidden="1" outlineLevel="1" x14ac:dyDescent="0.3">
      <c r="A133" s="10" t="s">
        <v>144</v>
      </c>
      <c r="B133" s="8" t="s">
        <v>0</v>
      </c>
      <c r="C133" s="8" t="s">
        <v>39</v>
      </c>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8"/>
      <c r="AC133" s="59">
        <v>-35.21</v>
      </c>
      <c r="AD133" s="59">
        <v>-9.9499999999999993</v>
      </c>
      <c r="AE133" s="59">
        <v>39.96</v>
      </c>
      <c r="AF133" s="59">
        <v>0</v>
      </c>
      <c r="AG133" s="59">
        <v>0</v>
      </c>
      <c r="AH133" s="59">
        <v>0</v>
      </c>
      <c r="AI133" s="59">
        <v>0</v>
      </c>
      <c r="AJ133" s="59">
        <v>0</v>
      </c>
    </row>
    <row r="134" spans="1:36" hidden="1" outlineLevel="1" x14ac:dyDescent="0.3">
      <c r="A134" s="10" t="s">
        <v>145</v>
      </c>
      <c r="B134" s="8" t="s">
        <v>0</v>
      </c>
      <c r="C134" s="8" t="s">
        <v>39</v>
      </c>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8"/>
      <c r="AC134" s="59">
        <v>0</v>
      </c>
      <c r="AD134" s="59">
        <v>0</v>
      </c>
      <c r="AE134" s="59">
        <v>0</v>
      </c>
      <c r="AF134" s="59">
        <v>-193.69</v>
      </c>
      <c r="AG134" s="59">
        <v>-223.02</v>
      </c>
      <c r="AH134" s="59">
        <v>-106.99</v>
      </c>
      <c r="AI134" s="59">
        <v>-74.400000000000006</v>
      </c>
      <c r="AJ134" s="59">
        <v>-271.10000000000002</v>
      </c>
    </row>
    <row r="135" spans="1:36" hidden="1" outlineLevel="1" x14ac:dyDescent="0.3">
      <c r="A135" s="10" t="s">
        <v>146</v>
      </c>
      <c r="B135" s="8" t="s">
        <v>0</v>
      </c>
      <c r="C135" s="8" t="s">
        <v>39</v>
      </c>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8"/>
      <c r="AC135" s="59">
        <v>-22.33</v>
      </c>
      <c r="AD135" s="59">
        <v>-49.53</v>
      </c>
      <c r="AE135" s="59">
        <v>-108.73</v>
      </c>
      <c r="AF135" s="59">
        <v>0</v>
      </c>
      <c r="AG135" s="59">
        <v>0</v>
      </c>
      <c r="AH135" s="59">
        <v>0</v>
      </c>
      <c r="AI135" s="59">
        <v>0</v>
      </c>
      <c r="AJ135" s="59">
        <v>0</v>
      </c>
    </row>
    <row r="136" spans="1:36" hidden="1" outlineLevel="1" x14ac:dyDescent="0.3">
      <c r="A136" s="10" t="s">
        <v>147</v>
      </c>
      <c r="B136" s="8" t="s">
        <v>0</v>
      </c>
      <c r="C136" s="8" t="s">
        <v>39</v>
      </c>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8"/>
      <c r="AC136" s="59">
        <v>-575.89</v>
      </c>
      <c r="AD136" s="59">
        <v>8.07</v>
      </c>
      <c r="AE136" s="59">
        <v>-157.04</v>
      </c>
      <c r="AF136" s="59">
        <v>-1169.2</v>
      </c>
      <c r="AG136" s="59">
        <v>-1213.21</v>
      </c>
      <c r="AH136" s="59">
        <v>-1124.19</v>
      </c>
      <c r="AI136" s="59">
        <v>-832.4</v>
      </c>
      <c r="AJ136" s="59">
        <v>-1011.7</v>
      </c>
    </row>
    <row r="137" spans="1:36" hidden="1" outlineLevel="1" x14ac:dyDescent="0.3">
      <c r="A137" s="10" t="s">
        <v>148</v>
      </c>
      <c r="B137" s="8" t="s">
        <v>0</v>
      </c>
      <c r="C137" s="8" t="s">
        <v>39</v>
      </c>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8"/>
      <c r="AC137" s="59">
        <v>239.07</v>
      </c>
      <c r="AD137" s="59">
        <v>-22.18</v>
      </c>
      <c r="AE137" s="59">
        <v>25.38</v>
      </c>
      <c r="AF137" s="59">
        <v>-35</v>
      </c>
      <c r="AG137" s="59">
        <v>-67.7</v>
      </c>
      <c r="AH137" s="59">
        <v>31.92</v>
      </c>
      <c r="AI137" s="59">
        <v>-6.5</v>
      </c>
      <c r="AJ137" s="59">
        <v>52</v>
      </c>
    </row>
    <row r="138" spans="1:36" hidden="1" outlineLevel="1" x14ac:dyDescent="0.3">
      <c r="A138" s="10" t="s">
        <v>149</v>
      </c>
      <c r="B138" s="8" t="s">
        <v>0</v>
      </c>
      <c r="C138" s="8" t="s">
        <v>39</v>
      </c>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8"/>
      <c r="AC138" s="59">
        <v>568.79999999999995</v>
      </c>
      <c r="AD138" s="59">
        <v>1314.99</v>
      </c>
      <c r="AE138" s="59">
        <v>21.18</v>
      </c>
      <c r="AF138" s="59">
        <v>412.38</v>
      </c>
      <c r="AG138" s="59">
        <v>-987.06</v>
      </c>
      <c r="AH138" s="59">
        <v>1220.8</v>
      </c>
      <c r="AI138" s="59">
        <v>2458</v>
      </c>
      <c r="AJ138" s="59">
        <v>979.8</v>
      </c>
    </row>
    <row r="139" spans="1:36" hidden="1" outlineLevel="1" x14ac:dyDescent="0.3">
      <c r="A139" s="10" t="s">
        <v>150</v>
      </c>
      <c r="B139" s="8" t="s">
        <v>0</v>
      </c>
      <c r="C139" s="8" t="s">
        <v>39</v>
      </c>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8"/>
      <c r="AC139" s="59">
        <v>0.18</v>
      </c>
      <c r="AD139" s="59">
        <v>0.3</v>
      </c>
      <c r="AE139" s="59">
        <v>107.8</v>
      </c>
      <c r="AF139" s="59">
        <v>-20.18</v>
      </c>
      <c r="AG139" s="59">
        <v>16.89</v>
      </c>
      <c r="AH139" s="59">
        <v>-26.96</v>
      </c>
      <c r="AI139" s="59">
        <v>12.1</v>
      </c>
      <c r="AJ139" s="59">
        <v>166.2</v>
      </c>
    </row>
    <row r="140" spans="1:36" hidden="1" outlineLevel="1" x14ac:dyDescent="0.3">
      <c r="A140" s="10" t="s">
        <v>151</v>
      </c>
      <c r="B140" s="8" t="s">
        <v>0</v>
      </c>
      <c r="C140" s="8" t="s">
        <v>39</v>
      </c>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8"/>
      <c r="AC140" s="59">
        <v>104.9</v>
      </c>
      <c r="AD140" s="59">
        <v>187.85</v>
      </c>
      <c r="AE140" s="59">
        <v>462.02</v>
      </c>
      <c r="AF140" s="59">
        <v>620.55999999999995</v>
      </c>
      <c r="AG140" s="59">
        <v>1094.8800000000001</v>
      </c>
      <c r="AH140" s="59">
        <v>861.16</v>
      </c>
      <c r="AI140" s="59">
        <v>633.5</v>
      </c>
      <c r="AJ140" s="59">
        <v>2461.6</v>
      </c>
    </row>
    <row r="141" spans="1:36" hidden="1" outlineLevel="1" x14ac:dyDescent="0.3">
      <c r="A141" s="10" t="s">
        <v>152</v>
      </c>
      <c r="B141" s="8" t="s">
        <v>0</v>
      </c>
      <c r="C141" s="8" t="s">
        <v>39</v>
      </c>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8"/>
      <c r="AC141" s="59">
        <v>93.59</v>
      </c>
      <c r="AD141" s="59">
        <v>-39.14</v>
      </c>
      <c r="AE141" s="59">
        <v>91.85</v>
      </c>
      <c r="AF141" s="59">
        <v>4.07</v>
      </c>
      <c r="AG141" s="59">
        <v>250.56</v>
      </c>
      <c r="AH141" s="59">
        <v>-5.26</v>
      </c>
      <c r="AI141" s="59">
        <v>131.5</v>
      </c>
      <c r="AJ141" s="59">
        <v>508.8</v>
      </c>
    </row>
    <row r="142" spans="1:36" hidden="1" outlineLevel="1" x14ac:dyDescent="0.3">
      <c r="A142" s="10" t="s">
        <v>153</v>
      </c>
      <c r="B142" s="8" t="s">
        <v>0</v>
      </c>
      <c r="C142" s="8" t="s">
        <v>39</v>
      </c>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8"/>
      <c r="AC142" s="59">
        <v>-0.18</v>
      </c>
      <c r="AD142" s="59">
        <v>28.15</v>
      </c>
      <c r="AE142" s="59">
        <v>-124.39</v>
      </c>
      <c r="AF142" s="59">
        <v>1.07</v>
      </c>
      <c r="AG142" s="59">
        <v>-56.24</v>
      </c>
      <c r="AH142" s="59">
        <v>-9.06</v>
      </c>
      <c r="AI142" s="59">
        <v>-42.1</v>
      </c>
      <c r="AJ142" s="59">
        <v>-132.6</v>
      </c>
    </row>
    <row r="143" spans="1:36" hidden="1" outlineLevel="1" x14ac:dyDescent="0.3">
      <c r="A143" s="1" t="s">
        <v>154</v>
      </c>
      <c r="B143" s="8" t="s">
        <v>0</v>
      </c>
      <c r="C143" s="8"/>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8"/>
      <c r="AC143" s="60">
        <f t="shared" ref="AC143:AJ143" si="28">AC127+SUM(AC130:AC142)</f>
        <v>-997.27999999999975</v>
      </c>
      <c r="AD143" s="60">
        <f t="shared" si="28"/>
        <v>104.18000000000029</v>
      </c>
      <c r="AE143" s="60">
        <f t="shared" si="28"/>
        <v>1630.1399999999996</v>
      </c>
      <c r="AF143" s="60">
        <f t="shared" si="28"/>
        <v>-2818</v>
      </c>
      <c r="AG143" s="60">
        <f t="shared" si="28"/>
        <v>-451.36999999999944</v>
      </c>
      <c r="AH143" s="60">
        <f t="shared" si="28"/>
        <v>1314.7599999999998</v>
      </c>
      <c r="AI143" s="60">
        <f t="shared" si="28"/>
        <v>5263.6999999999989</v>
      </c>
      <c r="AJ143" s="60">
        <f t="shared" si="28"/>
        <v>7794.7000000000007</v>
      </c>
    </row>
    <row r="144" spans="1:36" hidden="1" outlineLevel="1" x14ac:dyDescent="0.3">
      <c r="A144" s="7" t="s">
        <v>155</v>
      </c>
      <c r="B144" s="8" t="s">
        <v>0</v>
      </c>
      <c r="C144" s="8" t="s">
        <v>39</v>
      </c>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8"/>
      <c r="AC144" s="59">
        <v>0</v>
      </c>
      <c r="AD144" s="59">
        <v>-42.67</v>
      </c>
      <c r="AE144" s="59">
        <v>-131.71</v>
      </c>
      <c r="AF144" s="59">
        <v>-721.57</v>
      </c>
      <c r="AG144" s="59">
        <v>-951.05</v>
      </c>
      <c r="AH144" s="59">
        <v>-1312.25</v>
      </c>
      <c r="AI144" s="59">
        <v>-597.4</v>
      </c>
      <c r="AJ144" s="59">
        <v>-1351.7</v>
      </c>
    </row>
    <row r="145" spans="1:36" hidden="1" outlineLevel="1" x14ac:dyDescent="0.3">
      <c r="A145" s="1" t="s">
        <v>156</v>
      </c>
      <c r="B145" s="8" t="s">
        <v>0</v>
      </c>
      <c r="C145" s="8"/>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8"/>
      <c r="AC145" s="60">
        <f t="shared" ref="AC145:AJ145" si="29">AC143+AC144</f>
        <v>-997.27999999999975</v>
      </c>
      <c r="AD145" s="60">
        <f t="shared" si="29"/>
        <v>61.510000000000289</v>
      </c>
      <c r="AE145" s="60">
        <f t="shared" si="29"/>
        <v>1498.4299999999996</v>
      </c>
      <c r="AF145" s="60">
        <f t="shared" si="29"/>
        <v>-3539.57</v>
      </c>
      <c r="AG145" s="60">
        <f t="shared" si="29"/>
        <v>-1402.4199999999994</v>
      </c>
      <c r="AH145" s="60">
        <f t="shared" si="29"/>
        <v>2.5099999999997635</v>
      </c>
      <c r="AI145" s="60">
        <f t="shared" si="29"/>
        <v>4666.2999999999993</v>
      </c>
      <c r="AJ145" s="60">
        <f t="shared" si="29"/>
        <v>6443.0000000000009</v>
      </c>
    </row>
    <row r="146" spans="1:36" hidden="1" outlineLevel="1" x14ac:dyDescent="0.3"/>
    <row r="147" spans="1:36" hidden="1" outlineLevel="1" x14ac:dyDescent="0.3">
      <c r="A147" s="9" t="s">
        <v>157</v>
      </c>
    </row>
    <row r="148" spans="1:36" hidden="1" outlineLevel="1" x14ac:dyDescent="0.3">
      <c r="A148" s="10" t="s">
        <v>158</v>
      </c>
      <c r="B148" s="8" t="s">
        <v>0</v>
      </c>
      <c r="C148" s="8" t="s">
        <v>39</v>
      </c>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8"/>
      <c r="AC148" s="59">
        <v>-349.13</v>
      </c>
      <c r="AD148" s="59">
        <v>-457.04</v>
      </c>
      <c r="AE148" s="59">
        <v>-420.71</v>
      </c>
      <c r="AF148" s="59">
        <v>-939.73</v>
      </c>
      <c r="AG148" s="59">
        <v>-2081.61</v>
      </c>
      <c r="AH148" s="59">
        <v>-1107.28</v>
      </c>
      <c r="AI148" s="59">
        <v>-1272.2</v>
      </c>
      <c r="AJ148" s="59">
        <v>-1538.7</v>
      </c>
    </row>
    <row r="149" spans="1:36" hidden="1" outlineLevel="1" x14ac:dyDescent="0.3">
      <c r="A149" s="10" t="s">
        <v>159</v>
      </c>
      <c r="B149" s="8" t="s">
        <v>0</v>
      </c>
      <c r="C149" s="8" t="s">
        <v>39</v>
      </c>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8"/>
      <c r="AC149" s="59">
        <v>0</v>
      </c>
      <c r="AD149" s="59">
        <v>0</v>
      </c>
      <c r="AE149" s="59">
        <v>0</v>
      </c>
      <c r="AF149" s="59">
        <v>0</v>
      </c>
      <c r="AG149" s="59">
        <v>0</v>
      </c>
      <c r="AH149" s="59">
        <v>0</v>
      </c>
      <c r="AI149" s="59">
        <v>0</v>
      </c>
      <c r="AJ149" s="59">
        <v>21</v>
      </c>
    </row>
    <row r="150" spans="1:36" hidden="1" outlineLevel="1" x14ac:dyDescent="0.3">
      <c r="A150" s="10" t="s">
        <v>160</v>
      </c>
      <c r="B150" s="8" t="s">
        <v>0</v>
      </c>
      <c r="C150" s="8" t="s">
        <v>39</v>
      </c>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8"/>
      <c r="AC150" s="59">
        <v>0</v>
      </c>
      <c r="AD150" s="59">
        <v>0</v>
      </c>
      <c r="AE150" s="59">
        <v>0</v>
      </c>
      <c r="AF150" s="59">
        <v>5.47</v>
      </c>
      <c r="AG150" s="59">
        <v>0</v>
      </c>
      <c r="AH150" s="59">
        <v>0</v>
      </c>
      <c r="AI150" s="59">
        <v>0</v>
      </c>
      <c r="AJ150" s="59">
        <v>0</v>
      </c>
    </row>
    <row r="151" spans="1:36" hidden="1" outlineLevel="1" x14ac:dyDescent="0.3">
      <c r="A151" s="10" t="s">
        <v>161</v>
      </c>
      <c r="B151" s="8" t="s">
        <v>0</v>
      </c>
      <c r="C151" s="8" t="s">
        <v>39</v>
      </c>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8"/>
      <c r="AC151" s="59">
        <v>0</v>
      </c>
      <c r="AD151" s="59">
        <v>0</v>
      </c>
      <c r="AE151" s="59">
        <v>0</v>
      </c>
      <c r="AF151" s="59">
        <v>-510.84</v>
      </c>
      <c r="AG151" s="59">
        <v>-285.92</v>
      </c>
      <c r="AH151" s="59">
        <v>0</v>
      </c>
      <c r="AI151" s="59">
        <v>0</v>
      </c>
      <c r="AJ151" s="59">
        <v>0</v>
      </c>
    </row>
    <row r="152" spans="1:36" hidden="1" outlineLevel="1" x14ac:dyDescent="0.3">
      <c r="A152" s="10" t="s">
        <v>162</v>
      </c>
      <c r="B152" s="8" t="s">
        <v>0</v>
      </c>
      <c r="C152" s="8" t="s">
        <v>39</v>
      </c>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8"/>
      <c r="AC152" s="59">
        <v>-2.31</v>
      </c>
      <c r="AD152" s="59">
        <v>-738.94</v>
      </c>
      <c r="AE152" s="59">
        <v>-896.6</v>
      </c>
      <c r="AF152" s="59">
        <v>-4745.51</v>
      </c>
      <c r="AG152" s="59">
        <v>3998.86</v>
      </c>
      <c r="AH152" s="59">
        <v>1348.98</v>
      </c>
      <c r="AI152" s="59">
        <v>-969.9</v>
      </c>
      <c r="AJ152" s="59">
        <v>231.8</v>
      </c>
    </row>
    <row r="153" spans="1:36" hidden="1" outlineLevel="1" x14ac:dyDescent="0.3">
      <c r="A153" s="10" t="s">
        <v>163</v>
      </c>
      <c r="B153" s="8" t="s">
        <v>0</v>
      </c>
      <c r="C153" s="8" t="s">
        <v>39</v>
      </c>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8"/>
      <c r="AC153" s="59">
        <v>0</v>
      </c>
      <c r="AD153" s="59">
        <v>0</v>
      </c>
      <c r="AE153" s="59">
        <v>0</v>
      </c>
      <c r="AF153" s="59">
        <v>0</v>
      </c>
      <c r="AG153" s="59">
        <v>0</v>
      </c>
      <c r="AH153" s="59">
        <v>-561.09</v>
      </c>
      <c r="AI153" s="59">
        <v>382.3</v>
      </c>
      <c r="AJ153" s="59">
        <v>-506.2</v>
      </c>
    </row>
    <row r="154" spans="1:36" hidden="1" outlineLevel="1" x14ac:dyDescent="0.3">
      <c r="A154" s="10" t="s">
        <v>164</v>
      </c>
      <c r="B154" s="8" t="s">
        <v>0</v>
      </c>
      <c r="C154" s="8" t="s">
        <v>39</v>
      </c>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8"/>
      <c r="AC154" s="59">
        <v>-1268.45</v>
      </c>
      <c r="AD154" s="59">
        <v>1344.67</v>
      </c>
      <c r="AE154" s="59">
        <v>0</v>
      </c>
      <c r="AF154" s="59">
        <v>0</v>
      </c>
      <c r="AG154" s="59">
        <v>0</v>
      </c>
      <c r="AH154" s="59">
        <v>0</v>
      </c>
      <c r="AI154" s="59">
        <v>0</v>
      </c>
      <c r="AJ154" s="59">
        <v>0</v>
      </c>
    </row>
    <row r="155" spans="1:36" hidden="1" outlineLevel="1" x14ac:dyDescent="0.3">
      <c r="A155" s="10" t="s">
        <v>165</v>
      </c>
      <c r="B155" s="8" t="s">
        <v>0</v>
      </c>
      <c r="C155" s="8" t="s">
        <v>39</v>
      </c>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8"/>
      <c r="AC155" s="59">
        <v>0</v>
      </c>
      <c r="AD155" s="59">
        <v>0</v>
      </c>
      <c r="AE155" s="59">
        <v>0</v>
      </c>
      <c r="AF155" s="59">
        <v>0</v>
      </c>
      <c r="AG155" s="59">
        <v>-416.5</v>
      </c>
      <c r="AH155" s="59">
        <v>0</v>
      </c>
      <c r="AI155" s="59">
        <v>-290.2</v>
      </c>
      <c r="AJ155" s="59">
        <v>0</v>
      </c>
    </row>
    <row r="156" spans="1:36" hidden="1" outlineLevel="1" x14ac:dyDescent="0.3">
      <c r="A156" s="10" t="s">
        <v>166</v>
      </c>
      <c r="B156" s="8" t="s">
        <v>0</v>
      </c>
      <c r="C156" s="8" t="s">
        <v>39</v>
      </c>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8"/>
      <c r="AC156" s="59">
        <v>-0.43</v>
      </c>
      <c r="AD156" s="59">
        <v>0</v>
      </c>
      <c r="AE156" s="59">
        <v>-16.149999999999999</v>
      </c>
      <c r="AF156" s="59">
        <v>-2.85</v>
      </c>
      <c r="AG156" s="59">
        <v>0</v>
      </c>
      <c r="AH156" s="59">
        <v>0</v>
      </c>
      <c r="AI156" s="59">
        <v>0</v>
      </c>
      <c r="AJ156" s="59">
        <v>0</v>
      </c>
    </row>
    <row r="157" spans="1:36" hidden="1" outlineLevel="1" x14ac:dyDescent="0.3">
      <c r="A157" s="10" t="s">
        <v>167</v>
      </c>
      <c r="B157" s="8" t="s">
        <v>0</v>
      </c>
      <c r="C157" s="8" t="s">
        <v>39</v>
      </c>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8"/>
      <c r="AC157" s="59">
        <v>0.78</v>
      </c>
      <c r="AD157" s="59">
        <v>0.54</v>
      </c>
      <c r="AE157" s="59">
        <v>36.020000000000003</v>
      </c>
      <c r="AF157" s="59">
        <v>165.57</v>
      </c>
      <c r="AG157" s="59">
        <v>180.94</v>
      </c>
      <c r="AH157" s="59">
        <v>218.28</v>
      </c>
      <c r="AI157" s="59">
        <v>95.7</v>
      </c>
      <c r="AJ157" s="59">
        <v>202.7</v>
      </c>
    </row>
    <row r="158" spans="1:36" hidden="1" outlineLevel="1" x14ac:dyDescent="0.3">
      <c r="A158" s="1" t="s">
        <v>168</v>
      </c>
      <c r="B158" s="8" t="s">
        <v>0</v>
      </c>
      <c r="C158" s="8"/>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8"/>
      <c r="AC158" s="60">
        <f t="shared" ref="AC158:AJ158" si="30">SUM(AC148:AC157)</f>
        <v>-1619.5400000000002</v>
      </c>
      <c r="AD158" s="60">
        <f t="shared" si="30"/>
        <v>149.23000000000005</v>
      </c>
      <c r="AE158" s="60">
        <f t="shared" si="30"/>
        <v>-1297.44</v>
      </c>
      <c r="AF158" s="60">
        <f t="shared" si="30"/>
        <v>-6027.8900000000012</v>
      </c>
      <c r="AG158" s="60">
        <f t="shared" si="30"/>
        <v>1395.77</v>
      </c>
      <c r="AH158" s="60">
        <f t="shared" si="30"/>
        <v>-101.10999999999999</v>
      </c>
      <c r="AI158" s="60">
        <f t="shared" si="30"/>
        <v>-2054.3000000000002</v>
      </c>
      <c r="AJ158" s="60">
        <f t="shared" si="30"/>
        <v>-1589.4</v>
      </c>
    </row>
    <row r="159" spans="1:36" hidden="1" outlineLevel="1" x14ac:dyDescent="0.3"/>
    <row r="160" spans="1:36" hidden="1" outlineLevel="1" x14ac:dyDescent="0.3">
      <c r="A160" s="9" t="s">
        <v>169</v>
      </c>
    </row>
    <row r="161" spans="1:36" hidden="1" outlineLevel="1" x14ac:dyDescent="0.3">
      <c r="A161" s="10" t="s">
        <v>170</v>
      </c>
      <c r="B161" s="8" t="s">
        <v>0</v>
      </c>
      <c r="C161" s="8" t="s">
        <v>39</v>
      </c>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8"/>
      <c r="AC161" s="59">
        <v>6.87</v>
      </c>
      <c r="AD161" s="59">
        <v>5.13</v>
      </c>
      <c r="AE161" s="59">
        <v>6.06</v>
      </c>
      <c r="AF161" s="59">
        <v>0</v>
      </c>
      <c r="AG161" s="59">
        <v>0</v>
      </c>
      <c r="AH161" s="59">
        <v>0</v>
      </c>
      <c r="AI161" s="59">
        <v>0</v>
      </c>
      <c r="AJ161" s="59">
        <v>0</v>
      </c>
    </row>
    <row r="162" spans="1:36" hidden="1" outlineLevel="1" x14ac:dyDescent="0.3">
      <c r="A162" s="10" t="s">
        <v>171</v>
      </c>
      <c r="B162" s="8" t="s">
        <v>0</v>
      </c>
      <c r="C162" s="8" t="s">
        <v>39</v>
      </c>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8"/>
      <c r="AC162" s="59">
        <v>1332.87</v>
      </c>
      <c r="AD162" s="59">
        <v>1031.94</v>
      </c>
      <c r="AE162" s="59">
        <v>1022.56</v>
      </c>
      <c r="AF162" s="59">
        <v>0</v>
      </c>
      <c r="AG162" s="59">
        <v>0</v>
      </c>
      <c r="AH162" s="59">
        <v>0</v>
      </c>
      <c r="AI162" s="59">
        <v>0</v>
      </c>
      <c r="AJ162" s="59">
        <v>0</v>
      </c>
    </row>
    <row r="163" spans="1:36" hidden="1" outlineLevel="1" x14ac:dyDescent="0.3">
      <c r="A163" s="10" t="s">
        <v>172</v>
      </c>
      <c r="B163" s="8" t="s">
        <v>0</v>
      </c>
      <c r="C163" s="8" t="s">
        <v>39</v>
      </c>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8"/>
      <c r="AC163" s="59">
        <v>0</v>
      </c>
      <c r="AD163" s="59">
        <v>0.23</v>
      </c>
      <c r="AE163" s="59">
        <v>0</v>
      </c>
      <c r="AF163" s="59">
        <v>0</v>
      </c>
      <c r="AG163" s="59">
        <v>0</v>
      </c>
      <c r="AH163" s="59">
        <v>0</v>
      </c>
      <c r="AI163" s="59">
        <v>0</v>
      </c>
      <c r="AJ163" s="59">
        <v>0</v>
      </c>
    </row>
    <row r="164" spans="1:36" hidden="1" outlineLevel="1" x14ac:dyDescent="0.3">
      <c r="A164" s="10" t="s">
        <v>173</v>
      </c>
      <c r="B164" s="8" t="s">
        <v>0</v>
      </c>
      <c r="C164" s="8" t="s">
        <v>39</v>
      </c>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8"/>
      <c r="AC164" s="59">
        <v>0</v>
      </c>
      <c r="AD164" s="59">
        <v>0</v>
      </c>
      <c r="AE164" s="59">
        <v>0</v>
      </c>
      <c r="AF164" s="59">
        <v>8727.2800000000007</v>
      </c>
      <c r="AG164" s="59">
        <v>288.36</v>
      </c>
      <c r="AH164" s="59">
        <v>172.3</v>
      </c>
      <c r="AI164" s="59">
        <v>180.6</v>
      </c>
      <c r="AJ164" s="59">
        <v>386.6</v>
      </c>
    </row>
    <row r="165" spans="1:36" hidden="1" outlineLevel="1" x14ac:dyDescent="0.3">
      <c r="A165" s="10" t="s">
        <v>174</v>
      </c>
      <c r="B165" s="8" t="s">
        <v>0</v>
      </c>
      <c r="C165" s="8" t="s">
        <v>39</v>
      </c>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8"/>
      <c r="AC165" s="59">
        <v>0</v>
      </c>
      <c r="AD165" s="59">
        <v>0</v>
      </c>
      <c r="AE165" s="59">
        <v>0</v>
      </c>
      <c r="AF165" s="59">
        <v>1.58</v>
      </c>
      <c r="AG165" s="59">
        <v>0</v>
      </c>
      <c r="AH165" s="59">
        <v>0</v>
      </c>
      <c r="AI165" s="59">
        <v>0</v>
      </c>
      <c r="AJ165" s="59">
        <v>0</v>
      </c>
    </row>
    <row r="166" spans="1:36" hidden="1" outlineLevel="1" x14ac:dyDescent="0.3">
      <c r="A166" s="10" t="s">
        <v>175</v>
      </c>
      <c r="B166" s="8" t="s">
        <v>0</v>
      </c>
      <c r="C166" s="8" t="s">
        <v>39</v>
      </c>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8"/>
      <c r="AC166" s="59">
        <v>0</v>
      </c>
      <c r="AD166" s="59">
        <v>0</v>
      </c>
      <c r="AE166" s="59">
        <v>0</v>
      </c>
      <c r="AF166" s="59">
        <v>0</v>
      </c>
      <c r="AG166" s="59">
        <v>0</v>
      </c>
      <c r="AH166" s="59">
        <v>0</v>
      </c>
      <c r="AI166" s="59">
        <v>-2679.2</v>
      </c>
      <c r="AJ166" s="59">
        <v>-35.1</v>
      </c>
    </row>
    <row r="167" spans="1:36" hidden="1" outlineLevel="1" x14ac:dyDescent="0.3">
      <c r="A167" s="10" t="s">
        <v>176</v>
      </c>
      <c r="B167" s="8" t="s">
        <v>0</v>
      </c>
      <c r="C167" s="8" t="s">
        <v>39</v>
      </c>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8"/>
      <c r="AC167" s="59">
        <v>0</v>
      </c>
      <c r="AD167" s="59">
        <v>0</v>
      </c>
      <c r="AE167" s="59">
        <v>0</v>
      </c>
      <c r="AF167" s="59">
        <v>0</v>
      </c>
      <c r="AG167" s="59">
        <v>0</v>
      </c>
      <c r="AH167" s="59">
        <v>107.08</v>
      </c>
      <c r="AI167" s="59">
        <v>131</v>
      </c>
      <c r="AJ167" s="59">
        <v>321</v>
      </c>
    </row>
    <row r="168" spans="1:36" hidden="1" outlineLevel="1" x14ac:dyDescent="0.3">
      <c r="A168" s="10" t="s">
        <v>177</v>
      </c>
      <c r="B168" s="8" t="s">
        <v>0</v>
      </c>
      <c r="C168" s="8" t="s">
        <v>39</v>
      </c>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8"/>
      <c r="AC168" s="59">
        <v>0</v>
      </c>
      <c r="AD168" s="59">
        <v>0</v>
      </c>
      <c r="AE168" s="59">
        <v>0</v>
      </c>
      <c r="AF168" s="59">
        <v>0</v>
      </c>
      <c r="AG168" s="59">
        <v>0</v>
      </c>
      <c r="AH168" s="59">
        <v>0</v>
      </c>
      <c r="AI168" s="59">
        <v>1926.2</v>
      </c>
      <c r="AJ168" s="59">
        <v>0</v>
      </c>
    </row>
    <row r="169" spans="1:36" hidden="1" outlineLevel="1" x14ac:dyDescent="0.3">
      <c r="A169" s="10" t="s">
        <v>178</v>
      </c>
      <c r="B169" s="8" t="s">
        <v>0</v>
      </c>
      <c r="C169" s="8" t="s">
        <v>39</v>
      </c>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8"/>
      <c r="AC169" s="59">
        <v>0</v>
      </c>
      <c r="AD169" s="59">
        <v>0</v>
      </c>
      <c r="AE169" s="59">
        <v>0</v>
      </c>
      <c r="AF169" s="59">
        <v>0</v>
      </c>
      <c r="AG169" s="59">
        <v>0</v>
      </c>
      <c r="AH169" s="59">
        <v>0</v>
      </c>
      <c r="AI169" s="59">
        <v>0</v>
      </c>
      <c r="AJ169" s="59">
        <v>63.7</v>
      </c>
    </row>
    <row r="170" spans="1:36" hidden="1" outlineLevel="1" x14ac:dyDescent="0.3">
      <c r="A170" s="10" t="s">
        <v>179</v>
      </c>
      <c r="B170" s="8" t="s">
        <v>0</v>
      </c>
      <c r="C170" s="8" t="s">
        <v>39</v>
      </c>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8"/>
      <c r="AC170" s="59">
        <v>-1.61</v>
      </c>
      <c r="AD170" s="59">
        <v>0.22</v>
      </c>
      <c r="AE170" s="59">
        <v>15.1</v>
      </c>
      <c r="AF170" s="59">
        <v>-7.38</v>
      </c>
      <c r="AG170" s="59">
        <v>-5.61</v>
      </c>
      <c r="AH170" s="59">
        <v>-3.61</v>
      </c>
      <c r="AI170" s="59">
        <v>-3.6</v>
      </c>
      <c r="AJ170" s="59">
        <v>-829</v>
      </c>
    </row>
    <row r="171" spans="1:36" hidden="1" outlineLevel="1" x14ac:dyDescent="0.3">
      <c r="A171" s="10" t="s">
        <v>180</v>
      </c>
      <c r="B171" s="8" t="s">
        <v>0</v>
      </c>
      <c r="C171" s="8" t="s">
        <v>39</v>
      </c>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8"/>
      <c r="AC171" s="59">
        <v>1427.35</v>
      </c>
      <c r="AD171" s="59">
        <v>418.78</v>
      </c>
      <c r="AE171" s="59">
        <v>-815.21</v>
      </c>
      <c r="AF171" s="59">
        <v>1463.06</v>
      </c>
      <c r="AG171" s="59">
        <v>1268.8</v>
      </c>
      <c r="AH171" s="59">
        <v>2203.94</v>
      </c>
      <c r="AI171" s="59">
        <v>845.2</v>
      </c>
      <c r="AJ171" s="59">
        <v>-1313.6</v>
      </c>
    </row>
    <row r="172" spans="1:36" hidden="1" outlineLevel="1" x14ac:dyDescent="0.3">
      <c r="A172" s="10" t="s">
        <v>181</v>
      </c>
      <c r="B172" s="8" t="s">
        <v>0</v>
      </c>
      <c r="C172" s="8" t="s">
        <v>39</v>
      </c>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8"/>
      <c r="AC172" s="59">
        <v>-197.1</v>
      </c>
      <c r="AD172" s="59">
        <v>-297.7</v>
      </c>
      <c r="AE172" s="59">
        <v>-176.55</v>
      </c>
      <c r="AF172" s="59">
        <v>-262.45999999999998</v>
      </c>
      <c r="AG172" s="59">
        <v>-334.21</v>
      </c>
      <c r="AH172" s="59">
        <v>-557.72</v>
      </c>
      <c r="AI172" s="59">
        <v>-723.9</v>
      </c>
      <c r="AJ172" s="59">
        <v>-763.8</v>
      </c>
    </row>
    <row r="173" spans="1:36" hidden="1" outlineLevel="1" x14ac:dyDescent="0.3">
      <c r="A173" s="10" t="s">
        <v>182</v>
      </c>
      <c r="B173" s="8" t="s">
        <v>0</v>
      </c>
      <c r="C173" s="8" t="s">
        <v>39</v>
      </c>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8"/>
      <c r="AC173" s="59">
        <v>-146.09</v>
      </c>
      <c r="AD173" s="59">
        <v>-330.96</v>
      </c>
      <c r="AE173" s="59">
        <v>-299.5</v>
      </c>
      <c r="AF173" s="59">
        <v>-449.8</v>
      </c>
      <c r="AG173" s="59">
        <v>-820.07</v>
      </c>
      <c r="AH173" s="59">
        <v>-1166.52</v>
      </c>
      <c r="AI173" s="59">
        <v>-1464.9</v>
      </c>
      <c r="AJ173" s="59">
        <v>-1734</v>
      </c>
    </row>
    <row r="174" spans="1:36" hidden="1" outlineLevel="1" x14ac:dyDescent="0.3">
      <c r="A174" s="10" t="s">
        <v>183</v>
      </c>
      <c r="B174" s="8" t="s">
        <v>0</v>
      </c>
      <c r="C174" s="8" t="s">
        <v>39</v>
      </c>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8"/>
      <c r="AC174" s="59">
        <v>-65.38</v>
      </c>
      <c r="AD174" s="59">
        <v>-140.43</v>
      </c>
      <c r="AE174" s="59">
        <v>-129.69</v>
      </c>
      <c r="AF174" s="59">
        <v>-202.21</v>
      </c>
      <c r="AG174" s="59">
        <v>-348.58</v>
      </c>
      <c r="AH174" s="59">
        <v>-312.86</v>
      </c>
      <c r="AI174" s="59">
        <v>-331.8</v>
      </c>
      <c r="AJ174" s="59">
        <v>-426.8</v>
      </c>
    </row>
    <row r="175" spans="1:36" hidden="1" outlineLevel="1" x14ac:dyDescent="0.3">
      <c r="A175" s="1" t="s">
        <v>184</v>
      </c>
      <c r="B175" s="8" t="s">
        <v>0</v>
      </c>
      <c r="C175" s="8"/>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8"/>
      <c r="AC175" s="60">
        <f t="shared" ref="AC175:AJ175" si="31">SUM(AC161:AC174)</f>
        <v>2356.9099999999994</v>
      </c>
      <c r="AD175" s="60">
        <f t="shared" si="31"/>
        <v>687.21</v>
      </c>
      <c r="AE175" s="60">
        <f t="shared" si="31"/>
        <v>-377.23000000000025</v>
      </c>
      <c r="AF175" s="60">
        <f t="shared" si="31"/>
        <v>9270.0700000000033</v>
      </c>
      <c r="AG175" s="60">
        <f t="shared" si="31"/>
        <v>48.689999999999884</v>
      </c>
      <c r="AH175" s="60">
        <f t="shared" si="31"/>
        <v>442.61</v>
      </c>
      <c r="AI175" s="60">
        <f t="shared" si="31"/>
        <v>-2120.4</v>
      </c>
      <c r="AJ175" s="60">
        <f t="shared" si="31"/>
        <v>-4331</v>
      </c>
    </row>
    <row r="176" spans="1:36" hidden="1" outlineLevel="1" x14ac:dyDescent="0.3"/>
    <row r="177" spans="1:36" hidden="1" outlineLevel="1" x14ac:dyDescent="0.3">
      <c r="A177" s="1" t="s">
        <v>185</v>
      </c>
      <c r="B177" s="8" t="s">
        <v>0</v>
      </c>
      <c r="C177" s="8"/>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8"/>
      <c r="AC177" s="60">
        <f t="shared" ref="AC177:AJ177" si="32">AC145+AC158+AC175</f>
        <v>-259.91000000000031</v>
      </c>
      <c r="AD177" s="60">
        <f t="shared" si="32"/>
        <v>897.95000000000039</v>
      </c>
      <c r="AE177" s="60">
        <f t="shared" si="32"/>
        <v>-176.24000000000069</v>
      </c>
      <c r="AF177" s="60">
        <f t="shared" si="32"/>
        <v>-297.3899999999976</v>
      </c>
      <c r="AG177" s="60">
        <f t="shared" si="32"/>
        <v>42.040000000000475</v>
      </c>
      <c r="AH177" s="60">
        <f t="shared" si="32"/>
        <v>344.00999999999976</v>
      </c>
      <c r="AI177" s="60">
        <f t="shared" si="32"/>
        <v>491.599999999999</v>
      </c>
      <c r="AJ177" s="60">
        <f t="shared" si="32"/>
        <v>522.60000000000036</v>
      </c>
    </row>
    <row r="178" spans="1:36" hidden="1" outlineLevel="1" x14ac:dyDescent="0.3">
      <c r="A178" s="7" t="s">
        <v>186</v>
      </c>
      <c r="B178" s="8" t="s">
        <v>0</v>
      </c>
      <c r="C178" s="8" t="s">
        <v>39</v>
      </c>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8"/>
      <c r="AC178" s="59">
        <v>0.11</v>
      </c>
      <c r="AD178" s="59">
        <v>-0.14000000000000001</v>
      </c>
      <c r="AE178" s="59">
        <v>0.15</v>
      </c>
      <c r="AF178" s="59">
        <v>0</v>
      </c>
      <c r="AG178" s="59">
        <v>0</v>
      </c>
      <c r="AH178" s="59">
        <v>0</v>
      </c>
      <c r="AI178" s="59">
        <v>0</v>
      </c>
      <c r="AJ178" s="59">
        <v>0</v>
      </c>
    </row>
    <row r="179" spans="1:36" hidden="1" outlineLevel="1" x14ac:dyDescent="0.3">
      <c r="A179" s="7" t="s">
        <v>187</v>
      </c>
      <c r="B179" s="8" t="s">
        <v>0</v>
      </c>
      <c r="C179" s="8" t="s">
        <v>39</v>
      </c>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8"/>
      <c r="AC179" s="59">
        <v>373.9</v>
      </c>
      <c r="AD179" s="59">
        <v>114.1</v>
      </c>
      <c r="AE179" s="59">
        <v>1011.91</v>
      </c>
      <c r="AF179" s="59">
        <v>669.11</v>
      </c>
      <c r="AG179" s="59">
        <v>371.72</v>
      </c>
      <c r="AH179" s="59">
        <v>413.76</v>
      </c>
      <c r="AI179" s="59">
        <v>757.8</v>
      </c>
      <c r="AJ179" s="59">
        <v>1249.4000000000001</v>
      </c>
    </row>
    <row r="180" spans="1:36" hidden="1" outlineLevel="1" x14ac:dyDescent="0.3">
      <c r="A180" s="1" t="s">
        <v>188</v>
      </c>
      <c r="B180" s="8" t="s">
        <v>0</v>
      </c>
      <c r="C180" s="8"/>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8"/>
      <c r="AC180" s="60">
        <f t="shared" ref="AC180:AJ180" si="33">AC177+AC178+AC179</f>
        <v>114.09999999999968</v>
      </c>
      <c r="AD180" s="60">
        <f t="shared" si="33"/>
        <v>1011.9100000000004</v>
      </c>
      <c r="AE180" s="60">
        <f t="shared" si="33"/>
        <v>835.81999999999925</v>
      </c>
      <c r="AF180" s="60">
        <f t="shared" si="33"/>
        <v>371.72000000000241</v>
      </c>
      <c r="AG180" s="60">
        <f t="shared" si="33"/>
        <v>413.7600000000005</v>
      </c>
      <c r="AH180" s="60">
        <f t="shared" si="33"/>
        <v>757.76999999999975</v>
      </c>
      <c r="AI180" s="60">
        <f t="shared" si="33"/>
        <v>1249.399999999999</v>
      </c>
      <c r="AJ180" s="60">
        <f t="shared" si="33"/>
        <v>1772.0000000000005</v>
      </c>
    </row>
    <row r="181" spans="1:36" collapsed="1" x14ac:dyDescent="0.3"/>
    <row r="183" spans="1:36" x14ac:dyDescent="0.3">
      <c r="A183" s="5" t="s">
        <v>189</v>
      </c>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row>
    <row r="185" spans="1:36" x14ac:dyDescent="0.3">
      <c r="A185" s="74" t="s">
        <v>190</v>
      </c>
    </row>
    <row r="186" spans="1:36" x14ac:dyDescent="0.3">
      <c r="A186" s="75" t="s">
        <v>191</v>
      </c>
      <c r="AC186" s="59"/>
      <c r="AD186" s="59"/>
      <c r="AE186" s="59"/>
      <c r="AF186" s="59">
        <v>262.05</v>
      </c>
      <c r="AG186" s="59">
        <v>489.05</v>
      </c>
      <c r="AH186" s="59">
        <v>708.13</v>
      </c>
      <c r="AI186" s="59">
        <v>804.8</v>
      </c>
      <c r="AJ186" s="59">
        <v>875.4</v>
      </c>
    </row>
    <row r="187" spans="1:36" x14ac:dyDescent="0.3">
      <c r="A187" s="75" t="s">
        <v>192</v>
      </c>
      <c r="AC187" s="59">
        <v>193.828</v>
      </c>
      <c r="AD187" s="59">
        <v>382.77199999999999</v>
      </c>
      <c r="AE187" s="59">
        <v>408.358</v>
      </c>
      <c r="AF187" s="59">
        <v>573</v>
      </c>
      <c r="AG187" s="59">
        <v>1070.7</v>
      </c>
      <c r="AH187" s="59">
        <v>1290.49</v>
      </c>
      <c r="AI187" s="59">
        <v>1516.4</v>
      </c>
      <c r="AJ187" s="59">
        <v>1890.7</v>
      </c>
    </row>
    <row r="188" spans="1:36" x14ac:dyDescent="0.3">
      <c r="A188" s="75" t="s">
        <v>193</v>
      </c>
      <c r="AC188" s="59"/>
      <c r="AD188" s="59"/>
      <c r="AE188" s="59"/>
      <c r="AF188" s="59">
        <v>129.08000000000001</v>
      </c>
      <c r="AG188" s="59">
        <v>172.81</v>
      </c>
      <c r="AH188" s="59">
        <v>243.71</v>
      </c>
      <c r="AI188" s="59">
        <v>342.8</v>
      </c>
      <c r="AJ188" s="59">
        <v>437.2</v>
      </c>
    </row>
    <row r="189" spans="1:36" x14ac:dyDescent="0.3">
      <c r="AE189" s="76"/>
      <c r="AF189" s="76">
        <f>AF15-SUM(AF186:AF188)</f>
        <v>0</v>
      </c>
      <c r="AG189" s="76">
        <f>AG15-SUM(AG186:AG188)</f>
        <v>0</v>
      </c>
      <c r="AH189" s="76">
        <f>AH15-SUM(AH186:AH188)</f>
        <v>0</v>
      </c>
      <c r="AI189" s="76">
        <f>AI15-SUM(AI186:AI188)</f>
        <v>0</v>
      </c>
      <c r="AJ189" s="76">
        <f>AJ15-SUM(AJ186:AJ188)</f>
        <v>0</v>
      </c>
    </row>
    <row r="190" spans="1:36" x14ac:dyDescent="0.3">
      <c r="A190" s="74" t="s">
        <v>194</v>
      </c>
    </row>
    <row r="191" spans="1:36" x14ac:dyDescent="0.3">
      <c r="A191" s="75" t="s">
        <v>195</v>
      </c>
      <c r="AC191" s="77">
        <v>198.04400000000001</v>
      </c>
      <c r="AD191" s="77">
        <v>302.50200000000001</v>
      </c>
      <c r="AE191" s="77">
        <v>177.32300000000001</v>
      </c>
      <c r="AF191" s="77">
        <v>262.91000000000003</v>
      </c>
      <c r="AG191" s="77">
        <v>397.47</v>
      </c>
      <c r="AH191" s="77">
        <v>515.46</v>
      </c>
      <c r="AI191" s="77">
        <v>741.40000000000009</v>
      </c>
      <c r="AJ191" s="77">
        <v>744.40000000000009</v>
      </c>
    </row>
    <row r="192" spans="1:36" x14ac:dyDescent="0.3">
      <c r="A192" s="75" t="s">
        <v>196</v>
      </c>
      <c r="AC192" s="59">
        <v>65.376000000000005</v>
      </c>
      <c r="AD192" s="59">
        <v>140.428</v>
      </c>
      <c r="AE192" s="59">
        <v>129.68700000000001</v>
      </c>
      <c r="AF192" s="59">
        <v>202.2</v>
      </c>
      <c r="AG192" s="59">
        <v>348.58</v>
      </c>
      <c r="AH192" s="59">
        <v>312.86</v>
      </c>
      <c r="AI192" s="59">
        <v>331.8</v>
      </c>
      <c r="AJ192" s="59">
        <v>426.8</v>
      </c>
    </row>
    <row r="193" spans="1:36" x14ac:dyDescent="0.3">
      <c r="A193" s="75"/>
      <c r="AF193" s="76">
        <f>AF14-SUM(AF190:AF192)</f>
        <v>0</v>
      </c>
      <c r="AG193" s="76">
        <f>AG14-SUM(AG190:AG192)</f>
        <v>0</v>
      </c>
      <c r="AH193" s="76">
        <f>AH14-SUM(AH190:AH192)</f>
        <v>0</v>
      </c>
      <c r="AI193" s="76">
        <f>AI14-SUM(AI190:AI192)</f>
        <v>0</v>
      </c>
      <c r="AJ193" s="76">
        <f>AJ14-SUM(AJ190:AJ192)</f>
        <v>0</v>
      </c>
    </row>
    <row r="194" spans="1:36" x14ac:dyDescent="0.3">
      <c r="A194" s="74" t="s">
        <v>197</v>
      </c>
      <c r="AE194" s="77">
        <f>1106.88+0.74</f>
        <v>1107.6200000000001</v>
      </c>
      <c r="AF194" s="77">
        <v>1928.22</v>
      </c>
      <c r="AG194" s="77">
        <v>3486.31</v>
      </c>
      <c r="AH194" s="77">
        <v>4238.5200000000004</v>
      </c>
      <c r="AI194" s="77">
        <v>5142.6000000000004</v>
      </c>
      <c r="AJ194" s="77">
        <v>6041</v>
      </c>
    </row>
    <row r="195" spans="1:36" x14ac:dyDescent="0.3">
      <c r="A195" s="75" t="s">
        <v>198</v>
      </c>
      <c r="AE195" s="59">
        <f>421.1</f>
        <v>421.1</v>
      </c>
      <c r="AF195" s="59">
        <v>683.8</v>
      </c>
      <c r="AG195" s="59">
        <v>1172.8499999999999</v>
      </c>
      <c r="AH195" s="59">
        <v>1880.8</v>
      </c>
      <c r="AI195" s="59">
        <v>2425.4</v>
      </c>
      <c r="AJ195" s="59">
        <v>3041.3</v>
      </c>
    </row>
    <row r="196" spans="1:36" x14ac:dyDescent="0.3">
      <c r="A196" s="74" t="s">
        <v>199</v>
      </c>
      <c r="AE196" s="79">
        <f t="shared" ref="AE196:AJ196" si="34">AE194-AE195-AE49</f>
        <v>0</v>
      </c>
      <c r="AF196" s="76">
        <f t="shared" si="34"/>
        <v>0</v>
      </c>
      <c r="AG196" s="76">
        <f t="shared" si="34"/>
        <v>0</v>
      </c>
      <c r="AH196" s="78">
        <f t="shared" si="34"/>
        <v>0</v>
      </c>
      <c r="AI196" s="76">
        <f t="shared" si="34"/>
        <v>0</v>
      </c>
      <c r="AJ196" s="76">
        <f t="shared" si="34"/>
        <v>0</v>
      </c>
    </row>
    <row r="197" spans="1:36" x14ac:dyDescent="0.3">
      <c r="AE197" s="79"/>
    </row>
    <row r="198" spans="1:36" x14ac:dyDescent="0.3">
      <c r="A198" s="74" t="s">
        <v>200</v>
      </c>
      <c r="AE198" s="77">
        <v>2341.96</v>
      </c>
      <c r="AF198" s="77">
        <v>3986.05</v>
      </c>
      <c r="AG198" s="77">
        <v>5333.47</v>
      </c>
      <c r="AH198" s="77">
        <v>5667</v>
      </c>
      <c r="AI198" s="77">
        <v>7266.2</v>
      </c>
      <c r="AJ198" s="77">
        <v>10293.1</v>
      </c>
    </row>
    <row r="199" spans="1:36" x14ac:dyDescent="0.3">
      <c r="A199" s="75" t="s">
        <v>201</v>
      </c>
      <c r="AE199" s="59">
        <v>952.62</v>
      </c>
      <c r="AF199" s="59">
        <v>1512.79</v>
      </c>
      <c r="AG199" s="59">
        <v>2214.2600000000002</v>
      </c>
      <c r="AH199" s="59">
        <v>3058.46</v>
      </c>
      <c r="AI199" s="59">
        <v>3967.6</v>
      </c>
      <c r="AJ199" s="59">
        <v>5678.4</v>
      </c>
    </row>
    <row r="200" spans="1:36" x14ac:dyDescent="0.3">
      <c r="A200" s="74" t="s">
        <v>202</v>
      </c>
      <c r="AE200" s="79">
        <f t="shared" ref="AE200:AJ200" si="35">AE198-AE199-AE53</f>
        <v>0</v>
      </c>
      <c r="AF200" s="76">
        <f t="shared" si="35"/>
        <v>0</v>
      </c>
      <c r="AG200" s="76">
        <f t="shared" si="35"/>
        <v>0</v>
      </c>
      <c r="AH200" s="80">
        <f t="shared" si="35"/>
        <v>0</v>
      </c>
      <c r="AI200" s="76">
        <f t="shared" si="35"/>
        <v>0</v>
      </c>
      <c r="AJ200" s="76">
        <f t="shared" si="35"/>
        <v>0</v>
      </c>
    </row>
    <row r="202" spans="1:36" x14ac:dyDescent="0.3">
      <c r="A202" s="74" t="s">
        <v>203</v>
      </c>
      <c r="AE202" s="77">
        <f>648.64-5.43</f>
        <v>643.21</v>
      </c>
      <c r="AF202" s="77">
        <f>1501.29-475.15</f>
        <v>1026.1399999999999</v>
      </c>
      <c r="AG202" s="77">
        <f>2114.77-611.02</f>
        <v>1503.75</v>
      </c>
      <c r="AH202" s="77">
        <v>1907.28</v>
      </c>
      <c r="AI202" s="77">
        <v>2507.6</v>
      </c>
      <c r="AJ202" s="77">
        <v>3077.5</v>
      </c>
    </row>
    <row r="203" spans="1:36" x14ac:dyDescent="0.3">
      <c r="A203" s="75" t="s">
        <v>204</v>
      </c>
      <c r="AE203" s="59">
        <f>412.5-0.37</f>
        <v>412.13</v>
      </c>
      <c r="AF203" s="59">
        <f>386.46-0.37</f>
        <v>386.09</v>
      </c>
      <c r="AG203" s="59">
        <f>559.27-0.37</f>
        <v>558.9</v>
      </c>
      <c r="AH203" s="59">
        <v>802.61</v>
      </c>
      <c r="AI203" s="59">
        <v>1150.2</v>
      </c>
      <c r="AJ203" s="59">
        <v>1587.4</v>
      </c>
    </row>
    <row r="204" spans="1:36" x14ac:dyDescent="0.3">
      <c r="A204" s="74" t="s">
        <v>205</v>
      </c>
      <c r="AE204" s="76">
        <f t="shared" ref="AE204:AJ204" si="36">AE202-AE203-AE52</f>
        <v>0.74000000000003752</v>
      </c>
      <c r="AF204" s="76">
        <f t="shared" si="36"/>
        <v>0</v>
      </c>
      <c r="AG204" s="76">
        <f t="shared" si="36"/>
        <v>0</v>
      </c>
      <c r="AH204" s="76">
        <f t="shared" si="36"/>
        <v>0</v>
      </c>
      <c r="AI204" s="76">
        <f t="shared" si="36"/>
        <v>0</v>
      </c>
      <c r="AJ204" s="76">
        <f t="shared" si="36"/>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55"/>
  <sheetViews>
    <sheetView showGridLines="0" zoomScaleNormal="100" workbookViewId="0">
      <pane xSplit="3" ySplit="5" topLeftCell="K38" activePane="bottomRight" state="frozen"/>
      <selection pane="topRight"/>
      <selection pane="bottomLeft"/>
      <selection pane="bottomRight" activeCell="L45" sqref="L45"/>
    </sheetView>
  </sheetViews>
  <sheetFormatPr defaultRowHeight="14.4" outlineLevelCol="1" x14ac:dyDescent="0.3"/>
  <cols>
    <col min="1" max="1" width="58" customWidth="1"/>
    <col min="2" max="2" width="10" customWidth="1"/>
    <col min="3" max="3" width="26" customWidth="1"/>
    <col min="4" max="23" width="11" customWidth="1"/>
    <col min="24" max="27" width="11" hidden="1" customWidth="1" outlineLevel="1"/>
    <col min="28" max="28" width="3" customWidth="1" collapsed="1"/>
    <col min="29" max="31" width="4.88671875" bestFit="1" customWidth="1"/>
    <col min="32" max="36" width="11" customWidth="1"/>
  </cols>
  <sheetData>
    <row r="1" spans="1:36" ht="15.6" customHeight="1" x14ac:dyDescent="0.3">
      <c r="A1" s="18"/>
      <c r="AB1" s="19"/>
    </row>
    <row r="2" spans="1:36" ht="15.6" customHeight="1" x14ac:dyDescent="0.3">
      <c r="A2" s="18"/>
      <c r="AB2" s="19"/>
    </row>
    <row r="3" spans="1:36" x14ac:dyDescent="0.3">
      <c r="A3" s="17" t="s">
        <v>36</v>
      </c>
      <c r="AB3" s="19"/>
    </row>
    <row r="4" spans="1:36" x14ac:dyDescent="0.3">
      <c r="AB4" s="19"/>
    </row>
    <row r="5" spans="1:36" x14ac:dyDescent="0.3">
      <c r="A5" s="1" t="s">
        <v>358</v>
      </c>
      <c r="B5" s="1" t="s">
        <v>1</v>
      </c>
      <c r="C5" s="1" t="s">
        <v>359</v>
      </c>
      <c r="D5" s="1" t="s">
        <v>360</v>
      </c>
      <c r="E5" s="1" t="s">
        <v>361</v>
      </c>
      <c r="F5" s="1" t="s">
        <v>362</v>
      </c>
      <c r="G5" s="1" t="s">
        <v>363</v>
      </c>
      <c r="H5" s="1" t="s">
        <v>364</v>
      </c>
      <c r="I5" s="1" t="s">
        <v>365</v>
      </c>
      <c r="J5" s="1" t="s">
        <v>366</v>
      </c>
      <c r="K5" s="1" t="s">
        <v>367</v>
      </c>
      <c r="L5" s="1" t="s">
        <v>368</v>
      </c>
      <c r="M5" s="1" t="s">
        <v>369</v>
      </c>
      <c r="N5" s="1" t="s">
        <v>370</v>
      </c>
      <c r="O5" s="1" t="s">
        <v>371</v>
      </c>
      <c r="P5" s="1" t="s">
        <v>372</v>
      </c>
      <c r="Q5" s="1" t="s">
        <v>373</v>
      </c>
      <c r="R5" s="1" t="s">
        <v>374</v>
      </c>
      <c r="S5" s="1" t="s">
        <v>375</v>
      </c>
      <c r="T5" s="1" t="s">
        <v>376</v>
      </c>
      <c r="U5" s="1" t="s">
        <v>377</v>
      </c>
      <c r="V5" s="1" t="s">
        <v>378</v>
      </c>
      <c r="W5" s="1" t="s">
        <v>379</v>
      </c>
      <c r="X5" s="1" t="s">
        <v>380</v>
      </c>
      <c r="Y5" s="1" t="s">
        <v>381</v>
      </c>
      <c r="Z5" s="1" t="s">
        <v>382</v>
      </c>
      <c r="AA5" s="1" t="s">
        <v>383</v>
      </c>
      <c r="AB5" s="43"/>
      <c r="AC5" s="1"/>
      <c r="AD5" s="1"/>
      <c r="AE5" s="1"/>
      <c r="AF5" s="1" t="s">
        <v>30</v>
      </c>
      <c r="AG5" s="1" t="s">
        <v>31</v>
      </c>
      <c r="AH5" s="1" t="s">
        <v>32</v>
      </c>
      <c r="AI5" s="1" t="s">
        <v>33</v>
      </c>
      <c r="AJ5" s="1" t="s">
        <v>34</v>
      </c>
    </row>
    <row r="6" spans="1:36" x14ac:dyDescent="0.3">
      <c r="A6" s="5" t="s">
        <v>384</v>
      </c>
      <c r="B6" s="5"/>
      <c r="C6" s="5"/>
      <c r="D6" s="5"/>
      <c r="E6" s="5"/>
      <c r="F6" s="5"/>
      <c r="G6" s="5"/>
      <c r="H6" s="5"/>
      <c r="I6" s="5"/>
      <c r="J6" s="5"/>
      <c r="K6" s="5"/>
      <c r="L6" s="5"/>
      <c r="M6" s="5"/>
      <c r="N6" s="5"/>
      <c r="O6" s="5"/>
      <c r="P6" s="5"/>
      <c r="Q6" s="5"/>
      <c r="R6" s="5"/>
      <c r="S6" s="5"/>
      <c r="T6" s="5"/>
      <c r="U6" s="5"/>
      <c r="V6" s="5"/>
      <c r="W6" s="5"/>
      <c r="X6" s="5"/>
      <c r="Y6" s="5"/>
      <c r="Z6" s="5"/>
      <c r="AA6" s="5"/>
      <c r="AB6" s="44"/>
      <c r="AC6" s="5"/>
      <c r="AD6" s="5"/>
      <c r="AE6" s="5"/>
      <c r="AF6" s="5"/>
      <c r="AG6" s="5"/>
      <c r="AH6" s="5"/>
      <c r="AI6" s="5"/>
      <c r="AJ6" s="5"/>
    </row>
    <row r="7" spans="1:36" x14ac:dyDescent="0.3">
      <c r="A7" s="20" t="s">
        <v>385</v>
      </c>
      <c r="B7" s="21" t="s">
        <v>236</v>
      </c>
      <c r="C7" s="22" t="s">
        <v>386</v>
      </c>
      <c r="D7" s="63">
        <v>312.39999999999998</v>
      </c>
      <c r="E7" s="63">
        <v>335</v>
      </c>
      <c r="F7" s="63">
        <v>347</v>
      </c>
      <c r="G7" s="63">
        <v>328</v>
      </c>
      <c r="H7" s="63">
        <v>354</v>
      </c>
      <c r="I7" s="63">
        <v>372</v>
      </c>
      <c r="J7" s="63">
        <v>403</v>
      </c>
      <c r="K7" s="63">
        <v>369</v>
      </c>
      <c r="L7" s="63">
        <v>395</v>
      </c>
      <c r="M7" s="63">
        <v>430</v>
      </c>
      <c r="N7" s="63">
        <v>468</v>
      </c>
      <c r="O7" s="63">
        <v>447</v>
      </c>
      <c r="P7" s="63"/>
      <c r="Q7" s="63"/>
      <c r="R7" s="63"/>
      <c r="S7" s="63"/>
      <c r="T7" s="63"/>
      <c r="U7" s="63"/>
      <c r="V7" s="63"/>
      <c r="W7" s="63"/>
      <c r="X7" s="63"/>
      <c r="Y7" s="63"/>
      <c r="Z7" s="63"/>
      <c r="AA7" s="63"/>
      <c r="AB7" s="19"/>
      <c r="AC7" s="36"/>
      <c r="AD7" s="36"/>
      <c r="AE7" s="36"/>
      <c r="AF7" s="36">
        <f>IF(COUNT(D7:G7)=0,"",SUM(D7:G7))</f>
        <v>1322.4</v>
      </c>
      <c r="AG7" s="36">
        <f>IF(COUNT(H7:K7)=0,"",SUM(H7:K7))</f>
        <v>1498</v>
      </c>
      <c r="AH7" s="36">
        <f>IF(COUNT(L7:O7)=0,"",SUM(L7:O7))</f>
        <v>1740</v>
      </c>
      <c r="AI7" s="36" t="str">
        <f>IF(COUNT(P7:S7)=0,"",SUM(P7:S7))</f>
        <v/>
      </c>
      <c r="AJ7" s="36" t="str">
        <f>IF(COUNT(T7:W7)=0,"",SUM(T7:W7))</f>
        <v/>
      </c>
    </row>
    <row r="8" spans="1:36" x14ac:dyDescent="0.3">
      <c r="A8" s="20" t="s">
        <v>387</v>
      </c>
      <c r="B8" s="21" t="s">
        <v>236</v>
      </c>
      <c r="C8" s="22" t="s">
        <v>386</v>
      </c>
      <c r="D8" s="63">
        <v>7.7</v>
      </c>
      <c r="E8" s="63">
        <v>8.6</v>
      </c>
      <c r="F8" s="63">
        <v>9.4</v>
      </c>
      <c r="G8" s="63">
        <v>10.199999999999999</v>
      </c>
      <c r="H8" s="63">
        <v>11</v>
      </c>
      <c r="I8" s="63">
        <v>11.7</v>
      </c>
      <c r="J8" s="63">
        <v>12.5</v>
      </c>
      <c r="K8" s="63">
        <v>13</v>
      </c>
      <c r="L8" s="63">
        <v>13.5</v>
      </c>
      <c r="M8" s="63">
        <v>14</v>
      </c>
      <c r="N8" s="63">
        <v>14.6</v>
      </c>
      <c r="O8" s="63">
        <v>15.4</v>
      </c>
      <c r="P8" s="63"/>
      <c r="Q8" s="63"/>
      <c r="R8" s="63"/>
      <c r="S8" s="63"/>
      <c r="T8" s="63"/>
      <c r="U8" s="63"/>
      <c r="V8" s="63"/>
      <c r="W8" s="63"/>
      <c r="X8" s="63"/>
      <c r="Y8" s="63"/>
      <c r="Z8" s="63"/>
      <c r="AA8" s="63"/>
      <c r="AB8" s="19"/>
      <c r="AC8" s="36"/>
      <c r="AD8" s="36"/>
      <c r="AE8" s="36"/>
      <c r="AF8" s="36">
        <f>IF(G8="","",G8)</f>
        <v>10.199999999999999</v>
      </c>
      <c r="AG8" s="36">
        <f>IF(K8="","",K8)</f>
        <v>13</v>
      </c>
      <c r="AH8" s="36">
        <f>IF(O8="","",O8)</f>
        <v>15.4</v>
      </c>
      <c r="AI8" s="36" t="str">
        <f>IF(S8="","",S8)</f>
        <v/>
      </c>
      <c r="AJ8" s="36" t="str">
        <f>IF(W8="","",W8)</f>
        <v/>
      </c>
    </row>
    <row r="9" spans="1:36" x14ac:dyDescent="0.3">
      <c r="A9" s="20" t="s">
        <v>216</v>
      </c>
      <c r="B9" s="21" t="s">
        <v>217</v>
      </c>
      <c r="C9" s="22"/>
      <c r="D9" s="64"/>
      <c r="E9" s="64"/>
      <c r="F9" s="64"/>
      <c r="G9" s="64"/>
      <c r="H9" s="23">
        <f t="shared" ref="H9:AA9" si="0">IFERROR(H8/D8-1,"")</f>
        <v>0.4285714285714286</v>
      </c>
      <c r="I9" s="23">
        <f t="shared" si="0"/>
        <v>0.36046511627906974</v>
      </c>
      <c r="J9" s="23">
        <f t="shared" si="0"/>
        <v>0.32978723404255317</v>
      </c>
      <c r="K9" s="23">
        <f t="shared" si="0"/>
        <v>0.27450980392156876</v>
      </c>
      <c r="L9" s="23">
        <f t="shared" si="0"/>
        <v>0.22727272727272729</v>
      </c>
      <c r="M9" s="23">
        <f t="shared" si="0"/>
        <v>0.19658119658119655</v>
      </c>
      <c r="N9" s="23">
        <f t="shared" si="0"/>
        <v>0.16799999999999993</v>
      </c>
      <c r="O9" s="23">
        <f t="shared" si="0"/>
        <v>0.18461538461538463</v>
      </c>
      <c r="P9" s="23">
        <f t="shared" si="0"/>
        <v>-1</v>
      </c>
      <c r="Q9" s="23">
        <f t="shared" si="0"/>
        <v>-1</v>
      </c>
      <c r="R9" s="23">
        <f t="shared" si="0"/>
        <v>-1</v>
      </c>
      <c r="S9" s="23">
        <f t="shared" si="0"/>
        <v>-1</v>
      </c>
      <c r="T9" s="23" t="str">
        <f t="shared" si="0"/>
        <v/>
      </c>
      <c r="U9" s="23" t="str">
        <f t="shared" si="0"/>
        <v/>
      </c>
      <c r="V9" s="23" t="str">
        <f t="shared" si="0"/>
        <v/>
      </c>
      <c r="W9" s="23" t="str">
        <f t="shared" si="0"/>
        <v/>
      </c>
      <c r="X9" s="23" t="str">
        <f t="shared" si="0"/>
        <v/>
      </c>
      <c r="Y9" s="23" t="str">
        <f t="shared" si="0"/>
        <v/>
      </c>
      <c r="Z9" s="23" t="str">
        <f t="shared" si="0"/>
        <v/>
      </c>
      <c r="AA9" s="23" t="str">
        <f t="shared" si="0"/>
        <v/>
      </c>
      <c r="AB9" s="19"/>
      <c r="AC9" s="64"/>
      <c r="AD9" s="64"/>
      <c r="AE9" s="64"/>
      <c r="AF9" s="23" t="str">
        <f>IFERROR(AF8/AE8-1,"")</f>
        <v/>
      </c>
      <c r="AG9" s="23">
        <f>IFERROR(AG8/AF8-1,"")</f>
        <v>0.27450980392156876</v>
      </c>
      <c r="AH9" s="23">
        <f>IFERROR(AH8/AG8-1,"")</f>
        <v>0.18461538461538463</v>
      </c>
      <c r="AI9" s="23" t="str">
        <f>IFERROR(AI8/AH8-1,"")</f>
        <v/>
      </c>
      <c r="AJ9" s="23" t="str">
        <f>IFERROR(AJ8/AI8-1,"")</f>
        <v/>
      </c>
    </row>
    <row r="10" spans="1:36" x14ac:dyDescent="0.3">
      <c r="A10" s="20" t="s">
        <v>239</v>
      </c>
      <c r="B10" s="21" t="s">
        <v>236</v>
      </c>
      <c r="C10" s="22" t="s">
        <v>386</v>
      </c>
      <c r="D10" s="63">
        <v>7</v>
      </c>
      <c r="E10" s="63">
        <v>7.4</v>
      </c>
      <c r="F10" s="63">
        <v>9</v>
      </c>
      <c r="G10" s="63">
        <v>8.6999999999999993</v>
      </c>
      <c r="H10" s="63">
        <v>9.9</v>
      </c>
      <c r="I10" s="63">
        <v>10.1</v>
      </c>
      <c r="J10" s="63">
        <v>11.6</v>
      </c>
      <c r="K10" s="63">
        <v>10.6</v>
      </c>
      <c r="L10" s="63">
        <v>11.4</v>
      </c>
      <c r="M10" s="63">
        <v>12.2</v>
      </c>
      <c r="N10" s="63">
        <v>13.7</v>
      </c>
      <c r="O10" s="63">
        <v>13.4</v>
      </c>
      <c r="P10" s="63"/>
      <c r="Q10" s="63"/>
      <c r="R10" s="63"/>
      <c r="S10" s="63"/>
      <c r="T10" s="63"/>
      <c r="U10" s="63"/>
      <c r="V10" s="63"/>
      <c r="W10" s="63"/>
      <c r="X10" s="63"/>
      <c r="Y10" s="63"/>
      <c r="Z10" s="63"/>
      <c r="AA10" s="63"/>
      <c r="AB10" s="19"/>
      <c r="AC10" s="36"/>
      <c r="AD10" s="36"/>
      <c r="AE10" s="36"/>
      <c r="AF10" s="36">
        <f>IF(COUNT(D10:G10)=0,"",SUM(D10:G10))</f>
        <v>32.099999999999994</v>
      </c>
      <c r="AG10" s="36">
        <f>IF(COUNT(H10:K10)=0,"",SUM(H10:K10))</f>
        <v>42.2</v>
      </c>
      <c r="AH10" s="36">
        <f>IF(COUNT(L10:O10)=0,"",SUM(L10:O10))</f>
        <v>50.699999999999996</v>
      </c>
      <c r="AI10" s="36" t="str">
        <f>IF(COUNT(P10:S10)=0,"",SUM(P10:S10))</f>
        <v/>
      </c>
      <c r="AJ10" s="36" t="str">
        <f>IF(COUNT(T10:W10)=0,"",SUM(T10:W10))</f>
        <v/>
      </c>
    </row>
    <row r="11" spans="1:36" x14ac:dyDescent="0.3">
      <c r="A11" s="20" t="s">
        <v>213</v>
      </c>
      <c r="B11" s="21" t="s">
        <v>214</v>
      </c>
      <c r="C11" s="22" t="s">
        <v>386</v>
      </c>
      <c r="D11" s="65">
        <v>14696</v>
      </c>
      <c r="E11" s="65">
        <v>16229</v>
      </c>
      <c r="F11" s="65">
        <v>20428</v>
      </c>
      <c r="G11" s="65">
        <v>17979</v>
      </c>
      <c r="H11" s="65">
        <v>21588</v>
      </c>
      <c r="I11" s="65">
        <v>23457</v>
      </c>
      <c r="J11" s="65">
        <v>27965</v>
      </c>
      <c r="K11" s="65">
        <v>24454</v>
      </c>
      <c r="L11" s="65">
        <v>26678</v>
      </c>
      <c r="M11" s="65">
        <v>29435</v>
      </c>
      <c r="N11" s="65">
        <v>36195</v>
      </c>
      <c r="O11" s="65">
        <v>32163</v>
      </c>
      <c r="P11" s="65">
        <v>33209</v>
      </c>
      <c r="Q11" s="65">
        <v>36525</v>
      </c>
      <c r="R11" s="65">
        <v>45279</v>
      </c>
      <c r="S11" s="65">
        <v>41020</v>
      </c>
      <c r="T11" s="65">
        <v>41820</v>
      </c>
      <c r="U11" s="65">
        <v>47440</v>
      </c>
      <c r="V11" s="65">
        <v>57950</v>
      </c>
      <c r="W11" s="65">
        <v>52410</v>
      </c>
      <c r="X11" s="65"/>
      <c r="Y11" s="65"/>
      <c r="Z11" s="65"/>
      <c r="AA11" s="65"/>
      <c r="AB11" s="19"/>
      <c r="AC11" s="66"/>
      <c r="AD11" s="66"/>
      <c r="AE11" s="66"/>
      <c r="AF11" s="66">
        <f>IF(COUNT(D11:G11)=0,"",SUM(D11:G11))</f>
        <v>69332</v>
      </c>
      <c r="AG11" s="66">
        <f>IF(COUNT(H11:K11)=0,"",SUM(H11:K11))</f>
        <v>97464</v>
      </c>
      <c r="AH11" s="66">
        <f>IF(COUNT(L11:O11)=0,"",SUM(L11:O11))</f>
        <v>124471</v>
      </c>
      <c r="AI11" s="66">
        <f>IF(COUNT(P11:S11)=0,"",SUM(P11:S11))</f>
        <v>156033</v>
      </c>
      <c r="AJ11" s="66">
        <f>IF(COUNT(T11:W11)=0,"",SUM(T11:W11))</f>
        <v>199620</v>
      </c>
    </row>
    <row r="12" spans="1:36" x14ac:dyDescent="0.3">
      <c r="A12" s="20" t="s">
        <v>216</v>
      </c>
      <c r="B12" s="21" t="s">
        <v>217</v>
      </c>
      <c r="C12" s="22"/>
      <c r="D12" s="64"/>
      <c r="E12" s="64"/>
      <c r="F12" s="64"/>
      <c r="G12" s="64"/>
      <c r="H12" s="23">
        <f t="shared" ref="H12:AA12" si="1">IFERROR(H11/D11-1,"")</f>
        <v>0.46897114861186728</v>
      </c>
      <c r="I12" s="23">
        <f t="shared" si="1"/>
        <v>0.44537556226508102</v>
      </c>
      <c r="J12" s="23">
        <f t="shared" si="1"/>
        <v>0.36895437634619155</v>
      </c>
      <c r="K12" s="23">
        <f t="shared" si="1"/>
        <v>0.36014238834195456</v>
      </c>
      <c r="L12" s="23">
        <f t="shared" si="1"/>
        <v>0.23577913655734672</v>
      </c>
      <c r="M12" s="23">
        <f t="shared" si="1"/>
        <v>0.25484929871680095</v>
      </c>
      <c r="N12" s="23">
        <f t="shared" si="1"/>
        <v>0.29429644198104765</v>
      </c>
      <c r="O12" s="23">
        <f t="shared" si="1"/>
        <v>0.31524494970148043</v>
      </c>
      <c r="P12" s="23">
        <f t="shared" si="1"/>
        <v>0.24480845640602733</v>
      </c>
      <c r="Q12" s="23">
        <f t="shared" si="1"/>
        <v>0.24086971292678783</v>
      </c>
      <c r="R12" s="23">
        <f t="shared" si="1"/>
        <v>0.25097389142146698</v>
      </c>
      <c r="S12" s="23">
        <f t="shared" si="1"/>
        <v>0.27537854055902744</v>
      </c>
      <c r="T12" s="23">
        <f t="shared" si="1"/>
        <v>0.25929717847571432</v>
      </c>
      <c r="U12" s="23">
        <f t="shared" si="1"/>
        <v>0.29883641341546885</v>
      </c>
      <c r="V12" s="23">
        <f t="shared" si="1"/>
        <v>0.2798427527109697</v>
      </c>
      <c r="W12" s="23">
        <f t="shared" si="1"/>
        <v>0.27766942954656271</v>
      </c>
      <c r="X12" s="23">
        <f t="shared" si="1"/>
        <v>-1</v>
      </c>
      <c r="Y12" s="23">
        <f t="shared" si="1"/>
        <v>-1</v>
      </c>
      <c r="Z12" s="23">
        <f t="shared" si="1"/>
        <v>-1</v>
      </c>
      <c r="AA12" s="23">
        <f t="shared" si="1"/>
        <v>-1</v>
      </c>
      <c r="AB12" s="19"/>
      <c r="AC12" s="64"/>
      <c r="AD12" s="64"/>
      <c r="AE12" s="64"/>
      <c r="AF12" s="23" t="str">
        <f>IFERROR(AF11/AE11-1,"")</f>
        <v/>
      </c>
      <c r="AG12" s="23">
        <f>IFERROR(AG11/AF11-1,"")</f>
        <v>0.40575780303467379</v>
      </c>
      <c r="AH12" s="23">
        <f>IFERROR(AH11/AG11-1,"")</f>
        <v>0.2770971846014938</v>
      </c>
      <c r="AI12" s="23">
        <f>IFERROR(AI11/AH11-1,"")</f>
        <v>0.25356910445003256</v>
      </c>
      <c r="AJ12" s="23">
        <f>IFERROR(AJ11/AI11-1,"")</f>
        <v>0.27934475399434744</v>
      </c>
    </row>
    <row r="13" spans="1:36" x14ac:dyDescent="0.3">
      <c r="A13" s="20" t="s">
        <v>388</v>
      </c>
      <c r="B13" s="21" t="s">
        <v>217</v>
      </c>
      <c r="C13" s="22"/>
      <c r="D13" s="64"/>
      <c r="E13" s="23">
        <f t="shared" ref="E13:AA13" si="2">IFERROR(E11/D11-1,"")</f>
        <v>0.10431409907457811</v>
      </c>
      <c r="F13" s="23">
        <f t="shared" si="2"/>
        <v>0.25873436440939068</v>
      </c>
      <c r="G13" s="23">
        <f t="shared" si="2"/>
        <v>-0.11988447229293131</v>
      </c>
      <c r="H13" s="23">
        <f t="shared" si="2"/>
        <v>0.20073418988820291</v>
      </c>
      <c r="I13" s="23">
        <f t="shared" si="2"/>
        <v>8.6575875486381237E-2</v>
      </c>
      <c r="J13" s="23">
        <f t="shared" si="2"/>
        <v>0.19218143837660406</v>
      </c>
      <c r="K13" s="23">
        <f t="shared" si="2"/>
        <v>-0.12554979438583946</v>
      </c>
      <c r="L13" s="23">
        <f t="shared" si="2"/>
        <v>9.09462664594749E-2</v>
      </c>
      <c r="M13" s="23">
        <f t="shared" si="2"/>
        <v>0.10334357897893387</v>
      </c>
      <c r="N13" s="23">
        <f t="shared" si="2"/>
        <v>0.22965856972991339</v>
      </c>
      <c r="O13" s="23">
        <f t="shared" si="2"/>
        <v>-0.11139660174057187</v>
      </c>
      <c r="P13" s="23">
        <f t="shared" si="2"/>
        <v>3.2521841867984902E-2</v>
      </c>
      <c r="Q13" s="23">
        <f t="shared" si="2"/>
        <v>9.9852449637146456E-2</v>
      </c>
      <c r="R13" s="23">
        <f t="shared" si="2"/>
        <v>0.23967145790554412</v>
      </c>
      <c r="S13" s="23">
        <f t="shared" si="2"/>
        <v>-9.4061264603900296E-2</v>
      </c>
      <c r="T13" s="23">
        <f t="shared" si="2"/>
        <v>1.9502681618722484E-2</v>
      </c>
      <c r="U13" s="23">
        <f t="shared" si="2"/>
        <v>0.13438546150167374</v>
      </c>
      <c r="V13" s="23">
        <f t="shared" si="2"/>
        <v>0.22154300168634067</v>
      </c>
      <c r="W13" s="23">
        <f t="shared" si="2"/>
        <v>-9.5599654874892193E-2</v>
      </c>
      <c r="X13" s="23">
        <f t="shared" si="2"/>
        <v>-1</v>
      </c>
      <c r="Y13" s="23" t="str">
        <f t="shared" si="2"/>
        <v/>
      </c>
      <c r="Z13" s="23" t="str">
        <f t="shared" si="2"/>
        <v/>
      </c>
      <c r="AA13" s="23" t="str">
        <f t="shared" si="2"/>
        <v/>
      </c>
      <c r="AB13" s="19"/>
      <c r="AC13" s="64"/>
      <c r="AD13" s="64"/>
      <c r="AE13" s="64"/>
      <c r="AF13" s="64"/>
      <c r="AG13" s="64"/>
      <c r="AH13" s="64"/>
      <c r="AI13" s="64"/>
      <c r="AJ13" s="64"/>
    </row>
    <row r="14" spans="1:36" x14ac:dyDescent="0.3">
      <c r="A14" s="20" t="s">
        <v>218</v>
      </c>
      <c r="B14" s="21" t="s">
        <v>214</v>
      </c>
      <c r="C14" s="22" t="s">
        <v>386</v>
      </c>
      <c r="D14" s="65">
        <v>8050</v>
      </c>
      <c r="E14" s="65">
        <v>8688</v>
      </c>
      <c r="F14" s="65">
        <v>10729</v>
      </c>
      <c r="G14" s="65">
        <v>9650</v>
      </c>
      <c r="H14" s="65">
        <v>11272</v>
      </c>
      <c r="I14" s="65">
        <v>12049</v>
      </c>
      <c r="J14" s="65">
        <v>14401</v>
      </c>
      <c r="K14" s="65">
        <v>12904</v>
      </c>
      <c r="L14" s="65">
        <v>14205</v>
      </c>
      <c r="M14" s="65">
        <v>14982</v>
      </c>
      <c r="N14" s="65">
        <v>17866</v>
      </c>
      <c r="O14" s="65">
        <v>16489</v>
      </c>
      <c r="P14" s="65">
        <v>17183</v>
      </c>
      <c r="Q14" s="65">
        <v>18432</v>
      </c>
      <c r="R14" s="65">
        <v>22190</v>
      </c>
      <c r="S14" s="65">
        <v>20430</v>
      </c>
      <c r="T14" s="65">
        <v>21370</v>
      </c>
      <c r="U14" s="65">
        <v>23400</v>
      </c>
      <c r="V14" s="65">
        <v>28440</v>
      </c>
      <c r="W14" s="65">
        <v>26780</v>
      </c>
      <c r="X14" s="65"/>
      <c r="Y14" s="65"/>
      <c r="Z14" s="65"/>
      <c r="AA14" s="65"/>
      <c r="AB14" s="19"/>
      <c r="AC14" s="66"/>
      <c r="AD14" s="66"/>
      <c r="AE14" s="66"/>
      <c r="AF14" s="66">
        <f>IF(COUNT(D14:G14)=0,"",SUM(D14:G14))</f>
        <v>37117</v>
      </c>
      <c r="AG14" s="66">
        <f>IF(COUNT(H14:K14)=0,"",SUM(H14:K14))</f>
        <v>50626</v>
      </c>
      <c r="AH14" s="66">
        <f>IF(COUNT(L14:O14)=0,"",SUM(L14:O14))</f>
        <v>63542</v>
      </c>
      <c r="AI14" s="66">
        <f>IF(COUNT(P14:S14)=0,"",SUM(P14:S14))</f>
        <v>78235</v>
      </c>
      <c r="AJ14" s="66">
        <f>IF(COUNT(T14:W14)=0,"",SUM(T14:W14))</f>
        <v>99990</v>
      </c>
    </row>
    <row r="15" spans="1:36" x14ac:dyDescent="0.3">
      <c r="A15" s="20" t="s">
        <v>219</v>
      </c>
      <c r="B15" s="21" t="s">
        <v>217</v>
      </c>
      <c r="C15" s="22"/>
      <c r="D15" s="23">
        <f t="shared" ref="D15:AA15" si="3">IFERROR(D14/D11,"")</f>
        <v>0.54776810016330979</v>
      </c>
      <c r="E15" s="23">
        <f t="shared" si="3"/>
        <v>0.53533797522952742</v>
      </c>
      <c r="F15" s="23">
        <f t="shared" si="3"/>
        <v>0.52521049539847264</v>
      </c>
      <c r="G15" s="23">
        <f t="shared" si="3"/>
        <v>0.53673730463318314</v>
      </c>
      <c r="H15" s="23">
        <f t="shared" si="3"/>
        <v>0.52214193070224202</v>
      </c>
      <c r="I15" s="23">
        <f t="shared" si="3"/>
        <v>0.5136632988020633</v>
      </c>
      <c r="J15" s="23">
        <f t="shared" si="3"/>
        <v>0.51496513499016627</v>
      </c>
      <c r="K15" s="23">
        <f t="shared" si="3"/>
        <v>0.52768463237098229</v>
      </c>
      <c r="L15" s="23">
        <f t="shared" si="3"/>
        <v>0.53246120398830499</v>
      </c>
      <c r="M15" s="23">
        <f t="shared" si="3"/>
        <v>0.50898590113810094</v>
      </c>
      <c r="N15" s="23">
        <f t="shared" si="3"/>
        <v>0.49360408896256391</v>
      </c>
      <c r="O15" s="23">
        <f t="shared" si="3"/>
        <v>0.51266983801262322</v>
      </c>
      <c r="P15" s="23">
        <f t="shared" si="3"/>
        <v>0.51741997651239124</v>
      </c>
      <c r="Q15" s="23">
        <f t="shared" si="3"/>
        <v>0.50464065708418893</v>
      </c>
      <c r="R15" s="23">
        <f t="shared" si="3"/>
        <v>0.49007266061529625</v>
      </c>
      <c r="S15" s="23">
        <f t="shared" si="3"/>
        <v>0.49804973183812773</v>
      </c>
      <c r="T15" s="23">
        <f t="shared" si="3"/>
        <v>0.51099952175992347</v>
      </c>
      <c r="U15" s="23">
        <f t="shared" si="3"/>
        <v>0.49325463743676223</v>
      </c>
      <c r="V15" s="23">
        <f t="shared" si="3"/>
        <v>0.49076790336496978</v>
      </c>
      <c r="W15" s="23">
        <f t="shared" si="3"/>
        <v>0.51097118870444569</v>
      </c>
      <c r="X15" s="23" t="str">
        <f t="shared" si="3"/>
        <v/>
      </c>
      <c r="Y15" s="23" t="str">
        <f t="shared" si="3"/>
        <v/>
      </c>
      <c r="Z15" s="23" t="str">
        <f t="shared" si="3"/>
        <v/>
      </c>
      <c r="AA15" s="23" t="str">
        <f t="shared" si="3"/>
        <v/>
      </c>
      <c r="AB15" s="19"/>
      <c r="AC15" s="23"/>
      <c r="AD15" s="23"/>
      <c r="AE15" s="23"/>
      <c r="AF15" s="23">
        <f>IFERROR(AF14/AF11,"")</f>
        <v>0.53535164137771885</v>
      </c>
      <c r="AG15" s="23">
        <f>IFERROR(AG14/AG11,"")</f>
        <v>0.51943281621932202</v>
      </c>
      <c r="AH15" s="23">
        <f>IFERROR(AH14/AH11,"")</f>
        <v>0.51049642085305014</v>
      </c>
      <c r="AI15" s="23">
        <f>IFERROR(AI14/AI11,"")</f>
        <v>0.50140034479885665</v>
      </c>
      <c r="AJ15" s="23">
        <f>IFERROR(AJ14/AJ11,"")</f>
        <v>0.50090171325518484</v>
      </c>
    </row>
    <row r="16" spans="1:36" x14ac:dyDescent="0.3">
      <c r="A16" s="20" t="s">
        <v>220</v>
      </c>
      <c r="B16" s="21" t="s">
        <v>214</v>
      </c>
      <c r="C16" s="22" t="s">
        <v>389</v>
      </c>
      <c r="D16" s="65">
        <v>8169.91</v>
      </c>
      <c r="E16" s="65">
        <v>8852.64</v>
      </c>
      <c r="F16" s="65">
        <v>10983.6</v>
      </c>
      <c r="G16" s="65">
        <v>9733.2000000000007</v>
      </c>
      <c r="H16" s="65">
        <v>11484.21</v>
      </c>
      <c r="I16" s="65">
        <v>12308.29</v>
      </c>
      <c r="J16" s="65">
        <v>14628.26</v>
      </c>
      <c r="K16" s="65">
        <v>13017.24</v>
      </c>
      <c r="L16" s="65">
        <v>14218.24</v>
      </c>
      <c r="M16" s="65">
        <v>15070.24</v>
      </c>
      <c r="N16" s="65">
        <v>17887.98</v>
      </c>
      <c r="O16" s="65">
        <v>16679.8</v>
      </c>
      <c r="P16" s="65">
        <v>17461.099999999999</v>
      </c>
      <c r="Q16" s="65">
        <v>18747.400000000001</v>
      </c>
      <c r="R16" s="65">
        <v>22672.1</v>
      </c>
      <c r="S16" s="65">
        <v>20617.599999999999</v>
      </c>
      <c r="T16" s="65">
        <v>21549.4</v>
      </c>
      <c r="U16" s="65">
        <v>23459.8</v>
      </c>
      <c r="V16" s="65">
        <v>28732.6</v>
      </c>
      <c r="W16" s="65">
        <v>26480</v>
      </c>
      <c r="X16" s="65"/>
      <c r="Y16" s="65"/>
      <c r="Z16" s="65"/>
      <c r="AA16" s="65"/>
      <c r="AB16" s="19"/>
      <c r="AC16" s="66"/>
      <c r="AD16" s="66"/>
      <c r="AE16" s="66"/>
      <c r="AF16" s="66">
        <f>IF(COUNT(D16:G16)=0,"",SUM(D16:G16))</f>
        <v>37739.350000000006</v>
      </c>
      <c r="AG16" s="66">
        <f>IF(COUNT(H16:K16)=0,"",SUM(H16:K16))</f>
        <v>51438</v>
      </c>
      <c r="AH16" s="66">
        <f>IF(COUNT(L16:O16)=0,"",SUM(L16:O16))</f>
        <v>63856.259999999995</v>
      </c>
      <c r="AI16" s="66">
        <f>IF(COUNT(P16:S16)=0,"",SUM(P16:S16))</f>
        <v>79498.2</v>
      </c>
      <c r="AJ16" s="66">
        <f>IF(COUNT(T16:W16)=0,"",SUM(T16:W16))</f>
        <v>100221.79999999999</v>
      </c>
    </row>
    <row r="17" spans="1:36" x14ac:dyDescent="0.3">
      <c r="A17" s="20" t="s">
        <v>216</v>
      </c>
      <c r="B17" s="21" t="s">
        <v>217</v>
      </c>
      <c r="C17" s="22"/>
      <c r="D17" s="64"/>
      <c r="E17" s="64"/>
      <c r="F17" s="64"/>
      <c r="G17" s="64"/>
      <c r="H17" s="23">
        <f t="shared" ref="H17:AA17" si="4">IFERROR(H16/D16-1,"")</f>
        <v>0.40567154350537504</v>
      </c>
      <c r="I17" s="23">
        <f t="shared" si="4"/>
        <v>0.39035248242332243</v>
      </c>
      <c r="J17" s="23">
        <f t="shared" si="4"/>
        <v>0.33182745183728457</v>
      </c>
      <c r="K17" s="23">
        <f t="shared" si="4"/>
        <v>0.33740599186290221</v>
      </c>
      <c r="L17" s="23">
        <f t="shared" si="4"/>
        <v>0.23806861769333731</v>
      </c>
      <c r="M17" s="23">
        <f t="shared" si="4"/>
        <v>0.22439754019445424</v>
      </c>
      <c r="N17" s="23">
        <f t="shared" si="4"/>
        <v>0.22283716586935154</v>
      </c>
      <c r="O17" s="23">
        <f t="shared" si="4"/>
        <v>0.28136225497878198</v>
      </c>
      <c r="P17" s="23">
        <f t="shared" si="4"/>
        <v>0.22807745543752245</v>
      </c>
      <c r="Q17" s="23">
        <f t="shared" si="4"/>
        <v>0.24400142267143732</v>
      </c>
      <c r="R17" s="23">
        <f t="shared" si="4"/>
        <v>0.26744886789900257</v>
      </c>
      <c r="S17" s="23">
        <f t="shared" si="4"/>
        <v>0.23608196740968124</v>
      </c>
      <c r="T17" s="23">
        <f t="shared" si="4"/>
        <v>0.23413759728768535</v>
      </c>
      <c r="U17" s="23">
        <f t="shared" si="4"/>
        <v>0.2513628556493166</v>
      </c>
      <c r="V17" s="23">
        <f t="shared" si="4"/>
        <v>0.26731092399910028</v>
      </c>
      <c r="W17" s="23">
        <f t="shared" si="4"/>
        <v>0.28433959335713177</v>
      </c>
      <c r="X17" s="23">
        <f t="shared" si="4"/>
        <v>-1</v>
      </c>
      <c r="Y17" s="23">
        <f t="shared" si="4"/>
        <v>-1</v>
      </c>
      <c r="Z17" s="23">
        <f t="shared" si="4"/>
        <v>-1</v>
      </c>
      <c r="AA17" s="23">
        <f t="shared" si="4"/>
        <v>-1</v>
      </c>
      <c r="AB17" s="19"/>
      <c r="AC17" s="64"/>
      <c r="AD17" s="64"/>
      <c r="AE17" s="64"/>
      <c r="AF17" s="23" t="str">
        <f>IFERROR(AF16/AE16-1,"")</f>
        <v/>
      </c>
      <c r="AG17" s="23">
        <f>IFERROR(AG16/AF16-1,"")</f>
        <v>0.36298054947952174</v>
      </c>
      <c r="AH17" s="23">
        <f>IFERROR(AH16/AG16-1,"")</f>
        <v>0.2414219059839029</v>
      </c>
      <c r="AI17" s="23">
        <f>IFERROR(AI16/AH16-1,"")</f>
        <v>0.24495546716954619</v>
      </c>
      <c r="AJ17" s="23">
        <f>IFERROR(AJ16/AI16-1,"")</f>
        <v>0.26068011602778407</v>
      </c>
    </row>
    <row r="18" spans="1:36" x14ac:dyDescent="0.3">
      <c r="A18" s="20" t="s">
        <v>246</v>
      </c>
      <c r="B18" s="21" t="s">
        <v>217</v>
      </c>
      <c r="C18" s="22"/>
      <c r="D18" s="23">
        <f t="shared" ref="D18:AA18" si="5">IFERROR(D16/D14,"")</f>
        <v>1.014895652173913</v>
      </c>
      <c r="E18" s="23">
        <f t="shared" si="5"/>
        <v>1.0189502762430938</v>
      </c>
      <c r="F18" s="23">
        <f t="shared" si="5"/>
        <v>1.023730077360425</v>
      </c>
      <c r="G18" s="23">
        <f t="shared" si="5"/>
        <v>1.0086217616580311</v>
      </c>
      <c r="H18" s="23">
        <f t="shared" si="5"/>
        <v>1.0188262952448544</v>
      </c>
      <c r="I18" s="23">
        <f t="shared" si="5"/>
        <v>1.0215196281849117</v>
      </c>
      <c r="J18" s="23">
        <f t="shared" si="5"/>
        <v>1.015780848552184</v>
      </c>
      <c r="K18" s="23">
        <f t="shared" si="5"/>
        <v>1.0087755734655921</v>
      </c>
      <c r="L18" s="23">
        <f t="shared" si="5"/>
        <v>1.0009320661738825</v>
      </c>
      <c r="M18" s="23">
        <f t="shared" si="5"/>
        <v>1.0058897343478841</v>
      </c>
      <c r="N18" s="23">
        <f t="shared" si="5"/>
        <v>1.0012302697861861</v>
      </c>
      <c r="O18" s="23">
        <f t="shared" si="5"/>
        <v>1.0115713505973678</v>
      </c>
      <c r="P18" s="23">
        <f t="shared" si="5"/>
        <v>1.0161846010591864</v>
      </c>
      <c r="Q18" s="23">
        <f t="shared" si="5"/>
        <v>1.017111545138889</v>
      </c>
      <c r="R18" s="23">
        <f t="shared" si="5"/>
        <v>1.0217260027039206</v>
      </c>
      <c r="S18" s="23">
        <f t="shared" si="5"/>
        <v>1.0091825746451297</v>
      </c>
      <c r="T18" s="23">
        <f t="shared" si="5"/>
        <v>1.0083949461862425</v>
      </c>
      <c r="U18" s="23">
        <f t="shared" si="5"/>
        <v>1.0025555555555554</v>
      </c>
      <c r="V18" s="23">
        <f t="shared" si="5"/>
        <v>1.0102883263009845</v>
      </c>
      <c r="W18" s="23">
        <f t="shared" si="5"/>
        <v>0.98879761015683343</v>
      </c>
      <c r="X18" s="23" t="str">
        <f t="shared" si="5"/>
        <v/>
      </c>
      <c r="Y18" s="23" t="str">
        <f t="shared" si="5"/>
        <v/>
      </c>
      <c r="Z18" s="23" t="str">
        <f t="shared" si="5"/>
        <v/>
      </c>
      <c r="AA18" s="23" t="str">
        <f t="shared" si="5"/>
        <v/>
      </c>
      <c r="AB18" s="19"/>
      <c r="AC18" s="23"/>
      <c r="AD18" s="23"/>
      <c r="AE18" s="23"/>
      <c r="AF18" s="23">
        <f>IFERROR(AF16/AF14,"")</f>
        <v>1.0167672495083118</v>
      </c>
      <c r="AG18" s="23">
        <f>IFERROR(AG16/AG14,"")</f>
        <v>1.0160391893493461</v>
      </c>
      <c r="AH18" s="23">
        <f>IFERROR(AH16/AH14,"")</f>
        <v>1.0049457052028579</v>
      </c>
      <c r="AI18" s="23">
        <f>IFERROR(AI16/AI14,"")</f>
        <v>1.016146226113632</v>
      </c>
      <c r="AJ18" s="23">
        <f>IFERROR(AJ16/AJ14,"")</f>
        <v>1.0023182318231822</v>
      </c>
    </row>
    <row r="19" spans="1:36" x14ac:dyDescent="0.3">
      <c r="A19" s="20" t="s">
        <v>247</v>
      </c>
      <c r="B19" s="21" t="s">
        <v>214</v>
      </c>
      <c r="C19" s="22" t="s">
        <v>390</v>
      </c>
      <c r="D19" s="65">
        <v>3316.59</v>
      </c>
      <c r="E19" s="65">
        <v>3782.42</v>
      </c>
      <c r="F19" s="65">
        <v>5087.58</v>
      </c>
      <c r="G19" s="65">
        <v>4252.6099999999997</v>
      </c>
      <c r="H19" s="65">
        <v>5098.79</v>
      </c>
      <c r="I19" s="65">
        <v>5577.38</v>
      </c>
      <c r="J19" s="65">
        <v>6346.7</v>
      </c>
      <c r="K19" s="65">
        <v>5758.32</v>
      </c>
      <c r="L19" s="65">
        <v>6186.25</v>
      </c>
      <c r="M19" s="65">
        <v>6496.24</v>
      </c>
      <c r="N19" s="65">
        <v>7607.48</v>
      </c>
      <c r="O19" s="65">
        <v>7102.43</v>
      </c>
      <c r="P19" s="65">
        <v>7559.8</v>
      </c>
      <c r="Q19" s="65">
        <v>8210.2000000000007</v>
      </c>
      <c r="R19" s="65">
        <v>9911.4</v>
      </c>
      <c r="S19" s="65">
        <v>9090.2000000000007</v>
      </c>
      <c r="T19" s="65">
        <v>9615.1</v>
      </c>
      <c r="U19" s="65">
        <v>10535.4</v>
      </c>
      <c r="V19" s="65">
        <v>12974.8</v>
      </c>
      <c r="W19" s="65">
        <v>12030</v>
      </c>
      <c r="X19" s="65"/>
      <c r="Y19" s="65"/>
      <c r="Z19" s="65"/>
      <c r="AA19" s="65"/>
      <c r="AB19" s="19"/>
      <c r="AC19" s="66"/>
      <c r="AD19" s="66"/>
      <c r="AE19" s="66"/>
      <c r="AF19" s="66">
        <f>IF(COUNT(D19:G19)=0,"",SUM(D19:G19))</f>
        <v>16439.2</v>
      </c>
      <c r="AG19" s="66">
        <f>IF(COUNT(H19:K19)=0,"",SUM(H19:K19))</f>
        <v>22781.19</v>
      </c>
      <c r="AH19" s="66">
        <f>IF(COUNT(L19:O19)=0,"",SUM(L19:O19))</f>
        <v>27392.400000000001</v>
      </c>
      <c r="AI19" s="66">
        <f>IF(COUNT(P19:S19)=0,"",SUM(P19:S19))</f>
        <v>34771.600000000006</v>
      </c>
      <c r="AJ19" s="66">
        <f>IF(COUNT(T19:W19)=0,"",SUM(T19:W19))</f>
        <v>45155.3</v>
      </c>
    </row>
    <row r="20" spans="1:36" x14ac:dyDescent="0.3">
      <c r="A20" s="20" t="s">
        <v>222</v>
      </c>
      <c r="B20" s="21" t="s">
        <v>217</v>
      </c>
      <c r="C20" s="22"/>
      <c r="D20" s="23">
        <f t="shared" ref="D20:AA20" si="6">IFERROR(D19/D14,"")</f>
        <v>0.41199875776397515</v>
      </c>
      <c r="E20" s="23">
        <f t="shared" si="6"/>
        <v>0.43536141804788214</v>
      </c>
      <c r="F20" s="23">
        <f t="shared" si="6"/>
        <v>0.47418957964395564</v>
      </c>
      <c r="G20" s="23">
        <f t="shared" si="6"/>
        <v>0.44068497409326424</v>
      </c>
      <c r="H20" s="23">
        <f t="shared" si="6"/>
        <v>0.45234119943222145</v>
      </c>
      <c r="I20" s="23">
        <f t="shared" si="6"/>
        <v>0.46289152626774005</v>
      </c>
      <c r="J20" s="23">
        <f t="shared" si="6"/>
        <v>0.44071245052426916</v>
      </c>
      <c r="K20" s="23">
        <f t="shared" si="6"/>
        <v>0.44624302541847488</v>
      </c>
      <c r="L20" s="23">
        <f t="shared" si="6"/>
        <v>0.43549806406195002</v>
      </c>
      <c r="M20" s="23">
        <f t="shared" si="6"/>
        <v>0.43360299025497262</v>
      </c>
      <c r="N20" s="23">
        <f t="shared" si="6"/>
        <v>0.42580767939102204</v>
      </c>
      <c r="O20" s="23">
        <f t="shared" si="6"/>
        <v>0.43073746133786162</v>
      </c>
      <c r="P20" s="23">
        <f t="shared" si="6"/>
        <v>0.43995809812023512</v>
      </c>
      <c r="Q20" s="23">
        <f t="shared" si="6"/>
        <v>0.44543185763888893</v>
      </c>
      <c r="R20" s="23">
        <f t="shared" si="6"/>
        <v>0.44666065795403331</v>
      </c>
      <c r="S20" s="23">
        <f t="shared" si="6"/>
        <v>0.44494371023005386</v>
      </c>
      <c r="T20" s="23">
        <f t="shared" si="6"/>
        <v>0.44993448759943849</v>
      </c>
      <c r="U20" s="23">
        <f t="shared" si="6"/>
        <v>0.45023076923076921</v>
      </c>
      <c r="V20" s="23">
        <f t="shared" si="6"/>
        <v>0.45621659634317857</v>
      </c>
      <c r="W20" s="23">
        <f t="shared" si="6"/>
        <v>0.44921583271097837</v>
      </c>
      <c r="X20" s="23" t="str">
        <f t="shared" si="6"/>
        <v/>
      </c>
      <c r="Y20" s="23" t="str">
        <f t="shared" si="6"/>
        <v/>
      </c>
      <c r="Z20" s="23" t="str">
        <f t="shared" si="6"/>
        <v/>
      </c>
      <c r="AA20" s="23" t="str">
        <f t="shared" si="6"/>
        <v/>
      </c>
      <c r="AB20" s="19"/>
      <c r="AC20" s="23"/>
      <c r="AD20" s="23"/>
      <c r="AE20" s="23"/>
      <c r="AF20" s="23">
        <f>IFERROR(AF19/AF14,"")</f>
        <v>0.44290217420588951</v>
      </c>
      <c r="AG20" s="23">
        <f>IFERROR(AG19/AG14,"")</f>
        <v>0.44998992612491601</v>
      </c>
      <c r="AH20" s="23">
        <f>IFERROR(AH19/AH14,"")</f>
        <v>0.43109124673444338</v>
      </c>
      <c r="AI20" s="23">
        <f>IFERROR(AI19/AI14,"")</f>
        <v>0.44445069342365956</v>
      </c>
      <c r="AJ20" s="23">
        <f>IFERROR(AJ19/AJ14,"")</f>
        <v>0.45159815981598161</v>
      </c>
    </row>
    <row r="21" spans="1:36" x14ac:dyDescent="0.3">
      <c r="A21" s="20" t="s">
        <v>248</v>
      </c>
      <c r="B21" s="21" t="s">
        <v>214</v>
      </c>
      <c r="C21" s="22" t="s">
        <v>390</v>
      </c>
      <c r="D21" s="65">
        <v>934</v>
      </c>
      <c r="E21" s="65">
        <v>910</v>
      </c>
      <c r="F21" s="65">
        <v>1162</v>
      </c>
      <c r="G21" s="65">
        <v>949</v>
      </c>
      <c r="H21" s="65">
        <v>1294</v>
      </c>
      <c r="I21" s="65">
        <v>1454</v>
      </c>
      <c r="J21" s="65">
        <v>1288</v>
      </c>
      <c r="K21" s="65">
        <v>1286</v>
      </c>
      <c r="L21" s="65">
        <v>1357</v>
      </c>
      <c r="M21" s="65">
        <v>1459</v>
      </c>
      <c r="N21" s="65">
        <v>1718</v>
      </c>
      <c r="O21" s="65">
        <v>1550</v>
      </c>
      <c r="P21" s="65">
        <v>1667</v>
      </c>
      <c r="Q21" s="65">
        <v>1748</v>
      </c>
      <c r="R21" s="65">
        <v>2090</v>
      </c>
      <c r="S21" s="65">
        <v>1920</v>
      </c>
      <c r="T21" s="65">
        <v>2030</v>
      </c>
      <c r="U21" s="65">
        <v>2270</v>
      </c>
      <c r="V21" s="65">
        <v>2690</v>
      </c>
      <c r="W21" s="65">
        <v>2600</v>
      </c>
      <c r="X21" s="65"/>
      <c r="Y21" s="65"/>
      <c r="Z21" s="65"/>
      <c r="AA21" s="65"/>
      <c r="AB21" s="19"/>
      <c r="AC21" s="66"/>
      <c r="AD21" s="66"/>
      <c r="AE21" s="66"/>
      <c r="AF21" s="66">
        <f>IF(COUNT(D21:G21)=0,"",SUM(D21:G21))</f>
        <v>3955</v>
      </c>
      <c r="AG21" s="66">
        <f>IF(COUNT(H21:K21)=0,"",SUM(H21:K21))</f>
        <v>5322</v>
      </c>
      <c r="AH21" s="66">
        <f>IF(COUNT(L21:O21)=0,"",SUM(L21:O21))</f>
        <v>6084</v>
      </c>
      <c r="AI21" s="66">
        <f>IF(COUNT(P21:S21)=0,"",SUM(P21:S21))</f>
        <v>7425</v>
      </c>
      <c r="AJ21" s="66">
        <f>IF(COUNT(T21:W21)=0,"",SUM(T21:W21))</f>
        <v>9590</v>
      </c>
    </row>
    <row r="22" spans="1:36" x14ac:dyDescent="0.3">
      <c r="A22" s="20" t="s">
        <v>252</v>
      </c>
      <c r="B22" s="21" t="s">
        <v>214</v>
      </c>
      <c r="C22" s="22" t="s">
        <v>390</v>
      </c>
      <c r="D22" s="65">
        <v>1099</v>
      </c>
      <c r="E22" s="65">
        <v>1521</v>
      </c>
      <c r="F22" s="65">
        <v>1846</v>
      </c>
      <c r="G22" s="65">
        <v>1561</v>
      </c>
      <c r="H22" s="65">
        <v>1524</v>
      </c>
      <c r="I22" s="65">
        <v>1635</v>
      </c>
      <c r="J22" s="65">
        <v>1982</v>
      </c>
      <c r="K22" s="65">
        <v>1670</v>
      </c>
      <c r="L22" s="65">
        <v>1919</v>
      </c>
      <c r="M22" s="65">
        <v>2036</v>
      </c>
      <c r="N22" s="65">
        <v>2558</v>
      </c>
      <c r="O22" s="65">
        <v>2361</v>
      </c>
      <c r="P22" s="65">
        <v>2483</v>
      </c>
      <c r="Q22" s="65">
        <v>2767</v>
      </c>
      <c r="R22" s="65">
        <v>3620</v>
      </c>
      <c r="S22" s="65">
        <v>3160</v>
      </c>
      <c r="T22" s="65">
        <v>3180</v>
      </c>
      <c r="U22" s="65">
        <v>3560</v>
      </c>
      <c r="V22" s="65">
        <v>4380</v>
      </c>
      <c r="W22" s="65">
        <v>3740</v>
      </c>
      <c r="X22" s="65"/>
      <c r="Y22" s="65"/>
      <c r="Z22" s="65"/>
      <c r="AA22" s="65"/>
      <c r="AB22" s="19"/>
      <c r="AC22" s="66"/>
      <c r="AD22" s="66"/>
      <c r="AE22" s="66"/>
      <c r="AF22" s="66">
        <f>IF(COUNT(D22:G22)=0,"",SUM(D22:G22))</f>
        <v>6027</v>
      </c>
      <c r="AG22" s="66">
        <f>IF(COUNT(H22:K22)=0,"",SUM(H22:K22))</f>
        <v>6811</v>
      </c>
      <c r="AH22" s="66">
        <f>IF(COUNT(L22:O22)=0,"",SUM(L22:O22))</f>
        <v>8874</v>
      </c>
      <c r="AI22" s="66">
        <f>IF(COUNT(P22:S22)=0,"",SUM(P22:S22))</f>
        <v>12030</v>
      </c>
      <c r="AJ22" s="66">
        <f>IF(COUNT(T22:W22)=0,"",SUM(T22:W22))</f>
        <v>14860</v>
      </c>
    </row>
    <row r="23" spans="1:36" x14ac:dyDescent="0.3">
      <c r="A23" s="20" t="s">
        <v>254</v>
      </c>
      <c r="B23" s="21" t="s">
        <v>214</v>
      </c>
      <c r="C23" s="22"/>
      <c r="D23" s="66">
        <f t="shared" ref="D23:AA23" si="7">IF(OR(ISBLANK(D19),ISBLANK(D21),ISBLANK(D22)),"",IFERROR(D19-D21-D22,""))</f>
        <v>1283.5900000000001</v>
      </c>
      <c r="E23" s="66">
        <f t="shared" si="7"/>
        <v>1351.42</v>
      </c>
      <c r="F23" s="66">
        <f t="shared" si="7"/>
        <v>2079.58</v>
      </c>
      <c r="G23" s="66">
        <f t="shared" si="7"/>
        <v>1742.6099999999997</v>
      </c>
      <c r="H23" s="66">
        <f t="shared" si="7"/>
        <v>2280.79</v>
      </c>
      <c r="I23" s="66">
        <f t="shared" si="7"/>
        <v>2488.38</v>
      </c>
      <c r="J23" s="66">
        <f t="shared" si="7"/>
        <v>3076.7</v>
      </c>
      <c r="K23" s="66">
        <f t="shared" si="7"/>
        <v>2802.3199999999997</v>
      </c>
      <c r="L23" s="66">
        <f t="shared" si="7"/>
        <v>2910.25</v>
      </c>
      <c r="M23" s="66">
        <f t="shared" si="7"/>
        <v>3001.24</v>
      </c>
      <c r="N23" s="66">
        <f t="shared" si="7"/>
        <v>3331.4799999999996</v>
      </c>
      <c r="O23" s="66">
        <f t="shared" si="7"/>
        <v>3191.4300000000003</v>
      </c>
      <c r="P23" s="66">
        <f t="shared" si="7"/>
        <v>3409.8</v>
      </c>
      <c r="Q23" s="66">
        <f t="shared" si="7"/>
        <v>3695.2000000000007</v>
      </c>
      <c r="R23" s="66">
        <f t="shared" si="7"/>
        <v>4201.3999999999996</v>
      </c>
      <c r="S23" s="66">
        <f t="shared" si="7"/>
        <v>4010.2000000000007</v>
      </c>
      <c r="T23" s="66">
        <f t="shared" si="7"/>
        <v>4405.1000000000004</v>
      </c>
      <c r="U23" s="66">
        <f t="shared" si="7"/>
        <v>4705.3999999999996</v>
      </c>
      <c r="V23" s="66">
        <f t="shared" si="7"/>
        <v>5904.7999999999993</v>
      </c>
      <c r="W23" s="66">
        <f t="shared" si="7"/>
        <v>5690</v>
      </c>
      <c r="X23" s="66" t="str">
        <f t="shared" si="7"/>
        <v/>
      </c>
      <c r="Y23" s="66" t="str">
        <f t="shared" si="7"/>
        <v/>
      </c>
      <c r="Z23" s="66" t="str">
        <f t="shared" si="7"/>
        <v/>
      </c>
      <c r="AA23" s="66" t="str">
        <f t="shared" si="7"/>
        <v/>
      </c>
      <c r="AB23" s="19"/>
      <c r="AC23" s="66"/>
      <c r="AD23" s="66"/>
      <c r="AE23" s="66"/>
      <c r="AF23" s="66">
        <f>IF(OR(ISBLANK(AF19),ISBLANK(AF21),ISBLANK(AF22)),"",IFERROR(AF19-AF21-AF22,""))</f>
        <v>6457.2000000000007</v>
      </c>
      <c r="AG23" s="66">
        <f>IF(OR(ISBLANK(AG19),ISBLANK(AG21),ISBLANK(AG22)),"",IFERROR(AG19-AG21-AG22,""))</f>
        <v>10648.189999999999</v>
      </c>
      <c r="AH23" s="66">
        <f>IF(OR(ISBLANK(AH19),ISBLANK(AH21),ISBLANK(AH22)),"",IFERROR(AH19-AH21-AH22,""))</f>
        <v>12434.400000000001</v>
      </c>
      <c r="AI23" s="66">
        <f>IF(OR(ISBLANK(AI19),ISBLANK(AI21),ISBLANK(AI22)),"",IFERROR(AI19-AI21-AI22,""))</f>
        <v>15316.600000000006</v>
      </c>
      <c r="AJ23" s="66">
        <f>IF(OR(ISBLANK(AJ19),ISBLANK(AJ21),ISBLANK(AJ22)),"",IFERROR(AJ19-AJ21-AJ22,""))</f>
        <v>20705.300000000003</v>
      </c>
    </row>
    <row r="24" spans="1:36" x14ac:dyDescent="0.3">
      <c r="A24" s="20" t="s">
        <v>255</v>
      </c>
      <c r="B24" s="21" t="s">
        <v>217</v>
      </c>
      <c r="C24" s="22"/>
      <c r="D24" s="23">
        <f t="shared" ref="D24:AA24" si="8">IFERROR(D23/D14,"")</f>
        <v>0.1594521739130435</v>
      </c>
      <c r="E24" s="23">
        <f t="shared" si="8"/>
        <v>0.15555018416206262</v>
      </c>
      <c r="F24" s="23">
        <f t="shared" si="8"/>
        <v>0.19382794295833722</v>
      </c>
      <c r="G24" s="23">
        <f t="shared" si="8"/>
        <v>0.18058134715025903</v>
      </c>
      <c r="H24" s="23">
        <f t="shared" si="8"/>
        <v>0.20234119943222142</v>
      </c>
      <c r="I24" s="23">
        <f t="shared" si="8"/>
        <v>0.20652170304589593</v>
      </c>
      <c r="J24" s="23">
        <f t="shared" si="8"/>
        <v>0.21364488577182139</v>
      </c>
      <c r="K24" s="23">
        <f t="shared" si="8"/>
        <v>0.21716676999380036</v>
      </c>
      <c r="L24" s="23">
        <f t="shared" si="8"/>
        <v>0.20487504399859205</v>
      </c>
      <c r="M24" s="23">
        <f t="shared" si="8"/>
        <v>0.2003230543318649</v>
      </c>
      <c r="N24" s="23">
        <f t="shared" si="8"/>
        <v>0.18647039068621962</v>
      </c>
      <c r="O24" s="23">
        <f t="shared" si="8"/>
        <v>0.19354903268845899</v>
      </c>
      <c r="P24" s="23">
        <f t="shared" si="8"/>
        <v>0.19844031891986266</v>
      </c>
      <c r="Q24" s="23">
        <f t="shared" si="8"/>
        <v>0.20047743055555559</v>
      </c>
      <c r="R24" s="23">
        <f t="shared" si="8"/>
        <v>0.18933753943217663</v>
      </c>
      <c r="S24" s="23">
        <f t="shared" si="8"/>
        <v>0.19628976994615766</v>
      </c>
      <c r="T24" s="23">
        <f t="shared" si="8"/>
        <v>0.20613476836686945</v>
      </c>
      <c r="U24" s="23">
        <f t="shared" si="8"/>
        <v>0.20108547008547006</v>
      </c>
      <c r="V24" s="23">
        <f t="shared" si="8"/>
        <v>0.20762306610407874</v>
      </c>
      <c r="W24" s="23">
        <f t="shared" si="8"/>
        <v>0.21247199402539207</v>
      </c>
      <c r="X24" s="23" t="str">
        <f t="shared" si="8"/>
        <v/>
      </c>
      <c r="Y24" s="23" t="str">
        <f t="shared" si="8"/>
        <v/>
      </c>
      <c r="Z24" s="23" t="str">
        <f t="shared" si="8"/>
        <v/>
      </c>
      <c r="AA24" s="23" t="str">
        <f t="shared" si="8"/>
        <v/>
      </c>
      <c r="AB24" s="19"/>
      <c r="AC24" s="23"/>
      <c r="AD24" s="23"/>
      <c r="AE24" s="23"/>
      <c r="AF24" s="23">
        <f>IFERROR(AF23/AF14,"")</f>
        <v>0.17396880135786838</v>
      </c>
      <c r="AG24" s="23">
        <f>IFERROR(AG23/AG14,"")</f>
        <v>0.21033046260814597</v>
      </c>
      <c r="AH24" s="23">
        <f>IFERROR(AH23/AH14,"")</f>
        <v>0.19568789147335622</v>
      </c>
      <c r="AI24" s="23">
        <f>IFERROR(AI23/AI14,"")</f>
        <v>0.1957768262286701</v>
      </c>
      <c r="AJ24" s="23">
        <f>IFERROR(AJ23/AJ14,"")</f>
        <v>0.2070737073707371</v>
      </c>
    </row>
    <row r="25" spans="1:36" x14ac:dyDescent="0.3">
      <c r="A25" s="20" t="s">
        <v>256</v>
      </c>
      <c r="B25" s="21" t="s">
        <v>214</v>
      </c>
      <c r="C25" s="22" t="s">
        <v>390</v>
      </c>
      <c r="D25" s="65">
        <v>1014.15</v>
      </c>
      <c r="E25" s="65">
        <v>1063.18</v>
      </c>
      <c r="F25" s="65">
        <v>1735.81</v>
      </c>
      <c r="G25" s="65">
        <v>1357</v>
      </c>
      <c r="H25" s="65">
        <v>1820.27</v>
      </c>
      <c r="I25" s="65">
        <v>1877.01</v>
      </c>
      <c r="J25" s="65">
        <v>2295.1</v>
      </c>
      <c r="K25" s="65">
        <v>2095.38</v>
      </c>
      <c r="L25" s="65">
        <v>2175.59</v>
      </c>
      <c r="M25" s="65">
        <v>2194.9499999999998</v>
      </c>
      <c r="N25" s="65">
        <v>2343.7399999999998</v>
      </c>
      <c r="O25" s="65">
        <v>2258.61</v>
      </c>
      <c r="P25" s="65">
        <v>2448.6</v>
      </c>
      <c r="Q25" s="65">
        <v>2658.6</v>
      </c>
      <c r="R25" s="65">
        <v>2793.6</v>
      </c>
      <c r="S25" s="65">
        <v>2676.7</v>
      </c>
      <c r="T25" s="65">
        <v>2898.3</v>
      </c>
      <c r="U25" s="65">
        <v>2995.9</v>
      </c>
      <c r="V25" s="65">
        <v>3387.2</v>
      </c>
      <c r="W25" s="65">
        <v>3470</v>
      </c>
      <c r="X25" s="65"/>
      <c r="Y25" s="65"/>
      <c r="Z25" s="65"/>
      <c r="AA25" s="65"/>
      <c r="AB25" s="19"/>
      <c r="AC25" s="66"/>
      <c r="AD25" s="66"/>
      <c r="AE25" s="66"/>
      <c r="AF25" s="66">
        <f>IF(COUNT(D25:G25)=0,"",SUM(D25:G25))</f>
        <v>5170.1399999999994</v>
      </c>
      <c r="AG25" s="66">
        <f>IF(COUNT(H25:K25)=0,"",SUM(H25:K25))</f>
        <v>8087.7599999999993</v>
      </c>
      <c r="AH25" s="66">
        <f>IF(COUNT(L25:O25)=0,"",SUM(L25:O25))</f>
        <v>8972.89</v>
      </c>
      <c r="AI25" s="66">
        <f>IF(COUNT(P25:S25)=0,"",SUM(P25:S25))</f>
        <v>10577.5</v>
      </c>
      <c r="AJ25" s="66">
        <f>IF(COUNT(T25:W25)=0,"",SUM(T25:W25))</f>
        <v>12751.400000000001</v>
      </c>
    </row>
    <row r="26" spans="1:36" x14ac:dyDescent="0.3">
      <c r="A26" s="20" t="s">
        <v>223</v>
      </c>
      <c r="B26" s="21" t="s">
        <v>214</v>
      </c>
      <c r="C26" s="22"/>
      <c r="D26" s="66">
        <f t="shared" ref="D26:AA26" si="9">IF(OR(ISBLANK(D23),ISBLANK(D25)),"",IFERROR(D23-D25,""))</f>
        <v>269.44000000000017</v>
      </c>
      <c r="E26" s="66">
        <f t="shared" si="9"/>
        <v>288.24</v>
      </c>
      <c r="F26" s="66">
        <f t="shared" si="9"/>
        <v>343.77</v>
      </c>
      <c r="G26" s="66">
        <f t="shared" si="9"/>
        <v>385.60999999999967</v>
      </c>
      <c r="H26" s="66">
        <f t="shared" si="9"/>
        <v>460.52</v>
      </c>
      <c r="I26" s="66">
        <f t="shared" si="9"/>
        <v>611.37000000000012</v>
      </c>
      <c r="J26" s="66">
        <f t="shared" si="9"/>
        <v>781.59999999999991</v>
      </c>
      <c r="K26" s="66">
        <f t="shared" si="9"/>
        <v>706.9399999999996</v>
      </c>
      <c r="L26" s="66">
        <f t="shared" si="9"/>
        <v>734.65999999999985</v>
      </c>
      <c r="M26" s="66">
        <f t="shared" si="9"/>
        <v>806.29</v>
      </c>
      <c r="N26" s="66">
        <f t="shared" si="9"/>
        <v>987.73999999999978</v>
      </c>
      <c r="O26" s="66">
        <f t="shared" si="9"/>
        <v>932.82000000000016</v>
      </c>
      <c r="P26" s="66">
        <f t="shared" si="9"/>
        <v>961.20000000000027</v>
      </c>
      <c r="Q26" s="66">
        <f t="shared" si="9"/>
        <v>1036.6000000000008</v>
      </c>
      <c r="R26" s="66">
        <f t="shared" si="9"/>
        <v>1407.7999999999997</v>
      </c>
      <c r="S26" s="66">
        <f t="shared" si="9"/>
        <v>1333.5000000000009</v>
      </c>
      <c r="T26" s="66">
        <f t="shared" si="9"/>
        <v>1506.8000000000002</v>
      </c>
      <c r="U26" s="66">
        <f t="shared" si="9"/>
        <v>1709.4999999999995</v>
      </c>
      <c r="V26" s="66">
        <f t="shared" si="9"/>
        <v>2517.5999999999995</v>
      </c>
      <c r="W26" s="66">
        <f t="shared" si="9"/>
        <v>2220</v>
      </c>
      <c r="X26" s="66" t="str">
        <f t="shared" si="9"/>
        <v/>
      </c>
      <c r="Y26" s="66" t="str">
        <f t="shared" si="9"/>
        <v/>
      </c>
      <c r="Z26" s="66" t="str">
        <f t="shared" si="9"/>
        <v/>
      </c>
      <c r="AA26" s="66" t="str">
        <f t="shared" si="9"/>
        <v/>
      </c>
      <c r="AB26" s="19"/>
      <c r="AC26" s="66"/>
      <c r="AD26" s="66"/>
      <c r="AE26" s="66"/>
      <c r="AF26" s="66">
        <f>IF(OR(ISBLANK(AF23),ISBLANK(AF25)),"",IFERROR(AF23-AF25,""))</f>
        <v>1287.0600000000013</v>
      </c>
      <c r="AG26" s="66">
        <f>IF(OR(ISBLANK(AG23),ISBLANK(AG25)),"",IFERROR(AG23-AG25,""))</f>
        <v>2560.4299999999994</v>
      </c>
      <c r="AH26" s="66">
        <f>IF(OR(ISBLANK(AH23),ISBLANK(AH25)),"",IFERROR(AH23-AH25,""))</f>
        <v>3461.510000000002</v>
      </c>
      <c r="AI26" s="66">
        <f>IF(OR(ISBLANK(AI23),ISBLANK(AI25)),"",IFERROR(AI23-AI25,""))</f>
        <v>4739.1000000000058</v>
      </c>
      <c r="AJ26" s="66">
        <f>IF(OR(ISBLANK(AJ23),ISBLANK(AJ25)),"",IFERROR(AJ23-AJ25,""))</f>
        <v>7953.9000000000015</v>
      </c>
    </row>
    <row r="27" spans="1:36" x14ac:dyDescent="0.3">
      <c r="A27" s="20" t="s">
        <v>224</v>
      </c>
      <c r="B27" s="21" t="s">
        <v>217</v>
      </c>
      <c r="C27" s="22"/>
      <c r="D27" s="23">
        <f t="shared" ref="D27:AA27" si="10">IFERROR(D26/D14,"")</f>
        <v>3.3470807453416171E-2</v>
      </c>
      <c r="E27" s="23">
        <f t="shared" si="10"/>
        <v>3.3176795580110496E-2</v>
      </c>
      <c r="F27" s="23">
        <f t="shared" si="10"/>
        <v>3.2041196756454469E-2</v>
      </c>
      <c r="G27" s="23">
        <f t="shared" si="10"/>
        <v>3.9959585492227945E-2</v>
      </c>
      <c r="H27" s="23">
        <f t="shared" si="10"/>
        <v>4.0855216465578423E-2</v>
      </c>
      <c r="I27" s="23">
        <f t="shared" si="10"/>
        <v>5.0740310399203264E-2</v>
      </c>
      <c r="J27" s="23">
        <f t="shared" si="10"/>
        <v>5.4274008749392394E-2</v>
      </c>
      <c r="K27" s="23">
        <f t="shared" si="10"/>
        <v>5.4784562926224398E-2</v>
      </c>
      <c r="L27" s="23">
        <f t="shared" si="10"/>
        <v>5.171840901091164E-2</v>
      </c>
      <c r="M27" s="23">
        <f t="shared" si="10"/>
        <v>5.3817247363502865E-2</v>
      </c>
      <c r="N27" s="23">
        <f t="shared" si="10"/>
        <v>5.5286018135005027E-2</v>
      </c>
      <c r="O27" s="23">
        <f t="shared" si="10"/>
        <v>5.6572260294741959E-2</v>
      </c>
      <c r="P27" s="23">
        <f t="shared" si="10"/>
        <v>5.5939009486120017E-2</v>
      </c>
      <c r="Q27" s="23">
        <f t="shared" si="10"/>
        <v>5.6239149305555597E-2</v>
      </c>
      <c r="R27" s="23">
        <f t="shared" si="10"/>
        <v>6.3442992338891377E-2</v>
      </c>
      <c r="S27" s="23">
        <f t="shared" si="10"/>
        <v>6.5271659324522807E-2</v>
      </c>
      <c r="T27" s="23">
        <f t="shared" si="10"/>
        <v>7.051006083294338E-2</v>
      </c>
      <c r="U27" s="23">
        <f t="shared" si="10"/>
        <v>7.305555555555554E-2</v>
      </c>
      <c r="V27" s="23">
        <f t="shared" si="10"/>
        <v>8.8523206751054836E-2</v>
      </c>
      <c r="W27" s="23">
        <f t="shared" si="10"/>
        <v>8.2897684839432412E-2</v>
      </c>
      <c r="X27" s="23" t="str">
        <f t="shared" si="10"/>
        <v/>
      </c>
      <c r="Y27" s="23" t="str">
        <f t="shared" si="10"/>
        <v/>
      </c>
      <c r="Z27" s="23" t="str">
        <f t="shared" si="10"/>
        <v/>
      </c>
      <c r="AA27" s="23" t="str">
        <f t="shared" si="10"/>
        <v/>
      </c>
      <c r="AB27" s="19"/>
      <c r="AC27" s="23"/>
      <c r="AD27" s="23"/>
      <c r="AE27" s="23"/>
      <c r="AF27" s="23">
        <f>IFERROR(AF26/AF14,"")</f>
        <v>3.4675755044858189E-2</v>
      </c>
      <c r="AG27" s="23">
        <f>IFERROR(AG26/AG14,"")</f>
        <v>5.057539604155966E-2</v>
      </c>
      <c r="AH27" s="23">
        <f>IFERROR(AH26/AH14,"")</f>
        <v>5.4475937175411569E-2</v>
      </c>
      <c r="AI27" s="23">
        <f>IFERROR(AI26/AI14,"")</f>
        <v>6.0575190132293802E-2</v>
      </c>
      <c r="AJ27" s="23">
        <f>IFERROR(AJ26/AJ14,"")</f>
        <v>7.954695469546956E-2</v>
      </c>
    </row>
    <row r="28" spans="1:36" x14ac:dyDescent="0.3">
      <c r="AB28" s="19"/>
    </row>
    <row r="29" spans="1:36" x14ac:dyDescent="0.3">
      <c r="A29" s="5" t="s">
        <v>391</v>
      </c>
      <c r="B29" s="5"/>
      <c r="C29" s="5"/>
      <c r="D29" s="5"/>
      <c r="E29" s="5"/>
      <c r="F29" s="5"/>
      <c r="G29" s="5"/>
      <c r="H29" s="5"/>
      <c r="I29" s="5"/>
      <c r="J29" s="5"/>
      <c r="K29" s="5"/>
      <c r="L29" s="5"/>
      <c r="M29" s="5"/>
      <c r="N29" s="5"/>
      <c r="O29" s="5"/>
      <c r="P29" s="5"/>
      <c r="Q29" s="5"/>
      <c r="R29" s="5"/>
      <c r="S29" s="5"/>
      <c r="T29" s="5"/>
      <c r="U29" s="5"/>
      <c r="V29" s="5"/>
      <c r="W29" s="5"/>
      <c r="X29" s="5"/>
      <c r="Y29" s="5"/>
      <c r="Z29" s="5"/>
      <c r="AA29" s="5"/>
      <c r="AB29" s="44"/>
      <c r="AC29" s="5"/>
      <c r="AD29" s="5"/>
      <c r="AE29" s="5"/>
      <c r="AF29" s="5"/>
      <c r="AG29" s="5"/>
      <c r="AH29" s="5"/>
      <c r="AI29" s="5"/>
      <c r="AJ29" s="5"/>
    </row>
    <row r="30" spans="1:36" x14ac:dyDescent="0.3">
      <c r="A30" s="17" t="s">
        <v>392</v>
      </c>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45"/>
      <c r="AC30" s="17"/>
      <c r="AD30" s="17"/>
      <c r="AE30" s="17"/>
      <c r="AF30" s="17"/>
      <c r="AG30" s="17"/>
      <c r="AH30" s="17"/>
      <c r="AI30" s="17"/>
      <c r="AJ30" s="17"/>
    </row>
    <row r="31" spans="1:36" x14ac:dyDescent="0.3">
      <c r="A31" s="20" t="s">
        <v>385</v>
      </c>
      <c r="B31" s="21" t="s">
        <v>236</v>
      </c>
      <c r="C31" s="22" t="s">
        <v>393</v>
      </c>
      <c r="D31" s="63">
        <v>205</v>
      </c>
      <c r="E31" s="63">
        <v>211</v>
      </c>
      <c r="F31" s="63">
        <v>221</v>
      </c>
      <c r="G31" s="63">
        <v>204</v>
      </c>
      <c r="H31" s="63">
        <v>222</v>
      </c>
      <c r="I31" s="63">
        <v>234</v>
      </c>
      <c r="J31" s="63">
        <v>250</v>
      </c>
      <c r="K31" s="63">
        <v>231</v>
      </c>
      <c r="L31" s="63">
        <v>269</v>
      </c>
      <c r="M31" s="63">
        <v>287</v>
      </c>
      <c r="N31" s="63">
        <v>311</v>
      </c>
      <c r="O31" s="63">
        <v>303</v>
      </c>
      <c r="P31" s="63">
        <v>330</v>
      </c>
      <c r="Q31" s="63">
        <v>357</v>
      </c>
      <c r="R31" s="63">
        <v>401</v>
      </c>
      <c r="S31" s="63">
        <v>393</v>
      </c>
      <c r="T31" s="63">
        <v>411</v>
      </c>
      <c r="U31" s="63">
        <v>450</v>
      </c>
      <c r="V31" s="63">
        <v>538</v>
      </c>
      <c r="W31" s="63">
        <f>AJ31-SUM(T31:V31)</f>
        <v>495</v>
      </c>
      <c r="X31" s="63"/>
      <c r="Y31" s="63"/>
      <c r="Z31" s="63"/>
      <c r="AA31" s="63"/>
      <c r="AB31" s="19"/>
      <c r="AC31" s="36"/>
      <c r="AD31" s="36"/>
      <c r="AE31" s="36"/>
      <c r="AF31" s="36">
        <f>IF(COUNT(D31:G31)=0,"",SUM(D31:G31))</f>
        <v>841</v>
      </c>
      <c r="AG31" s="36">
        <f>IF(COUNT(H31:K31)=0,"",SUM(H31:K31))</f>
        <v>937</v>
      </c>
      <c r="AH31" s="36">
        <f>IF(COUNT(L31:O31)=0,"",SUM(L31:O31))</f>
        <v>1170</v>
      </c>
      <c r="AI31" s="36">
        <f>IF(COUNT(P31:S31)=0,"",SUM(P31:S31))</f>
        <v>1481</v>
      </c>
      <c r="AJ31" s="67">
        <v>1894</v>
      </c>
    </row>
    <row r="32" spans="1:36" x14ac:dyDescent="0.3">
      <c r="A32" s="20" t="s">
        <v>394</v>
      </c>
      <c r="B32" s="21" t="s">
        <v>236</v>
      </c>
      <c r="C32" s="22" t="s">
        <v>393</v>
      </c>
      <c r="D32" s="63">
        <v>17.3</v>
      </c>
      <c r="E32" s="63">
        <v>19.399999999999999</v>
      </c>
      <c r="F32" s="63">
        <v>19.8</v>
      </c>
      <c r="G32" s="63">
        <v>18.5</v>
      </c>
      <c r="H32" s="63">
        <v>21.8</v>
      </c>
      <c r="I32" s="63">
        <v>22.1</v>
      </c>
      <c r="J32" s="63">
        <v>24.2</v>
      </c>
      <c r="K32" s="63">
        <v>22.5</v>
      </c>
      <c r="L32" s="63">
        <v>27.3</v>
      </c>
      <c r="M32" s="63">
        <v>26.8</v>
      </c>
      <c r="N32" s="63">
        <v>29.6</v>
      </c>
      <c r="O32" s="63">
        <v>31.9</v>
      </c>
      <c r="P32" s="63">
        <v>32.6</v>
      </c>
      <c r="Q32" s="63">
        <v>34.200000000000003</v>
      </c>
      <c r="R32" s="63">
        <v>38.1</v>
      </c>
      <c r="S32" s="63">
        <v>38</v>
      </c>
      <c r="T32" s="63">
        <v>38.799999999999997</v>
      </c>
      <c r="U32" s="63">
        <v>41.6</v>
      </c>
      <c r="V32" s="63">
        <v>50.7</v>
      </c>
      <c r="W32" s="67"/>
      <c r="X32" s="63"/>
      <c r="Y32" s="63"/>
      <c r="Z32" s="63"/>
      <c r="AA32" s="63"/>
      <c r="AB32" s="19"/>
      <c r="AC32" s="36"/>
      <c r="AD32" s="36"/>
      <c r="AE32" s="36"/>
      <c r="AF32" s="36">
        <f>IFERROR(AVERAGE(D32:G32),"")</f>
        <v>18.75</v>
      </c>
      <c r="AG32" s="36">
        <f>IFERROR(AVERAGE(H32:K32),"")</f>
        <v>22.650000000000002</v>
      </c>
      <c r="AH32" s="67">
        <v>30.2</v>
      </c>
      <c r="AI32" s="36">
        <f>IFERROR(AVERAGE(P32:S32),"")</f>
        <v>35.725000000000001</v>
      </c>
      <c r="AJ32" s="67">
        <v>44.7</v>
      </c>
    </row>
    <row r="33" spans="1:36" x14ac:dyDescent="0.3">
      <c r="A33" s="20" t="s">
        <v>395</v>
      </c>
      <c r="B33" s="21" t="s">
        <v>217</v>
      </c>
      <c r="C33" s="22"/>
      <c r="D33" s="23">
        <f t="shared" ref="D33:AA33" si="11">IFERROR(D37/D31,"")</f>
        <v>2.8292682926829269E-2</v>
      </c>
      <c r="E33" s="23">
        <f t="shared" si="11"/>
        <v>2.843601895734597E-2</v>
      </c>
      <c r="F33" s="23">
        <f t="shared" si="11"/>
        <v>3.3936651583710405E-2</v>
      </c>
      <c r="G33" s="23">
        <f t="shared" si="11"/>
        <v>3.5294117647058823E-2</v>
      </c>
      <c r="H33" s="23">
        <f t="shared" si="11"/>
        <v>3.6486486486486482E-2</v>
      </c>
      <c r="I33" s="23">
        <f t="shared" si="11"/>
        <v>3.5897435897435902E-2</v>
      </c>
      <c r="J33" s="23">
        <f t="shared" si="11"/>
        <v>3.7999999999999999E-2</v>
      </c>
      <c r="K33" s="23">
        <f t="shared" si="11"/>
        <v>3.8095238095238099E-2</v>
      </c>
      <c r="L33" s="23">
        <f t="shared" si="11"/>
        <v>3.6802973977695171E-2</v>
      </c>
      <c r="M33" s="23">
        <f t="shared" si="11"/>
        <v>3.6585365853658534E-2</v>
      </c>
      <c r="N33" s="23">
        <f t="shared" si="11"/>
        <v>3.729903536977492E-2</v>
      </c>
      <c r="O33" s="23">
        <f t="shared" si="11"/>
        <v>3.8613861386138613E-2</v>
      </c>
      <c r="P33" s="23">
        <f t="shared" si="11"/>
        <v>3.7575757575757575E-2</v>
      </c>
      <c r="Q33" s="23">
        <f t="shared" si="11"/>
        <v>3.6134453781512609E-2</v>
      </c>
      <c r="R33" s="23">
        <f t="shared" si="11"/>
        <v>3.7406483790523692E-2</v>
      </c>
      <c r="S33" s="23">
        <f t="shared" si="11"/>
        <v>3.6132315521628496E-2</v>
      </c>
      <c r="T33" s="23">
        <f t="shared" si="11"/>
        <v>3.5279805352798052E-2</v>
      </c>
      <c r="U33" s="23">
        <f t="shared" si="11"/>
        <v>3.4888888888888886E-2</v>
      </c>
      <c r="V33" s="23">
        <f t="shared" si="11"/>
        <v>3.3643122676579928E-2</v>
      </c>
      <c r="W33" s="23">
        <f t="shared" si="11"/>
        <v>3.5353535353535352E-2</v>
      </c>
      <c r="X33" s="23" t="str">
        <f t="shared" si="11"/>
        <v/>
      </c>
      <c r="Y33" s="23" t="str">
        <f t="shared" si="11"/>
        <v/>
      </c>
      <c r="Z33" s="23" t="str">
        <f t="shared" si="11"/>
        <v/>
      </c>
      <c r="AA33" s="23" t="str">
        <f t="shared" si="11"/>
        <v/>
      </c>
      <c r="AB33" s="19"/>
      <c r="AC33" s="23"/>
      <c r="AD33" s="23"/>
      <c r="AE33" s="23"/>
      <c r="AF33" s="23">
        <f>IFERROR(AF37/AF31,"")</f>
        <v>3.151010701545779E-2</v>
      </c>
      <c r="AG33" s="23">
        <f>IFERROR(AG37/AG31,"")</f>
        <v>3.7139807897545354E-2</v>
      </c>
      <c r="AH33" s="23">
        <f>IFERROR(AH37/AH31,"")</f>
        <v>3.7350427350427352E-2</v>
      </c>
      <c r="AI33" s="23">
        <f>IFERROR(AI37/AI31,"")</f>
        <v>3.6799459824442944E-2</v>
      </c>
      <c r="AJ33" s="23">
        <f>IFERROR(AJ37/AJ31,"")</f>
        <v>3.4741288278775075E-2</v>
      </c>
    </row>
    <row r="34" spans="1:36" x14ac:dyDescent="0.3">
      <c r="A34" s="20" t="s">
        <v>396</v>
      </c>
      <c r="B34" s="21" t="s">
        <v>217</v>
      </c>
      <c r="C34" s="22"/>
      <c r="D34" s="23">
        <f t="shared" ref="D34:AA34" si="12">IFERROR(D35/D31,"")</f>
        <v>3.1707317073170732E-2</v>
      </c>
      <c r="E34" s="23">
        <f t="shared" si="12"/>
        <v>3.3175355450236969E-2</v>
      </c>
      <c r="F34" s="23">
        <f t="shared" si="12"/>
        <v>3.3936651583710405E-2</v>
      </c>
      <c r="G34" s="23">
        <f t="shared" si="12"/>
        <v>3.9215686274509803E-2</v>
      </c>
      <c r="H34" s="23">
        <f t="shared" si="12"/>
        <v>3.8738738738738739E-2</v>
      </c>
      <c r="I34" s="23">
        <f t="shared" si="12"/>
        <v>3.888888888888889E-2</v>
      </c>
      <c r="J34" s="23">
        <f t="shared" si="12"/>
        <v>3.8399999999999997E-2</v>
      </c>
      <c r="K34" s="23">
        <f t="shared" si="12"/>
        <v>4.3290043290043288E-2</v>
      </c>
      <c r="L34" s="23">
        <f t="shared" si="12"/>
        <v>4.0520446096654276E-2</v>
      </c>
      <c r="M34" s="23">
        <f t="shared" si="12"/>
        <v>3.7282229965156795E-2</v>
      </c>
      <c r="N34" s="23">
        <f t="shared" si="12"/>
        <v>3.7620578778135044E-2</v>
      </c>
      <c r="O34" s="23">
        <f t="shared" si="12"/>
        <v>4.0924092409240928E-2</v>
      </c>
      <c r="P34" s="23">
        <f t="shared" si="12"/>
        <v>3.9696969696969696E-2</v>
      </c>
      <c r="Q34" s="23">
        <f t="shared" si="12"/>
        <v>3.8375350140056018E-2</v>
      </c>
      <c r="R34" s="23">
        <f t="shared" si="12"/>
        <v>3.6907730673316708E-2</v>
      </c>
      <c r="S34" s="23">
        <f t="shared" si="12"/>
        <v>4.020356234096692E-2</v>
      </c>
      <c r="T34" s="23">
        <f t="shared" si="12"/>
        <v>4.0145985401459854E-2</v>
      </c>
      <c r="U34" s="23">
        <f t="shared" si="12"/>
        <v>3.888888888888889E-2</v>
      </c>
      <c r="V34" s="23">
        <f t="shared" si="12"/>
        <v>3.4758364312267656E-2</v>
      </c>
      <c r="W34" s="23">
        <f t="shared" si="12"/>
        <v>3.9797979797979798E-2</v>
      </c>
      <c r="X34" s="23" t="str">
        <f t="shared" si="12"/>
        <v/>
      </c>
      <c r="Y34" s="23" t="str">
        <f t="shared" si="12"/>
        <v/>
      </c>
      <c r="Z34" s="23" t="str">
        <f t="shared" si="12"/>
        <v/>
      </c>
      <c r="AA34" s="23" t="str">
        <f t="shared" si="12"/>
        <v/>
      </c>
      <c r="AB34" s="19"/>
      <c r="AC34" s="23"/>
      <c r="AD34" s="23"/>
      <c r="AE34" s="23"/>
      <c r="AF34" s="23">
        <f>IFERROR(AF35/AF31,"")</f>
        <v>9.512485136741973E-3</v>
      </c>
      <c r="AG34" s="23">
        <f>IFERROR(AG35/AG31,"")</f>
        <v>1.0672358591248666E-2</v>
      </c>
      <c r="AH34" s="23">
        <f>IFERROR(AH35/AH31,"")</f>
        <v>1.0598290598290599E-2</v>
      </c>
      <c r="AI34" s="23">
        <f>IFERROR(AI35/AI31,"")</f>
        <v>1.0668467251856854E-2</v>
      </c>
      <c r="AJ34" s="23">
        <f>IFERROR(AJ35/AJ31,"")</f>
        <v>1.0401267159450897E-2</v>
      </c>
    </row>
    <row r="35" spans="1:36" x14ac:dyDescent="0.3">
      <c r="A35" s="20" t="s">
        <v>387</v>
      </c>
      <c r="B35" s="21" t="s">
        <v>236</v>
      </c>
      <c r="C35" s="22" t="s">
        <v>393</v>
      </c>
      <c r="D35" s="63">
        <v>6.5</v>
      </c>
      <c r="E35" s="63">
        <v>7</v>
      </c>
      <c r="F35" s="63">
        <v>7.5</v>
      </c>
      <c r="G35" s="63">
        <v>8</v>
      </c>
      <c r="H35" s="63">
        <v>8.6</v>
      </c>
      <c r="I35" s="63">
        <v>9.1</v>
      </c>
      <c r="J35" s="63">
        <v>9.6</v>
      </c>
      <c r="K35" s="63">
        <v>10</v>
      </c>
      <c r="L35" s="63">
        <v>10.9</v>
      </c>
      <c r="M35" s="63">
        <v>10.7</v>
      </c>
      <c r="N35" s="63">
        <v>11.7</v>
      </c>
      <c r="O35" s="63">
        <v>12.4</v>
      </c>
      <c r="P35" s="63">
        <v>13.1</v>
      </c>
      <c r="Q35" s="63">
        <v>13.7</v>
      </c>
      <c r="R35" s="63">
        <v>14.8</v>
      </c>
      <c r="S35" s="63">
        <v>15.8</v>
      </c>
      <c r="T35" s="63">
        <v>16.5</v>
      </c>
      <c r="U35" s="63">
        <v>17.5</v>
      </c>
      <c r="V35" s="63">
        <v>18.7</v>
      </c>
      <c r="W35" s="63">
        <v>19.7</v>
      </c>
      <c r="X35" s="63"/>
      <c r="Y35" s="63"/>
      <c r="Z35" s="63"/>
      <c r="AA35" s="63"/>
      <c r="AB35" s="19"/>
      <c r="AC35" s="36"/>
      <c r="AD35" s="36"/>
      <c r="AE35" s="36"/>
      <c r="AF35" s="36">
        <f>IF(G35="","",G35)</f>
        <v>8</v>
      </c>
      <c r="AG35" s="36">
        <f>IF(K35="","",K35)</f>
        <v>10</v>
      </c>
      <c r="AH35" s="36">
        <f>IF(O35="","",O35)</f>
        <v>12.4</v>
      </c>
      <c r="AI35" s="36">
        <f>IF(S35="","",S35)</f>
        <v>15.8</v>
      </c>
      <c r="AJ35" s="36">
        <f>IF(W35="","",W35)</f>
        <v>19.7</v>
      </c>
    </row>
    <row r="36" spans="1:36" x14ac:dyDescent="0.3">
      <c r="A36" s="20" t="s">
        <v>240</v>
      </c>
      <c r="B36" s="21" t="s">
        <v>241</v>
      </c>
      <c r="C36" s="22"/>
      <c r="D36" s="68">
        <f t="shared" ref="D36:AA36" si="13">IFERROR(D37*4/D35,"")</f>
        <v>3.569230769230769</v>
      </c>
      <c r="E36" s="68">
        <f t="shared" si="13"/>
        <v>3.4285714285714284</v>
      </c>
      <c r="F36" s="68">
        <f t="shared" si="13"/>
        <v>4</v>
      </c>
      <c r="G36" s="68">
        <f t="shared" si="13"/>
        <v>3.6</v>
      </c>
      <c r="H36" s="68">
        <f t="shared" si="13"/>
        <v>3.7674418604651163</v>
      </c>
      <c r="I36" s="68">
        <f t="shared" si="13"/>
        <v>3.6923076923076925</v>
      </c>
      <c r="J36" s="68">
        <f t="shared" si="13"/>
        <v>3.9583333333333335</v>
      </c>
      <c r="K36" s="68">
        <f t="shared" si="13"/>
        <v>3.5200000000000005</v>
      </c>
      <c r="L36" s="68">
        <f t="shared" si="13"/>
        <v>3.6330275229357798</v>
      </c>
      <c r="M36" s="68">
        <f t="shared" si="13"/>
        <v>3.9252336448598135</v>
      </c>
      <c r="N36" s="68">
        <f t="shared" si="13"/>
        <v>3.9658119658119659</v>
      </c>
      <c r="O36" s="68">
        <f t="shared" si="13"/>
        <v>3.7741935483870965</v>
      </c>
      <c r="P36" s="68">
        <f t="shared" si="13"/>
        <v>3.7862595419847329</v>
      </c>
      <c r="Q36" s="68">
        <f t="shared" si="13"/>
        <v>3.7664233576642339</v>
      </c>
      <c r="R36" s="68">
        <f t="shared" si="13"/>
        <v>4.0540540540540535</v>
      </c>
      <c r="S36" s="68">
        <f t="shared" si="13"/>
        <v>3.5949367088607591</v>
      </c>
      <c r="T36" s="68">
        <f t="shared" si="13"/>
        <v>3.5151515151515151</v>
      </c>
      <c r="U36" s="68">
        <f t="shared" si="13"/>
        <v>3.5885714285714285</v>
      </c>
      <c r="V36" s="68">
        <f t="shared" si="13"/>
        <v>3.8716577540106956</v>
      </c>
      <c r="W36" s="68">
        <f t="shared" si="13"/>
        <v>3.5532994923857868</v>
      </c>
      <c r="X36" s="68" t="str">
        <f t="shared" si="13"/>
        <v/>
      </c>
      <c r="Y36" s="68" t="str">
        <f t="shared" si="13"/>
        <v/>
      </c>
      <c r="Z36" s="68" t="str">
        <f t="shared" si="13"/>
        <v/>
      </c>
      <c r="AA36" s="68" t="str">
        <f t="shared" si="13"/>
        <v/>
      </c>
      <c r="AB36" s="19"/>
      <c r="AC36" s="68"/>
      <c r="AD36" s="68"/>
      <c r="AE36" s="68"/>
      <c r="AF36" s="68">
        <f>IFERROR(AF37*4/AF35,"")</f>
        <v>13.25</v>
      </c>
      <c r="AG36" s="68">
        <f>IFERROR(AG37*4/AG35,"")</f>
        <v>13.919999999999998</v>
      </c>
      <c r="AH36" s="68">
        <f>IFERROR(AH37*4/AH35,"")</f>
        <v>14.096774193548388</v>
      </c>
      <c r="AI36" s="68">
        <f>IFERROR(AI37*4/AI35,"")</f>
        <v>13.797468354430379</v>
      </c>
      <c r="AJ36" s="68">
        <f>IFERROR(AJ37*4/AJ35,"")</f>
        <v>13.360406091370558</v>
      </c>
    </row>
    <row r="37" spans="1:36" x14ac:dyDescent="0.3">
      <c r="A37" s="20" t="s">
        <v>239</v>
      </c>
      <c r="B37" s="21" t="s">
        <v>236</v>
      </c>
      <c r="C37" s="22" t="s">
        <v>393</v>
      </c>
      <c r="D37" s="63">
        <v>5.8</v>
      </c>
      <c r="E37" s="63">
        <v>6</v>
      </c>
      <c r="F37" s="63">
        <v>7.5</v>
      </c>
      <c r="G37" s="63">
        <v>7.2</v>
      </c>
      <c r="H37" s="63">
        <v>8.1</v>
      </c>
      <c r="I37" s="63">
        <v>8.4</v>
      </c>
      <c r="J37" s="63">
        <v>9.5</v>
      </c>
      <c r="K37" s="63">
        <v>8.8000000000000007</v>
      </c>
      <c r="L37" s="63">
        <v>9.9</v>
      </c>
      <c r="M37" s="63">
        <v>10.5</v>
      </c>
      <c r="N37" s="63">
        <v>11.6</v>
      </c>
      <c r="O37" s="63">
        <v>11.7</v>
      </c>
      <c r="P37" s="63">
        <v>12.4</v>
      </c>
      <c r="Q37" s="63">
        <v>12.9</v>
      </c>
      <c r="R37" s="63">
        <v>15</v>
      </c>
      <c r="S37" s="63">
        <v>14.2</v>
      </c>
      <c r="T37" s="63">
        <v>14.5</v>
      </c>
      <c r="U37" s="63">
        <v>15.7</v>
      </c>
      <c r="V37" s="63">
        <v>18.100000000000001</v>
      </c>
      <c r="W37" s="63">
        <f>AJ37-SUM(T37:V37)</f>
        <v>17.5</v>
      </c>
      <c r="X37" s="63"/>
      <c r="Y37" s="63"/>
      <c r="Z37" s="63"/>
      <c r="AA37" s="63"/>
      <c r="AB37" s="19"/>
      <c r="AC37" s="36"/>
      <c r="AD37" s="36"/>
      <c r="AE37" s="36"/>
      <c r="AF37" s="36">
        <f>IF(COUNT(D37:G37)=0,"",SUM(D37:G37))</f>
        <v>26.5</v>
      </c>
      <c r="AG37" s="36">
        <f>IF(COUNT(H37:K37)=0,"",SUM(H37:K37))</f>
        <v>34.799999999999997</v>
      </c>
      <c r="AH37" s="36">
        <f>IF(COUNT(L37:O37)=0,"",SUM(L37:O37))</f>
        <v>43.7</v>
      </c>
      <c r="AI37" s="36">
        <f>IF(COUNT(P37:S37)=0,"",SUM(P37:S37))</f>
        <v>54.5</v>
      </c>
      <c r="AJ37" s="67">
        <v>65.8</v>
      </c>
    </row>
    <row r="38" spans="1:36" x14ac:dyDescent="0.3">
      <c r="A38" s="20" t="s">
        <v>397</v>
      </c>
      <c r="B38" s="21" t="s">
        <v>228</v>
      </c>
      <c r="C38" s="22"/>
      <c r="D38" s="66">
        <f t="shared" ref="D38:AA38" si="14">IFERROR(D40/D37,"")</f>
        <v>0</v>
      </c>
      <c r="E38" s="66">
        <f t="shared" si="14"/>
        <v>0</v>
      </c>
      <c r="F38" s="66">
        <f t="shared" si="14"/>
        <v>0</v>
      </c>
      <c r="G38" s="66">
        <f t="shared" si="14"/>
        <v>0</v>
      </c>
      <c r="H38" s="66">
        <f t="shared" si="14"/>
        <v>0</v>
      </c>
      <c r="I38" s="66">
        <f t="shared" si="14"/>
        <v>0</v>
      </c>
      <c r="J38" s="66">
        <f t="shared" si="14"/>
        <v>0</v>
      </c>
      <c r="K38" s="66">
        <f t="shared" si="14"/>
        <v>0</v>
      </c>
      <c r="L38" s="66">
        <f t="shared" si="14"/>
        <v>2010.9090909090908</v>
      </c>
      <c r="M38" s="66">
        <f t="shared" si="14"/>
        <v>2053.2380952380954</v>
      </c>
      <c r="N38" s="66">
        <f t="shared" si="14"/>
        <v>2215.1724137931037</v>
      </c>
      <c r="O38" s="66">
        <f t="shared" si="14"/>
        <v>1999.1452991452993</v>
      </c>
      <c r="P38" s="66">
        <f t="shared" si="14"/>
        <v>2050.7258064516127</v>
      </c>
      <c r="Q38" s="66">
        <f t="shared" si="14"/>
        <v>2157.5968992248063</v>
      </c>
      <c r="R38" s="66">
        <f t="shared" si="14"/>
        <v>2259.9333333333334</v>
      </c>
      <c r="S38" s="66">
        <f t="shared" si="14"/>
        <v>2153.5211267605637</v>
      </c>
      <c r="T38" s="66">
        <f t="shared" si="14"/>
        <v>2212.4137931034484</v>
      </c>
      <c r="U38" s="66">
        <f t="shared" si="14"/>
        <v>2261.7834394904457</v>
      </c>
      <c r="V38" s="66">
        <f t="shared" si="14"/>
        <v>2376.7955801104972</v>
      </c>
      <c r="W38" s="66">
        <f t="shared" si="14"/>
        <v>2224</v>
      </c>
      <c r="X38" s="66" t="str">
        <f t="shared" si="14"/>
        <v/>
      </c>
      <c r="Y38" s="66" t="str">
        <f t="shared" si="14"/>
        <v/>
      </c>
      <c r="Z38" s="66" t="str">
        <f t="shared" si="14"/>
        <v/>
      </c>
      <c r="AA38" s="66" t="str">
        <f t="shared" si="14"/>
        <v/>
      </c>
      <c r="AB38" s="19"/>
      <c r="AC38" s="66"/>
      <c r="AD38" s="66"/>
      <c r="AE38" s="66"/>
      <c r="AF38" s="66" t="str">
        <f>IFERROR(AF40/AF37,"")</f>
        <v/>
      </c>
      <c r="AG38" s="66" t="str">
        <f>IFERROR(AG40/AG37,"")</f>
        <v/>
      </c>
      <c r="AH38" s="66">
        <f>IFERROR(AH40/AH37,"")</f>
        <v>2072.1510297482837</v>
      </c>
      <c r="AI38" s="66">
        <f>IFERROR(AI40/AI37,"")</f>
        <v>2160.3853211009173</v>
      </c>
      <c r="AJ38" s="66">
        <f>IFERROR(AJ40/AJ37,"")</f>
        <v>2272.4924012158058</v>
      </c>
    </row>
    <row r="39" spans="1:36" x14ac:dyDescent="0.3">
      <c r="A39" s="20" t="s">
        <v>398</v>
      </c>
      <c r="B39" s="21" t="s">
        <v>228</v>
      </c>
      <c r="C39" s="22" t="s">
        <v>399</v>
      </c>
      <c r="D39" s="66">
        <f t="shared" ref="D39:V39" si="15">IF(D148="","",IFERROR(D148,""))</f>
        <v>1832</v>
      </c>
      <c r="E39" s="66">
        <f t="shared" si="15"/>
        <v>1910</v>
      </c>
      <c r="F39" s="66">
        <f t="shared" si="15"/>
        <v>1967</v>
      </c>
      <c r="G39" s="66">
        <f t="shared" si="15"/>
        <v>1716</v>
      </c>
      <c r="H39" s="66">
        <f t="shared" si="15"/>
        <v>1780</v>
      </c>
      <c r="I39" s="66">
        <f t="shared" si="15"/>
        <v>1872</v>
      </c>
      <c r="J39" s="66">
        <f t="shared" si="15"/>
        <v>1958</v>
      </c>
      <c r="K39" s="66">
        <f t="shared" si="15"/>
        <v>1803</v>
      </c>
      <c r="L39" s="66">
        <f t="shared" si="15"/>
        <v>1849</v>
      </c>
      <c r="M39" s="66">
        <f t="shared" si="15"/>
        <v>1916</v>
      </c>
      <c r="N39" s="66">
        <f t="shared" si="15"/>
        <v>2024</v>
      </c>
      <c r="O39" s="66">
        <f t="shared" si="15"/>
        <v>1788</v>
      </c>
      <c r="P39" s="66">
        <f t="shared" si="15"/>
        <v>1924</v>
      </c>
      <c r="Q39" s="66">
        <f t="shared" si="15"/>
        <v>2038</v>
      </c>
      <c r="R39" s="66">
        <f t="shared" si="15"/>
        <v>2127</v>
      </c>
      <c r="S39" s="66">
        <f t="shared" si="15"/>
        <v>1978</v>
      </c>
      <c r="T39" s="66">
        <f t="shared" si="15"/>
        <v>2009</v>
      </c>
      <c r="U39" s="66">
        <f t="shared" si="15"/>
        <v>2049</v>
      </c>
      <c r="V39" s="66">
        <f t="shared" si="15"/>
        <v>2173</v>
      </c>
      <c r="W39" s="65"/>
      <c r="X39" s="65"/>
      <c r="Y39" s="65"/>
      <c r="Z39" s="65"/>
      <c r="AA39" s="65"/>
      <c r="AB39" s="19"/>
      <c r="AC39" s="66"/>
      <c r="AD39" s="66"/>
      <c r="AE39" s="66"/>
      <c r="AF39" s="66">
        <f>IF(AF148="","",IFERROR(AF148,""))</f>
        <v>1857</v>
      </c>
      <c r="AG39" s="66">
        <f>IF(AG148="","",IFERROR(AG148,""))</f>
        <v>1857</v>
      </c>
      <c r="AH39" s="66">
        <f>IF(AH148="","",IFERROR(AH148,""))</f>
        <v>1985</v>
      </c>
      <c r="AI39" s="66">
        <f>IF(AI148="","",IFERROR(AI148,""))</f>
        <v>2021</v>
      </c>
      <c r="AJ39" s="66">
        <f>IF(AJ148="","",IFERROR(AJ148,""))</f>
        <v>2068</v>
      </c>
    </row>
    <row r="40" spans="1:36" x14ac:dyDescent="0.3">
      <c r="A40" s="20" t="s">
        <v>243</v>
      </c>
      <c r="B40" s="21" t="s">
        <v>214</v>
      </c>
      <c r="C40" s="22" t="s">
        <v>393</v>
      </c>
      <c r="D40" s="65"/>
      <c r="E40" s="65"/>
      <c r="F40" s="65"/>
      <c r="G40" s="65"/>
      <c r="H40" s="65"/>
      <c r="I40" s="65"/>
      <c r="J40" s="65"/>
      <c r="K40" s="65"/>
      <c r="L40" s="65">
        <v>19908</v>
      </c>
      <c r="M40" s="65">
        <v>21559</v>
      </c>
      <c r="N40" s="65">
        <v>25696</v>
      </c>
      <c r="O40" s="65">
        <v>23390</v>
      </c>
      <c r="P40" s="65">
        <v>25429</v>
      </c>
      <c r="Q40" s="65">
        <v>27833</v>
      </c>
      <c r="R40" s="65">
        <v>33899</v>
      </c>
      <c r="S40" s="65">
        <v>30580</v>
      </c>
      <c r="T40" s="65">
        <v>32080</v>
      </c>
      <c r="U40" s="65">
        <v>35510</v>
      </c>
      <c r="V40" s="65">
        <v>43020</v>
      </c>
      <c r="W40" s="65">
        <v>38920</v>
      </c>
      <c r="X40" s="65"/>
      <c r="Y40" s="65"/>
      <c r="Z40" s="65"/>
      <c r="AA40" s="65"/>
      <c r="AB40" s="19"/>
      <c r="AC40" s="66"/>
      <c r="AD40" s="66"/>
      <c r="AE40" s="66"/>
      <c r="AF40" s="66" t="str">
        <f>IF(COUNT(D40:G40)=0,"",SUM(D40:G40))</f>
        <v/>
      </c>
      <c r="AG40" s="66" t="str">
        <f>IF(COUNT(H40:K40)=0,"",SUM(H40:K40))</f>
        <v/>
      </c>
      <c r="AH40" s="66">
        <f>IF(COUNT(L40:O40)=0,"",SUM(L40:O40))</f>
        <v>90553</v>
      </c>
      <c r="AI40" s="66">
        <f>IF(COUNT(P40:S40)=0,"",SUM(P40:S40))</f>
        <v>117741</v>
      </c>
      <c r="AJ40" s="66">
        <f>IF(COUNT(T40:W40)=0,"",SUM(T40:W40))</f>
        <v>149530</v>
      </c>
    </row>
    <row r="41" spans="1:36" x14ac:dyDescent="0.3">
      <c r="A41" s="20" t="s">
        <v>216</v>
      </c>
      <c r="B41" s="21" t="s">
        <v>217</v>
      </c>
      <c r="C41" s="22"/>
      <c r="D41" s="64"/>
      <c r="E41" s="64"/>
      <c r="F41" s="64"/>
      <c r="G41" s="64"/>
      <c r="H41" s="23" t="str">
        <f t="shared" ref="H41:AA41" si="16">IFERROR(H40/D40-1,"")</f>
        <v/>
      </c>
      <c r="I41" s="23" t="str">
        <f t="shared" si="16"/>
        <v/>
      </c>
      <c r="J41" s="23" t="str">
        <f t="shared" si="16"/>
        <v/>
      </c>
      <c r="K41" s="23" t="str">
        <f t="shared" si="16"/>
        <v/>
      </c>
      <c r="L41" s="23" t="str">
        <f t="shared" si="16"/>
        <v/>
      </c>
      <c r="M41" s="23" t="str">
        <f t="shared" si="16"/>
        <v/>
      </c>
      <c r="N41" s="23" t="str">
        <f t="shared" si="16"/>
        <v/>
      </c>
      <c r="O41" s="23" t="str">
        <f t="shared" si="16"/>
        <v/>
      </c>
      <c r="P41" s="23">
        <f t="shared" si="16"/>
        <v>0.27732569821177422</v>
      </c>
      <c r="Q41" s="23">
        <f t="shared" si="16"/>
        <v>0.29101535321675409</v>
      </c>
      <c r="R41" s="23">
        <f t="shared" si="16"/>
        <v>0.31923256537982558</v>
      </c>
      <c r="S41" s="23">
        <f t="shared" si="16"/>
        <v>0.30739632321504917</v>
      </c>
      <c r="T41" s="23">
        <f t="shared" si="16"/>
        <v>0.26155177159935517</v>
      </c>
      <c r="U41" s="23">
        <f t="shared" si="16"/>
        <v>0.27582366255883306</v>
      </c>
      <c r="V41" s="23">
        <f t="shared" si="16"/>
        <v>0.26906398418832422</v>
      </c>
      <c r="W41" s="23">
        <f t="shared" si="16"/>
        <v>0.27272727272727271</v>
      </c>
      <c r="X41" s="23">
        <f t="shared" si="16"/>
        <v>-1</v>
      </c>
      <c r="Y41" s="23">
        <f t="shared" si="16"/>
        <v>-1</v>
      </c>
      <c r="Z41" s="23">
        <f t="shared" si="16"/>
        <v>-1</v>
      </c>
      <c r="AA41" s="23">
        <f t="shared" si="16"/>
        <v>-1</v>
      </c>
      <c r="AB41" s="19"/>
      <c r="AC41" s="64"/>
      <c r="AD41" s="64"/>
      <c r="AE41" s="64"/>
      <c r="AF41" s="23" t="str">
        <f>IFERROR(AF40/AE40-1,"")</f>
        <v/>
      </c>
      <c r="AG41" s="23" t="str">
        <f>IFERROR(AG40/AF40-1,"")</f>
        <v/>
      </c>
      <c r="AH41" s="23" t="str">
        <f>IFERROR(AH40/AG40-1,"")</f>
        <v/>
      </c>
      <c r="AI41" s="23">
        <f>IFERROR(AI40/AH40-1,"")</f>
        <v>0.3002440559672237</v>
      </c>
      <c r="AJ41" s="23">
        <f>IFERROR(AJ40/AI40-1,"")</f>
        <v>0.26999091225656313</v>
      </c>
    </row>
    <row r="42" spans="1:36" x14ac:dyDescent="0.3">
      <c r="A42" s="20" t="s">
        <v>388</v>
      </c>
      <c r="B42" s="21" t="s">
        <v>217</v>
      </c>
      <c r="C42" s="22"/>
      <c r="D42" s="64"/>
      <c r="E42" s="23" t="str">
        <f t="shared" ref="E42:AA42" si="17">IFERROR(E40/D40-1,"")</f>
        <v/>
      </c>
      <c r="F42" s="23" t="str">
        <f t="shared" si="17"/>
        <v/>
      </c>
      <c r="G42" s="23" t="str">
        <f t="shared" si="17"/>
        <v/>
      </c>
      <c r="H42" s="23" t="str">
        <f t="shared" si="17"/>
        <v/>
      </c>
      <c r="I42" s="23" t="str">
        <f t="shared" si="17"/>
        <v/>
      </c>
      <c r="J42" s="23" t="str">
        <f t="shared" si="17"/>
        <v/>
      </c>
      <c r="K42" s="23" t="str">
        <f t="shared" si="17"/>
        <v/>
      </c>
      <c r="L42" s="23" t="str">
        <f t="shared" si="17"/>
        <v/>
      </c>
      <c r="M42" s="23">
        <f t="shared" si="17"/>
        <v>8.2931484830218949E-2</v>
      </c>
      <c r="N42" s="23">
        <f t="shared" si="17"/>
        <v>0.19189201725497473</v>
      </c>
      <c r="O42" s="23">
        <f t="shared" si="17"/>
        <v>-8.9741594022415994E-2</v>
      </c>
      <c r="P42" s="23">
        <f t="shared" si="17"/>
        <v>8.7174005985463765E-2</v>
      </c>
      <c r="Q42" s="23">
        <f t="shared" si="17"/>
        <v>9.4537732510126204E-2</v>
      </c>
      <c r="R42" s="23">
        <f t="shared" si="17"/>
        <v>0.21794272985305208</v>
      </c>
      <c r="S42" s="23">
        <f t="shared" si="17"/>
        <v>-9.7908492875896092E-2</v>
      </c>
      <c r="T42" s="23">
        <f t="shared" si="17"/>
        <v>4.9051667756703665E-2</v>
      </c>
      <c r="U42" s="23">
        <f t="shared" si="17"/>
        <v>0.10692019950124698</v>
      </c>
      <c r="V42" s="23">
        <f t="shared" si="17"/>
        <v>0.21148972120529419</v>
      </c>
      <c r="W42" s="23">
        <f t="shared" si="17"/>
        <v>-9.5304509530450998E-2</v>
      </c>
      <c r="X42" s="23">
        <f t="shared" si="17"/>
        <v>-1</v>
      </c>
      <c r="Y42" s="23" t="str">
        <f t="shared" si="17"/>
        <v/>
      </c>
      <c r="Z42" s="23" t="str">
        <f t="shared" si="17"/>
        <v/>
      </c>
      <c r="AA42" s="23" t="str">
        <f t="shared" si="17"/>
        <v/>
      </c>
      <c r="AB42" s="19"/>
      <c r="AC42" s="64"/>
      <c r="AD42" s="64"/>
      <c r="AE42" s="64"/>
      <c r="AF42" s="64"/>
      <c r="AG42" s="64"/>
      <c r="AH42" s="64"/>
      <c r="AI42" s="64"/>
      <c r="AJ42" s="64"/>
    </row>
    <row r="43" spans="1:36" x14ac:dyDescent="0.3">
      <c r="A43" s="20" t="s">
        <v>244</v>
      </c>
      <c r="B43" s="21" t="s">
        <v>214</v>
      </c>
      <c r="C43" s="22" t="s">
        <v>393</v>
      </c>
      <c r="D43" s="65"/>
      <c r="E43" s="65"/>
      <c r="F43" s="65"/>
      <c r="G43" s="65"/>
      <c r="H43" s="65"/>
      <c r="I43" s="65"/>
      <c r="J43" s="65"/>
      <c r="K43" s="65"/>
      <c r="L43" s="65">
        <v>12121</v>
      </c>
      <c r="M43" s="65">
        <v>12566</v>
      </c>
      <c r="N43" s="65">
        <v>14954</v>
      </c>
      <c r="O43" s="65">
        <v>13979</v>
      </c>
      <c r="P43" s="65">
        <v>14695</v>
      </c>
      <c r="Q43" s="65">
        <v>15661</v>
      </c>
      <c r="R43" s="65">
        <v>18817</v>
      </c>
      <c r="S43" s="65">
        <v>17570</v>
      </c>
      <c r="T43" s="65">
        <v>18340</v>
      </c>
      <c r="U43" s="65">
        <v>19810</v>
      </c>
      <c r="V43" s="65">
        <v>24210</v>
      </c>
      <c r="W43" s="65">
        <v>22690</v>
      </c>
      <c r="X43" s="65"/>
      <c r="Y43" s="65"/>
      <c r="Z43" s="65"/>
      <c r="AA43" s="65"/>
      <c r="AB43" s="19"/>
      <c r="AC43" s="66"/>
      <c r="AD43" s="66"/>
      <c r="AE43" s="66"/>
      <c r="AF43" s="66" t="str">
        <f>IF(COUNT(D43:G43)=0,"",SUM(D43:G43))</f>
        <v/>
      </c>
      <c r="AG43" s="66" t="str">
        <f>IF(COUNT(H43:K43)=0,"",SUM(H43:K43))</f>
        <v/>
      </c>
      <c r="AH43" s="66">
        <f>IF(COUNT(L43:O43)=0,"",SUM(L43:O43))</f>
        <v>53620</v>
      </c>
      <c r="AI43" s="66">
        <f>IF(COUNT(P43:S43)=0,"",SUM(P43:S43))</f>
        <v>66743</v>
      </c>
      <c r="AJ43" s="66">
        <f>IF(COUNT(T43:W43)=0,"",SUM(T43:W43))</f>
        <v>85050</v>
      </c>
    </row>
    <row r="44" spans="1:36" x14ac:dyDescent="0.3">
      <c r="A44" s="20" t="s">
        <v>219</v>
      </c>
      <c r="B44" s="21" t="s">
        <v>217</v>
      </c>
      <c r="C44" s="22"/>
      <c r="D44" s="23" t="str">
        <f t="shared" ref="D44:AA44" si="18">IFERROR(D43/D40,"")</f>
        <v/>
      </c>
      <c r="E44" s="23" t="str">
        <f t="shared" si="18"/>
        <v/>
      </c>
      <c r="F44" s="23" t="str">
        <f t="shared" si="18"/>
        <v/>
      </c>
      <c r="G44" s="23" t="str">
        <f t="shared" si="18"/>
        <v/>
      </c>
      <c r="H44" s="23" t="str">
        <f t="shared" si="18"/>
        <v/>
      </c>
      <c r="I44" s="23" t="str">
        <f t="shared" si="18"/>
        <v/>
      </c>
      <c r="J44" s="23" t="str">
        <f t="shared" si="18"/>
        <v/>
      </c>
      <c r="K44" s="23" t="str">
        <f t="shared" si="18"/>
        <v/>
      </c>
      <c r="L44" s="23">
        <f t="shared" si="18"/>
        <v>0.60885071328109308</v>
      </c>
      <c r="M44" s="23">
        <f t="shared" si="18"/>
        <v>0.58286562456514679</v>
      </c>
      <c r="N44" s="23">
        <f t="shared" si="18"/>
        <v>0.58195828144458284</v>
      </c>
      <c r="O44" s="23">
        <f t="shared" si="18"/>
        <v>0.59764856776400166</v>
      </c>
      <c r="P44" s="23">
        <f t="shared" si="18"/>
        <v>0.57788351881709854</v>
      </c>
      <c r="Q44" s="23">
        <f t="shared" si="18"/>
        <v>0.56267739733409983</v>
      </c>
      <c r="R44" s="23">
        <f t="shared" si="18"/>
        <v>0.55509012065252661</v>
      </c>
      <c r="S44" s="23">
        <f t="shared" si="18"/>
        <v>0.57455853499018972</v>
      </c>
      <c r="T44" s="23">
        <f t="shared" si="18"/>
        <v>0.57169576059850369</v>
      </c>
      <c r="U44" s="23">
        <f t="shared" si="18"/>
        <v>0.55787102224725427</v>
      </c>
      <c r="V44" s="23">
        <f t="shared" si="18"/>
        <v>0.56276150627615062</v>
      </c>
      <c r="W44" s="23">
        <f t="shared" si="18"/>
        <v>0.58299075025693736</v>
      </c>
      <c r="X44" s="23" t="str">
        <f t="shared" si="18"/>
        <v/>
      </c>
      <c r="Y44" s="23" t="str">
        <f t="shared" si="18"/>
        <v/>
      </c>
      <c r="Z44" s="23" t="str">
        <f t="shared" si="18"/>
        <v/>
      </c>
      <c r="AA44" s="23" t="str">
        <f t="shared" si="18"/>
        <v/>
      </c>
      <c r="AB44" s="19"/>
      <c r="AC44" s="23"/>
      <c r="AD44" s="23"/>
      <c r="AE44" s="23"/>
      <c r="AF44" s="23" t="str">
        <f>IFERROR(AF43/AF40,"")</f>
        <v/>
      </c>
      <c r="AG44" s="23" t="str">
        <f>IFERROR(AG43/AG40,"")</f>
        <v/>
      </c>
      <c r="AH44" s="23">
        <f>IFERROR(AH43/AH40,"")</f>
        <v>0.5921394100692412</v>
      </c>
      <c r="AI44" s="23">
        <f>IFERROR(AI43/AI40,"")</f>
        <v>0.56686286000628494</v>
      </c>
      <c r="AJ44" s="23">
        <f>IFERROR(AJ43/AJ40,"")</f>
        <v>0.56878218417708826</v>
      </c>
    </row>
    <row r="45" spans="1:36" x14ac:dyDescent="0.3">
      <c r="A45" s="20" t="s">
        <v>245</v>
      </c>
      <c r="B45" s="21" t="s">
        <v>214</v>
      </c>
      <c r="C45" s="22" t="s">
        <v>400</v>
      </c>
      <c r="D45" s="65"/>
      <c r="E45" s="65"/>
      <c r="F45" s="65"/>
      <c r="G45" s="65"/>
      <c r="H45" s="65"/>
      <c r="I45" s="65"/>
      <c r="J45" s="65"/>
      <c r="K45" s="65"/>
      <c r="L45" s="65">
        <v>12984</v>
      </c>
      <c r="M45" s="65"/>
      <c r="N45" s="65">
        <v>16227</v>
      </c>
      <c r="O45" s="65">
        <v>15190</v>
      </c>
      <c r="P45" s="65">
        <v>15935</v>
      </c>
      <c r="Q45" s="65">
        <v>17029</v>
      </c>
      <c r="R45" s="65">
        <v>20601</v>
      </c>
      <c r="S45" s="65">
        <v>18950</v>
      </c>
      <c r="T45" s="65">
        <v>19750</v>
      </c>
      <c r="U45" s="65">
        <v>21320</v>
      </c>
      <c r="V45" s="65">
        <v>26220</v>
      </c>
      <c r="W45" s="65">
        <v>24100</v>
      </c>
      <c r="X45" s="65"/>
      <c r="Y45" s="65"/>
      <c r="Z45" s="65"/>
      <c r="AA45" s="65"/>
      <c r="AB45" s="19"/>
      <c r="AC45" s="66"/>
      <c r="AD45" s="66"/>
      <c r="AE45" s="66"/>
      <c r="AF45" s="66" t="str">
        <f>IF(COUNT(D45:G45)=0,"",SUM(D45:G45))</f>
        <v/>
      </c>
      <c r="AG45" s="66" t="str">
        <f>IF(COUNT(H45:K45)=0,"",SUM(H45:K45))</f>
        <v/>
      </c>
      <c r="AH45" s="66">
        <f>IF(COUNT(L45:O45)=0,"",SUM(L45:O45))</f>
        <v>44401</v>
      </c>
      <c r="AI45" s="66">
        <f>IF(COUNT(P45:S45)=0,"",SUM(P45:S45))</f>
        <v>72515</v>
      </c>
      <c r="AJ45" s="66">
        <f>IF(COUNT(T45:W45)=0,"",SUM(T45:W45))</f>
        <v>91390</v>
      </c>
    </row>
    <row r="46" spans="1:36" x14ac:dyDescent="0.3">
      <c r="A46" s="20" t="s">
        <v>246</v>
      </c>
      <c r="B46" s="21" t="s">
        <v>217</v>
      </c>
      <c r="C46" s="22"/>
      <c r="D46" s="23" t="str">
        <f t="shared" ref="D46:AA46" si="19">IFERROR(D45/D43,"")</f>
        <v/>
      </c>
      <c r="E46" s="23" t="str">
        <f t="shared" si="19"/>
        <v/>
      </c>
      <c r="F46" s="23" t="str">
        <f t="shared" si="19"/>
        <v/>
      </c>
      <c r="G46" s="23" t="str">
        <f t="shared" si="19"/>
        <v/>
      </c>
      <c r="H46" s="23" t="str">
        <f t="shared" si="19"/>
        <v/>
      </c>
      <c r="I46" s="23" t="str">
        <f t="shared" si="19"/>
        <v/>
      </c>
      <c r="J46" s="23" t="str">
        <f t="shared" si="19"/>
        <v/>
      </c>
      <c r="K46" s="23" t="str">
        <f t="shared" si="19"/>
        <v/>
      </c>
      <c r="L46" s="23">
        <f t="shared" si="19"/>
        <v>1.0711987459780545</v>
      </c>
      <c r="M46" s="23">
        <f t="shared" si="19"/>
        <v>0</v>
      </c>
      <c r="N46" s="23">
        <f t="shared" si="19"/>
        <v>1.085127725023405</v>
      </c>
      <c r="O46" s="23">
        <f t="shared" si="19"/>
        <v>1.086629944917376</v>
      </c>
      <c r="P46" s="23">
        <f t="shared" si="19"/>
        <v>1.0843824430078257</v>
      </c>
      <c r="Q46" s="23">
        <f t="shared" si="19"/>
        <v>1.0873507438860865</v>
      </c>
      <c r="R46" s="23">
        <f t="shared" si="19"/>
        <v>1.0948078864856248</v>
      </c>
      <c r="S46" s="23">
        <f t="shared" si="19"/>
        <v>1.0785429709732499</v>
      </c>
      <c r="T46" s="23">
        <f t="shared" si="19"/>
        <v>1.0768811341330424</v>
      </c>
      <c r="U46" s="23">
        <f t="shared" si="19"/>
        <v>1.0762241292276629</v>
      </c>
      <c r="V46" s="23">
        <f t="shared" si="19"/>
        <v>1.0830235439900868</v>
      </c>
      <c r="W46" s="23">
        <f t="shared" si="19"/>
        <v>1.0621419127368885</v>
      </c>
      <c r="X46" s="23" t="str">
        <f t="shared" si="19"/>
        <v/>
      </c>
      <c r="Y46" s="23" t="str">
        <f t="shared" si="19"/>
        <v/>
      </c>
      <c r="Z46" s="23" t="str">
        <f t="shared" si="19"/>
        <v/>
      </c>
      <c r="AA46" s="23" t="str">
        <f t="shared" si="19"/>
        <v/>
      </c>
      <c r="AB46" s="19"/>
      <c r="AC46" s="23"/>
      <c r="AD46" s="23"/>
      <c r="AE46" s="23"/>
      <c r="AF46" s="23" t="str">
        <f>IFERROR(AF45/AF43,"")</f>
        <v/>
      </c>
      <c r="AG46" s="23" t="str">
        <f>IFERROR(AG45/AG43,"")</f>
        <v/>
      </c>
      <c r="AH46" s="23">
        <f>IFERROR(AH45/AH43,"")</f>
        <v>0.82806788511749352</v>
      </c>
      <c r="AI46" s="23">
        <f>IFERROR(AI45/AI43,"")</f>
        <v>1.0864809792787258</v>
      </c>
      <c r="AJ46" s="23">
        <f>IFERROR(AJ45/AJ43,"")</f>
        <v>1.0745443856554968</v>
      </c>
    </row>
    <row r="47" spans="1:36" x14ac:dyDescent="0.3">
      <c r="A47" s="20" t="s">
        <v>247</v>
      </c>
      <c r="B47" s="21" t="s">
        <v>214</v>
      </c>
      <c r="C47" s="22" t="s">
        <v>401</v>
      </c>
      <c r="D47" s="65"/>
      <c r="E47" s="65"/>
      <c r="F47" s="65"/>
      <c r="G47" s="65"/>
      <c r="H47" s="65"/>
      <c r="I47" s="65"/>
      <c r="J47" s="65"/>
      <c r="K47" s="65"/>
      <c r="L47" s="65">
        <v>5223</v>
      </c>
      <c r="M47" s="65"/>
      <c r="N47" s="65">
        <v>6317</v>
      </c>
      <c r="O47" s="65">
        <v>5950</v>
      </c>
      <c r="P47" s="65">
        <v>6328</v>
      </c>
      <c r="Q47" s="65">
        <v>6828</v>
      </c>
      <c r="R47" s="65">
        <v>8175</v>
      </c>
      <c r="S47" s="65">
        <v>7790</v>
      </c>
      <c r="T47" s="65">
        <v>8190</v>
      </c>
      <c r="U47" s="65">
        <v>8840</v>
      </c>
      <c r="V47" s="65">
        <v>10850</v>
      </c>
      <c r="W47" s="65">
        <v>10130</v>
      </c>
      <c r="X47" s="65"/>
      <c r="Y47" s="65"/>
      <c r="Z47" s="65"/>
      <c r="AA47" s="65"/>
      <c r="AB47" s="19"/>
      <c r="AC47" s="66"/>
      <c r="AD47" s="66"/>
      <c r="AE47" s="66"/>
      <c r="AF47" s="66" t="str">
        <f>IF(COUNT(D47:G47)=0,"",SUM(D47:G47))</f>
        <v/>
      </c>
      <c r="AG47" s="66" t="str">
        <f>IF(COUNT(H47:K47)=0,"",SUM(H47:K47))</f>
        <v/>
      </c>
      <c r="AH47" s="66">
        <f>IF(COUNT(L47:O47)=0,"",SUM(L47:O47))</f>
        <v>17490</v>
      </c>
      <c r="AI47" s="66">
        <f>IF(COUNT(P47:S47)=0,"",SUM(P47:S47))</f>
        <v>29121</v>
      </c>
      <c r="AJ47" s="66">
        <f>IF(COUNT(T47:W47)=0,"",SUM(T47:W47))</f>
        <v>38010</v>
      </c>
    </row>
    <row r="48" spans="1:36" x14ac:dyDescent="0.3">
      <c r="A48" s="20" t="s">
        <v>222</v>
      </c>
      <c r="B48" s="21" t="s">
        <v>217</v>
      </c>
      <c r="C48" s="22"/>
      <c r="D48" s="23" t="str">
        <f t="shared" ref="D48:AA48" si="20">IFERROR(D47/D43,"")</f>
        <v/>
      </c>
      <c r="E48" s="23" t="str">
        <f t="shared" si="20"/>
        <v/>
      </c>
      <c r="F48" s="23" t="str">
        <f t="shared" si="20"/>
        <v/>
      </c>
      <c r="G48" s="23" t="str">
        <f t="shared" si="20"/>
        <v/>
      </c>
      <c r="H48" s="23" t="str">
        <f t="shared" si="20"/>
        <v/>
      </c>
      <c r="I48" s="23" t="str">
        <f t="shared" si="20"/>
        <v/>
      </c>
      <c r="J48" s="23" t="str">
        <f t="shared" si="20"/>
        <v/>
      </c>
      <c r="K48" s="23" t="str">
        <f t="shared" si="20"/>
        <v/>
      </c>
      <c r="L48" s="23">
        <f t="shared" si="20"/>
        <v>0.43090504083821468</v>
      </c>
      <c r="M48" s="23">
        <f t="shared" si="20"/>
        <v>0</v>
      </c>
      <c r="N48" s="23">
        <f t="shared" si="20"/>
        <v>0.42242878159689717</v>
      </c>
      <c r="O48" s="23">
        <f t="shared" si="20"/>
        <v>0.4256384576865298</v>
      </c>
      <c r="P48" s="23">
        <f t="shared" si="20"/>
        <v>0.43062266076896905</v>
      </c>
      <c r="Q48" s="23">
        <f t="shared" si="20"/>
        <v>0.43598748483494032</v>
      </c>
      <c r="R48" s="23">
        <f t="shared" si="20"/>
        <v>0.43444757400223205</v>
      </c>
      <c r="S48" s="23">
        <f t="shared" si="20"/>
        <v>0.44336937962435968</v>
      </c>
      <c r="T48" s="23">
        <f t="shared" si="20"/>
        <v>0.44656488549618323</v>
      </c>
      <c r="U48" s="23">
        <f t="shared" si="20"/>
        <v>0.44623927309439676</v>
      </c>
      <c r="V48" s="23">
        <f t="shared" si="20"/>
        <v>0.44816191656340354</v>
      </c>
      <c r="W48" s="23">
        <f t="shared" si="20"/>
        <v>0.4464521815777876</v>
      </c>
      <c r="X48" s="23" t="str">
        <f t="shared" si="20"/>
        <v/>
      </c>
      <c r="Y48" s="23" t="str">
        <f t="shared" si="20"/>
        <v/>
      </c>
      <c r="Z48" s="23" t="str">
        <f t="shared" si="20"/>
        <v/>
      </c>
      <c r="AA48" s="23" t="str">
        <f t="shared" si="20"/>
        <v/>
      </c>
      <c r="AB48" s="19"/>
      <c r="AC48" s="23"/>
      <c r="AD48" s="23"/>
      <c r="AE48" s="23"/>
      <c r="AF48" s="23" t="str">
        <f>IFERROR(AF47/AF43,"")</f>
        <v/>
      </c>
      <c r="AG48" s="23" t="str">
        <f>IFERROR(AG47/AG43,"")</f>
        <v/>
      </c>
      <c r="AH48" s="23">
        <f>IFERROR(AH47/AH43,"")</f>
        <v>0.32618425960462516</v>
      </c>
      <c r="AI48" s="23">
        <f>IFERROR(AI47/AI43,"")</f>
        <v>0.43631541884542197</v>
      </c>
      <c r="AJ48" s="23">
        <f>IFERROR(AJ47/AJ43,"")</f>
        <v>0.44691358024691358</v>
      </c>
    </row>
    <row r="49" spans="1:36" x14ac:dyDescent="0.3">
      <c r="A49" s="20" t="s">
        <v>248</v>
      </c>
      <c r="B49" s="21" t="s">
        <v>214</v>
      </c>
      <c r="C49" s="22" t="s">
        <v>401</v>
      </c>
      <c r="D49" s="65"/>
      <c r="E49" s="65"/>
      <c r="F49" s="65"/>
      <c r="G49" s="65"/>
      <c r="H49" s="65"/>
      <c r="I49" s="65"/>
      <c r="J49" s="65"/>
      <c r="K49" s="65"/>
      <c r="L49" s="65">
        <v>1114</v>
      </c>
      <c r="M49" s="65"/>
      <c r="N49" s="65">
        <v>1396</v>
      </c>
      <c r="O49" s="65">
        <v>1280</v>
      </c>
      <c r="P49" s="65">
        <v>1417</v>
      </c>
      <c r="Q49" s="65">
        <v>1488</v>
      </c>
      <c r="R49" s="65">
        <v>1749</v>
      </c>
      <c r="S49" s="65">
        <v>1630</v>
      </c>
      <c r="T49" s="65">
        <v>1700</v>
      </c>
      <c r="U49" s="65">
        <v>1870</v>
      </c>
      <c r="V49" s="65">
        <v>2220</v>
      </c>
      <c r="W49" s="65">
        <v>2150</v>
      </c>
      <c r="X49" s="65"/>
      <c r="Y49" s="65"/>
      <c r="Z49" s="65"/>
      <c r="AA49" s="65"/>
      <c r="AB49" s="19"/>
      <c r="AC49" s="66"/>
      <c r="AD49" s="66"/>
      <c r="AE49" s="66"/>
      <c r="AF49" s="66" t="str">
        <f>IF(COUNT(D49:G49)=0,"",SUM(D49:G49))</f>
        <v/>
      </c>
      <c r="AG49" s="66" t="str">
        <f>IF(COUNT(H49:K49)=0,"",SUM(H49:K49))</f>
        <v/>
      </c>
      <c r="AH49" s="66">
        <f>IF(COUNT(L49:O49)=0,"",SUM(L49:O49))</f>
        <v>3790</v>
      </c>
      <c r="AI49" s="66">
        <f>IF(COUNT(P49:S49)=0,"",SUM(P49:S49))</f>
        <v>6284</v>
      </c>
      <c r="AJ49" s="66">
        <f>IF(COUNT(T49:W49)=0,"",SUM(T49:W49))</f>
        <v>7940</v>
      </c>
    </row>
    <row r="50" spans="1:36" x14ac:dyDescent="0.3">
      <c r="A50" s="20" t="s">
        <v>402</v>
      </c>
      <c r="B50" s="21" t="s">
        <v>214</v>
      </c>
      <c r="C50" s="22" t="s">
        <v>401</v>
      </c>
      <c r="D50" s="65"/>
      <c r="E50" s="65"/>
      <c r="F50" s="65"/>
      <c r="G50" s="65"/>
      <c r="H50" s="65"/>
      <c r="I50" s="65"/>
      <c r="J50" s="65"/>
      <c r="K50" s="65"/>
      <c r="L50" s="65">
        <v>971</v>
      </c>
      <c r="M50" s="65"/>
      <c r="N50" s="65">
        <v>1414</v>
      </c>
      <c r="O50" s="65">
        <v>1210</v>
      </c>
      <c r="P50" s="65">
        <v>1268</v>
      </c>
      <c r="Q50" s="65">
        <v>1462</v>
      </c>
      <c r="R50" s="65">
        <v>1897</v>
      </c>
      <c r="S50" s="65">
        <v>1570</v>
      </c>
      <c r="T50" s="65">
        <v>2340</v>
      </c>
      <c r="U50" s="65">
        <v>2600</v>
      </c>
      <c r="V50" s="65">
        <v>3190</v>
      </c>
      <c r="W50" s="65">
        <v>2780</v>
      </c>
      <c r="X50" s="65"/>
      <c r="Y50" s="65"/>
      <c r="Z50" s="65"/>
      <c r="AA50" s="65"/>
      <c r="AB50" s="19"/>
      <c r="AC50" s="66"/>
      <c r="AD50" s="66"/>
      <c r="AE50" s="66"/>
      <c r="AF50" s="66" t="str">
        <f>IF(COUNT(D50:G50)=0,"",SUM(D50:G50))</f>
        <v/>
      </c>
      <c r="AG50" s="66" t="str">
        <f>IF(COUNT(H50:K50)=0,"",SUM(H50:K50))</f>
        <v/>
      </c>
      <c r="AH50" s="66">
        <f>IF(COUNT(L50:O50)=0,"",SUM(L50:O50))</f>
        <v>3595</v>
      </c>
      <c r="AI50" s="66">
        <f>IF(COUNT(P50:S50)=0,"",SUM(P50:S50))</f>
        <v>6197</v>
      </c>
      <c r="AJ50" s="66">
        <f>IF(COUNT(T50:W50)=0,"",SUM(T50:W50))</f>
        <v>10910</v>
      </c>
    </row>
    <row r="51" spans="1:36" x14ac:dyDescent="0.3">
      <c r="A51" s="20" t="s">
        <v>403</v>
      </c>
      <c r="B51" s="21" t="s">
        <v>214</v>
      </c>
      <c r="C51" s="22" t="s">
        <v>401</v>
      </c>
      <c r="D51" s="65"/>
      <c r="E51" s="65"/>
      <c r="F51" s="65"/>
      <c r="G51" s="65"/>
      <c r="H51" s="65"/>
      <c r="I51" s="65"/>
      <c r="J51" s="65"/>
      <c r="K51" s="65"/>
      <c r="L51" s="65">
        <v>285</v>
      </c>
      <c r="M51" s="65"/>
      <c r="N51" s="65">
        <v>385</v>
      </c>
      <c r="O51" s="65">
        <v>400</v>
      </c>
      <c r="P51" s="65">
        <v>413</v>
      </c>
      <c r="Q51" s="65">
        <v>439</v>
      </c>
      <c r="R51" s="65">
        <v>532</v>
      </c>
      <c r="S51" s="65">
        <v>550</v>
      </c>
      <c r="T51" s="65">
        <v>0</v>
      </c>
      <c r="U51" s="65">
        <v>0</v>
      </c>
      <c r="V51" s="65">
        <v>0</v>
      </c>
      <c r="W51" s="65">
        <v>0</v>
      </c>
      <c r="X51" s="65"/>
      <c r="Y51" s="65"/>
      <c r="Z51" s="65"/>
      <c r="AA51" s="65"/>
      <c r="AB51" s="19"/>
      <c r="AC51" s="66"/>
      <c r="AD51" s="66"/>
      <c r="AE51" s="66"/>
      <c r="AF51" s="66" t="str">
        <f>IF(COUNT(D51:G51)=0,"",SUM(D51:G51))</f>
        <v/>
      </c>
      <c r="AG51" s="66" t="str">
        <f>IF(COUNT(H51:K51)=0,"",SUM(H51:K51))</f>
        <v/>
      </c>
      <c r="AH51" s="66">
        <f>IF(COUNT(L51:O51)=0,"",SUM(L51:O51))</f>
        <v>1070</v>
      </c>
      <c r="AI51" s="66">
        <f>IF(COUNT(P51:S51)=0,"",SUM(P51:S51))</f>
        <v>1934</v>
      </c>
      <c r="AJ51" s="66">
        <f>IF(COUNT(T51:W51)=0,"",SUM(T51:W51))</f>
        <v>0</v>
      </c>
    </row>
    <row r="52" spans="1:36" x14ac:dyDescent="0.3">
      <c r="A52" s="20" t="s">
        <v>254</v>
      </c>
      <c r="B52" s="21" t="s">
        <v>214</v>
      </c>
      <c r="C52" s="22"/>
      <c r="D52" s="66" t="str">
        <f t="shared" ref="D52:AA52" si="21">IF(OR(ISBLANK(D47),ISBLANK(D49),ISBLANK(D50),ISBLANK(D51)),"",IFERROR(D47-D49-D50-D51,""))</f>
        <v/>
      </c>
      <c r="E52" s="66" t="str">
        <f t="shared" si="21"/>
        <v/>
      </c>
      <c r="F52" s="66" t="str">
        <f t="shared" si="21"/>
        <v/>
      </c>
      <c r="G52" s="66" t="str">
        <f t="shared" si="21"/>
        <v/>
      </c>
      <c r="H52" s="66" t="str">
        <f t="shared" si="21"/>
        <v/>
      </c>
      <c r="I52" s="66" t="str">
        <f t="shared" si="21"/>
        <v/>
      </c>
      <c r="J52" s="66" t="str">
        <f t="shared" si="21"/>
        <v/>
      </c>
      <c r="K52" s="66" t="str">
        <f t="shared" si="21"/>
        <v/>
      </c>
      <c r="L52" s="66">
        <f t="shared" si="21"/>
        <v>2853</v>
      </c>
      <c r="M52" s="66" t="str">
        <f t="shared" si="21"/>
        <v/>
      </c>
      <c r="N52" s="66">
        <f t="shared" si="21"/>
        <v>3122</v>
      </c>
      <c r="O52" s="66">
        <f t="shared" si="21"/>
        <v>3060</v>
      </c>
      <c r="P52" s="66">
        <f t="shared" si="21"/>
        <v>3230</v>
      </c>
      <c r="Q52" s="66">
        <f t="shared" si="21"/>
        <v>3439</v>
      </c>
      <c r="R52" s="66">
        <f t="shared" si="21"/>
        <v>3997</v>
      </c>
      <c r="S52" s="66">
        <f t="shared" si="21"/>
        <v>4040</v>
      </c>
      <c r="T52" s="66">
        <f t="shared" si="21"/>
        <v>4150</v>
      </c>
      <c r="U52" s="66">
        <f t="shared" si="21"/>
        <v>4370</v>
      </c>
      <c r="V52" s="66">
        <f t="shared" si="21"/>
        <v>5440</v>
      </c>
      <c r="W52" s="66">
        <f t="shared" si="21"/>
        <v>5200</v>
      </c>
      <c r="X52" s="66" t="str">
        <f t="shared" si="21"/>
        <v/>
      </c>
      <c r="Y52" s="66" t="str">
        <f t="shared" si="21"/>
        <v/>
      </c>
      <c r="Z52" s="66" t="str">
        <f t="shared" si="21"/>
        <v/>
      </c>
      <c r="AA52" s="66" t="str">
        <f t="shared" si="21"/>
        <v/>
      </c>
      <c r="AB52" s="19"/>
      <c r="AC52" s="66"/>
      <c r="AD52" s="66"/>
      <c r="AE52" s="66"/>
      <c r="AF52" s="66" t="str">
        <f>IF(OR(ISBLANK(AF47),ISBLANK(AF49),ISBLANK(AF50),ISBLANK(AF51)),"",IFERROR(AF47-AF49-AF50-AF51,""))</f>
        <v/>
      </c>
      <c r="AG52" s="66" t="str">
        <f>IF(OR(ISBLANK(AG47),ISBLANK(AG49),ISBLANK(AG50),ISBLANK(AG51)),"",IFERROR(AG47-AG49-AG50-AG51,""))</f>
        <v/>
      </c>
      <c r="AH52" s="66">
        <f>IF(OR(ISBLANK(AH47),ISBLANK(AH49),ISBLANK(AH50),ISBLANK(AH51)),"",IFERROR(AH47-AH49-AH50-AH51,""))</f>
        <v>9035</v>
      </c>
      <c r="AI52" s="66">
        <f>IF(OR(ISBLANK(AI47),ISBLANK(AI49),ISBLANK(AI50),ISBLANK(AI51)),"",IFERROR(AI47-AI49-AI50-AI51,""))</f>
        <v>14706</v>
      </c>
      <c r="AJ52" s="66">
        <f>IF(OR(ISBLANK(AJ47),ISBLANK(AJ49),ISBLANK(AJ50),ISBLANK(AJ51)),"",IFERROR(AJ47-AJ49-AJ50-AJ51,""))</f>
        <v>19160</v>
      </c>
    </row>
    <row r="53" spans="1:36" x14ac:dyDescent="0.3">
      <c r="A53" s="20" t="s">
        <v>255</v>
      </c>
      <c r="B53" s="21" t="s">
        <v>217</v>
      </c>
      <c r="C53" s="22"/>
      <c r="D53" s="23" t="str">
        <f t="shared" ref="D53:AA53" si="22">IFERROR(D52/D43,"")</f>
        <v/>
      </c>
      <c r="E53" s="23" t="str">
        <f t="shared" si="22"/>
        <v/>
      </c>
      <c r="F53" s="23" t="str">
        <f t="shared" si="22"/>
        <v/>
      </c>
      <c r="G53" s="23" t="str">
        <f t="shared" si="22"/>
        <v/>
      </c>
      <c r="H53" s="23" t="str">
        <f t="shared" si="22"/>
        <v/>
      </c>
      <c r="I53" s="23" t="str">
        <f t="shared" si="22"/>
        <v/>
      </c>
      <c r="J53" s="23" t="str">
        <f t="shared" si="22"/>
        <v/>
      </c>
      <c r="K53" s="23" t="str">
        <f t="shared" si="22"/>
        <v/>
      </c>
      <c r="L53" s="23">
        <f t="shared" si="22"/>
        <v>0.2353766190908341</v>
      </c>
      <c r="M53" s="23" t="str">
        <f t="shared" si="22"/>
        <v/>
      </c>
      <c r="N53" s="23">
        <f t="shared" si="22"/>
        <v>0.20877357228835094</v>
      </c>
      <c r="O53" s="23">
        <f t="shared" si="22"/>
        <v>0.21889977823878676</v>
      </c>
      <c r="P53" s="23">
        <f t="shared" si="22"/>
        <v>0.21980265396393331</v>
      </c>
      <c r="Q53" s="23">
        <f t="shared" si="22"/>
        <v>0.21959006449141177</v>
      </c>
      <c r="R53" s="23">
        <f t="shared" si="22"/>
        <v>0.21241430621246746</v>
      </c>
      <c r="S53" s="23">
        <f t="shared" si="22"/>
        <v>0.22993739328400684</v>
      </c>
      <c r="T53" s="23">
        <f t="shared" si="22"/>
        <v>0.22628135223555071</v>
      </c>
      <c r="U53" s="23">
        <f t="shared" si="22"/>
        <v>0.22059565875820292</v>
      </c>
      <c r="V53" s="23">
        <f t="shared" si="22"/>
        <v>0.22470053696819495</v>
      </c>
      <c r="W53" s="23">
        <f t="shared" si="22"/>
        <v>0.22917584839136185</v>
      </c>
      <c r="X53" s="23" t="str">
        <f t="shared" si="22"/>
        <v/>
      </c>
      <c r="Y53" s="23" t="str">
        <f t="shared" si="22"/>
        <v/>
      </c>
      <c r="Z53" s="23" t="str">
        <f t="shared" si="22"/>
        <v/>
      </c>
      <c r="AA53" s="23" t="str">
        <f t="shared" si="22"/>
        <v/>
      </c>
      <c r="AB53" s="19"/>
      <c r="AC53" s="23"/>
      <c r="AD53" s="23"/>
      <c r="AE53" s="23"/>
      <c r="AF53" s="23" t="str">
        <f>IFERROR(AF52/AF43,"")</f>
        <v/>
      </c>
      <c r="AG53" s="23" t="str">
        <f>IFERROR(AG52/AG43,"")</f>
        <v/>
      </c>
      <c r="AH53" s="23">
        <f>IFERROR(AH52/AH43,"")</f>
        <v>0.1685005594927266</v>
      </c>
      <c r="AI53" s="23">
        <f>IFERROR(AI52/AI43,"")</f>
        <v>0.22033771331825061</v>
      </c>
      <c r="AJ53" s="23">
        <f>IFERROR(AJ52/AJ43,"")</f>
        <v>0.22527924750146971</v>
      </c>
    </row>
    <row r="54" spans="1:36" x14ac:dyDescent="0.3">
      <c r="A54" s="20" t="s">
        <v>256</v>
      </c>
      <c r="B54" s="21" t="s">
        <v>214</v>
      </c>
      <c r="C54" s="22" t="s">
        <v>401</v>
      </c>
      <c r="D54" s="65"/>
      <c r="E54" s="65"/>
      <c r="F54" s="65"/>
      <c r="G54" s="65"/>
      <c r="H54" s="65"/>
      <c r="I54" s="65"/>
      <c r="J54" s="65"/>
      <c r="K54" s="65"/>
      <c r="L54" s="65">
        <v>1800</v>
      </c>
      <c r="M54" s="65"/>
      <c r="N54" s="65">
        <v>1890</v>
      </c>
      <c r="O54" s="65">
        <v>1790</v>
      </c>
      <c r="P54" s="65">
        <v>1975</v>
      </c>
      <c r="Q54" s="65">
        <v>2095</v>
      </c>
      <c r="R54" s="65">
        <v>2345</v>
      </c>
      <c r="S54" s="65">
        <v>2360</v>
      </c>
      <c r="T54" s="65">
        <v>2500</v>
      </c>
      <c r="U54" s="65">
        <v>2590</v>
      </c>
      <c r="V54" s="65">
        <v>2990</v>
      </c>
      <c r="W54" s="65">
        <v>2870</v>
      </c>
      <c r="X54" s="65"/>
      <c r="Y54" s="65"/>
      <c r="Z54" s="65"/>
      <c r="AA54" s="65"/>
      <c r="AB54" s="19"/>
      <c r="AC54" s="66"/>
      <c r="AD54" s="66"/>
      <c r="AE54" s="66"/>
      <c r="AF54" s="66" t="str">
        <f>IF(COUNT(D54:G54)=0,"",SUM(D54:G54))</f>
        <v/>
      </c>
      <c r="AG54" s="66" t="str">
        <f>IF(COUNT(H54:K54)=0,"",SUM(H54:K54))</f>
        <v/>
      </c>
      <c r="AH54" s="66">
        <f>IF(COUNT(L54:O54)=0,"",SUM(L54:O54))</f>
        <v>5480</v>
      </c>
      <c r="AI54" s="66">
        <f>IF(COUNT(P54:S54)=0,"",SUM(P54:S54))</f>
        <v>8775</v>
      </c>
      <c r="AJ54" s="66">
        <f>IF(COUNT(T54:W54)=0,"",SUM(T54:W54))</f>
        <v>10950</v>
      </c>
    </row>
    <row r="55" spans="1:36" x14ac:dyDescent="0.3">
      <c r="A55" s="20" t="s">
        <v>223</v>
      </c>
      <c r="B55" s="21" t="s">
        <v>214</v>
      </c>
      <c r="C55" s="22"/>
      <c r="D55" s="66" t="str">
        <f t="shared" ref="D55:AA55" si="23">IF(OR(ISBLANK(D52),ISBLANK(D54)),"",IFERROR(D52-D54,""))</f>
        <v/>
      </c>
      <c r="E55" s="66" t="str">
        <f t="shared" si="23"/>
        <v/>
      </c>
      <c r="F55" s="66" t="str">
        <f t="shared" si="23"/>
        <v/>
      </c>
      <c r="G55" s="66" t="str">
        <f t="shared" si="23"/>
        <v/>
      </c>
      <c r="H55" s="66" t="str">
        <f t="shared" si="23"/>
        <v/>
      </c>
      <c r="I55" s="66" t="str">
        <f t="shared" si="23"/>
        <v/>
      </c>
      <c r="J55" s="66" t="str">
        <f t="shared" si="23"/>
        <v/>
      </c>
      <c r="K55" s="66" t="str">
        <f t="shared" si="23"/>
        <v/>
      </c>
      <c r="L55" s="66">
        <f t="shared" si="23"/>
        <v>1053</v>
      </c>
      <c r="M55" s="66" t="str">
        <f t="shared" si="23"/>
        <v/>
      </c>
      <c r="N55" s="66">
        <f t="shared" si="23"/>
        <v>1232</v>
      </c>
      <c r="O55" s="66">
        <f t="shared" si="23"/>
        <v>1270</v>
      </c>
      <c r="P55" s="66">
        <f t="shared" si="23"/>
        <v>1255</v>
      </c>
      <c r="Q55" s="66">
        <f t="shared" si="23"/>
        <v>1344</v>
      </c>
      <c r="R55" s="66">
        <f t="shared" si="23"/>
        <v>1652</v>
      </c>
      <c r="S55" s="66">
        <f t="shared" si="23"/>
        <v>1680</v>
      </c>
      <c r="T55" s="66">
        <f t="shared" si="23"/>
        <v>1650</v>
      </c>
      <c r="U55" s="66">
        <f t="shared" si="23"/>
        <v>1780</v>
      </c>
      <c r="V55" s="66">
        <f t="shared" si="23"/>
        <v>2450</v>
      </c>
      <c r="W55" s="66">
        <f t="shared" si="23"/>
        <v>2330</v>
      </c>
      <c r="X55" s="66" t="str">
        <f t="shared" si="23"/>
        <v/>
      </c>
      <c r="Y55" s="66" t="str">
        <f t="shared" si="23"/>
        <v/>
      </c>
      <c r="Z55" s="66" t="str">
        <f t="shared" si="23"/>
        <v/>
      </c>
      <c r="AA55" s="66" t="str">
        <f t="shared" si="23"/>
        <v/>
      </c>
      <c r="AB55" s="19"/>
      <c r="AC55" s="66"/>
      <c r="AD55" s="66"/>
      <c r="AE55" s="66"/>
      <c r="AF55" s="66" t="str">
        <f>IF(OR(ISBLANK(AF52),ISBLANK(AF54)),"",IFERROR(AF52-AF54,""))</f>
        <v/>
      </c>
      <c r="AG55" s="66" t="str">
        <f>IF(OR(ISBLANK(AG52),ISBLANK(AG54)),"",IFERROR(AG52-AG54,""))</f>
        <v/>
      </c>
      <c r="AH55" s="66">
        <f>IF(OR(ISBLANK(AH52),ISBLANK(AH54)),"",IFERROR(AH52-AH54,""))</f>
        <v>3555</v>
      </c>
      <c r="AI55" s="66">
        <f>IF(OR(ISBLANK(AI52),ISBLANK(AI54)),"",IFERROR(AI52-AI54,""))</f>
        <v>5931</v>
      </c>
      <c r="AJ55" s="66">
        <f>IF(OR(ISBLANK(AJ52),ISBLANK(AJ54)),"",IFERROR(AJ52-AJ54,""))</f>
        <v>8210</v>
      </c>
    </row>
    <row r="56" spans="1:36" x14ac:dyDescent="0.3">
      <c r="A56" s="20" t="s">
        <v>224</v>
      </c>
      <c r="B56" s="21" t="s">
        <v>217</v>
      </c>
      <c r="C56" s="22"/>
      <c r="D56" s="23" t="str">
        <f t="shared" ref="D56:AA56" si="24">IFERROR(D55/D43,"")</f>
        <v/>
      </c>
      <c r="E56" s="23" t="str">
        <f t="shared" si="24"/>
        <v/>
      </c>
      <c r="F56" s="23" t="str">
        <f t="shared" si="24"/>
        <v/>
      </c>
      <c r="G56" s="23" t="str">
        <f t="shared" si="24"/>
        <v/>
      </c>
      <c r="H56" s="23" t="str">
        <f t="shared" si="24"/>
        <v/>
      </c>
      <c r="I56" s="23" t="str">
        <f t="shared" si="24"/>
        <v/>
      </c>
      <c r="J56" s="23" t="str">
        <f t="shared" si="24"/>
        <v/>
      </c>
      <c r="K56" s="23" t="str">
        <f t="shared" si="24"/>
        <v/>
      </c>
      <c r="L56" s="23">
        <f t="shared" si="24"/>
        <v>8.6874020295355167E-2</v>
      </c>
      <c r="M56" s="23" t="str">
        <f t="shared" si="24"/>
        <v/>
      </c>
      <c r="N56" s="23">
        <f t="shared" si="24"/>
        <v>8.2385983683295444E-2</v>
      </c>
      <c r="O56" s="23">
        <f t="shared" si="24"/>
        <v>9.0850561556620649E-2</v>
      </c>
      <c r="P56" s="23">
        <f t="shared" si="24"/>
        <v>8.540319836679143E-2</v>
      </c>
      <c r="Q56" s="23">
        <f t="shared" si="24"/>
        <v>8.5818274695102489E-2</v>
      </c>
      <c r="R56" s="23">
        <f t="shared" si="24"/>
        <v>8.7792953180634528E-2</v>
      </c>
      <c r="S56" s="23">
        <f t="shared" si="24"/>
        <v>9.5617529880478086E-2</v>
      </c>
      <c r="T56" s="23">
        <f t="shared" si="24"/>
        <v>8.9967284623773167E-2</v>
      </c>
      <c r="U56" s="23">
        <f t="shared" si="24"/>
        <v>8.9853609288238268E-2</v>
      </c>
      <c r="V56" s="23">
        <f t="shared" si="24"/>
        <v>0.10119785212722016</v>
      </c>
      <c r="W56" s="23">
        <f t="shared" si="24"/>
        <v>0.10268840899074483</v>
      </c>
      <c r="X56" s="23" t="str">
        <f t="shared" si="24"/>
        <v/>
      </c>
      <c r="Y56" s="23" t="str">
        <f t="shared" si="24"/>
        <v/>
      </c>
      <c r="Z56" s="23" t="str">
        <f t="shared" si="24"/>
        <v/>
      </c>
      <c r="AA56" s="23" t="str">
        <f t="shared" si="24"/>
        <v/>
      </c>
      <c r="AB56" s="19"/>
      <c r="AC56" s="23"/>
      <c r="AD56" s="23"/>
      <c r="AE56" s="23"/>
      <c r="AF56" s="23" t="str">
        <f>IFERROR(AF55/AF43,"")</f>
        <v/>
      </c>
      <c r="AG56" s="23" t="str">
        <f>IFERROR(AG55/AG43,"")</f>
        <v/>
      </c>
      <c r="AH56" s="23">
        <f>IFERROR(AH55/AH43,"")</f>
        <v>6.6299888101454679E-2</v>
      </c>
      <c r="AI56" s="23">
        <f>IFERROR(AI55/AI43,"")</f>
        <v>8.8863251576944399E-2</v>
      </c>
      <c r="AJ56" s="23">
        <f>IFERROR(AJ55/AJ43,"")</f>
        <v>9.6531452087007641E-2</v>
      </c>
    </row>
    <row r="57" spans="1:36" x14ac:dyDescent="0.3">
      <c r="AB57" s="19"/>
    </row>
    <row r="58" spans="1:36" x14ac:dyDescent="0.3">
      <c r="A58" s="20" t="s">
        <v>404</v>
      </c>
      <c r="B58" s="21" t="s">
        <v>405</v>
      </c>
      <c r="C58" s="22" t="s">
        <v>393</v>
      </c>
      <c r="D58" s="69"/>
      <c r="E58" s="69">
        <v>84</v>
      </c>
      <c r="F58" s="69"/>
      <c r="G58" s="69">
        <v>104</v>
      </c>
      <c r="H58" s="69"/>
      <c r="I58" s="69">
        <v>124</v>
      </c>
      <c r="J58" s="69">
        <v>141</v>
      </c>
      <c r="K58" s="69">
        <v>145</v>
      </c>
      <c r="L58" s="69"/>
      <c r="M58" s="69"/>
      <c r="N58" s="69"/>
      <c r="O58" s="69">
        <v>187</v>
      </c>
      <c r="P58" s="69"/>
      <c r="Q58" s="69"/>
      <c r="R58" s="69">
        <v>221</v>
      </c>
      <c r="S58" s="69"/>
      <c r="T58" s="69"/>
      <c r="U58" s="69"/>
      <c r="V58" s="69"/>
      <c r="W58" s="69"/>
      <c r="X58" s="69"/>
      <c r="Y58" s="69"/>
      <c r="Z58" s="69"/>
      <c r="AA58" s="69"/>
      <c r="AB58" s="19"/>
      <c r="AC58" s="41"/>
      <c r="AD58" s="41"/>
      <c r="AE58" s="41"/>
      <c r="AF58" s="41">
        <f>IF(G58="","",G58)</f>
        <v>104</v>
      </c>
      <c r="AG58" s="41">
        <f>IF(K58="","",K58)</f>
        <v>145</v>
      </c>
      <c r="AH58" s="41">
        <f>IF(O58="","",O58)</f>
        <v>187</v>
      </c>
      <c r="AI58" s="41" t="str">
        <f>IF(S58="","",S58)</f>
        <v/>
      </c>
      <c r="AJ58" s="41" t="str">
        <f>IF(W58="","",W58)</f>
        <v/>
      </c>
    </row>
    <row r="59" spans="1:36" x14ac:dyDescent="0.3">
      <c r="A59" s="20" t="s">
        <v>406</v>
      </c>
      <c r="B59" s="21" t="s">
        <v>405</v>
      </c>
      <c r="C59" s="22" t="s">
        <v>393</v>
      </c>
      <c r="D59" s="69">
        <v>39</v>
      </c>
      <c r="E59" s="69">
        <v>41</v>
      </c>
      <c r="F59" s="69">
        <v>45</v>
      </c>
      <c r="G59" s="69">
        <v>49</v>
      </c>
      <c r="H59" s="69">
        <v>52</v>
      </c>
      <c r="I59" s="69">
        <v>53</v>
      </c>
      <c r="J59" s="69">
        <v>56</v>
      </c>
      <c r="K59" s="69">
        <v>60</v>
      </c>
      <c r="L59" s="69"/>
      <c r="M59" s="69">
        <v>61</v>
      </c>
      <c r="N59" s="69"/>
      <c r="O59" s="69"/>
      <c r="P59" s="69"/>
      <c r="Q59" s="69">
        <v>72</v>
      </c>
      <c r="R59" s="69">
        <v>73</v>
      </c>
      <c r="S59" s="69">
        <v>79</v>
      </c>
      <c r="T59" s="69"/>
      <c r="U59" s="69">
        <v>90</v>
      </c>
      <c r="V59" s="69"/>
      <c r="W59" s="69"/>
      <c r="X59" s="69"/>
      <c r="Y59" s="69"/>
      <c r="Z59" s="69"/>
      <c r="AA59" s="69"/>
      <c r="AB59" s="19"/>
      <c r="AC59" s="41"/>
      <c r="AD59" s="41"/>
      <c r="AE59" s="41"/>
      <c r="AF59" s="41">
        <f>IF(G59="","",G59)</f>
        <v>49</v>
      </c>
      <c r="AG59" s="41">
        <f>IF(K59="","",K59)</f>
        <v>60</v>
      </c>
      <c r="AH59" s="41" t="str">
        <f>IF(O59="","",O59)</f>
        <v/>
      </c>
      <c r="AI59" s="41">
        <f>IF(S59="","",S59)</f>
        <v>79</v>
      </c>
      <c r="AJ59" s="41" t="str">
        <f>IF(W59="","",W59)</f>
        <v/>
      </c>
    </row>
    <row r="60" spans="1:36" x14ac:dyDescent="0.3">
      <c r="A60" s="20" t="s">
        <v>407</v>
      </c>
      <c r="B60" s="21" t="s">
        <v>408</v>
      </c>
      <c r="C60" s="22" t="s">
        <v>393</v>
      </c>
      <c r="D60" s="28"/>
      <c r="E60" s="28">
        <v>7.0000000000000007E-2</v>
      </c>
      <c r="F60" s="28"/>
      <c r="G60" s="28">
        <v>0.1</v>
      </c>
      <c r="H60" s="28"/>
      <c r="I60" s="28">
        <v>0.12</v>
      </c>
      <c r="J60" s="28">
        <v>0.14000000000000001</v>
      </c>
      <c r="K60" s="28"/>
      <c r="L60" s="28"/>
      <c r="M60" s="28"/>
      <c r="N60" s="28"/>
      <c r="O60" s="28">
        <v>0.17</v>
      </c>
      <c r="P60" s="28"/>
      <c r="Q60" s="28"/>
      <c r="R60" s="28">
        <v>0.21</v>
      </c>
      <c r="S60" s="28"/>
      <c r="T60" s="28"/>
      <c r="U60" s="28"/>
      <c r="V60" s="28"/>
      <c r="W60" s="28"/>
      <c r="X60" s="28"/>
      <c r="Y60" s="28"/>
      <c r="Z60" s="28"/>
      <c r="AA60" s="28"/>
      <c r="AB60" s="19"/>
      <c r="AC60" s="30"/>
      <c r="AD60" s="30"/>
      <c r="AE60" s="30"/>
      <c r="AF60" s="30">
        <f>IF(G60="","",G60)</f>
        <v>0.1</v>
      </c>
      <c r="AG60" s="30" t="str">
        <f>IF(K60="","",K60)</f>
        <v/>
      </c>
      <c r="AH60" s="30">
        <f>IF(O60="","",O60)</f>
        <v>0.17</v>
      </c>
      <c r="AI60" s="30" t="str">
        <f>IF(S60="","",S60)</f>
        <v/>
      </c>
      <c r="AJ60" s="30" t="str">
        <f>IF(W60="","",W60)</f>
        <v/>
      </c>
    </row>
    <row r="61" spans="1:36" x14ac:dyDescent="0.3">
      <c r="A61" s="20" t="s">
        <v>409</v>
      </c>
      <c r="B61" s="21" t="s">
        <v>236</v>
      </c>
      <c r="C61" s="22" t="s">
        <v>393</v>
      </c>
      <c r="D61" s="63"/>
      <c r="E61" s="63"/>
      <c r="F61" s="63"/>
      <c r="G61" s="63"/>
      <c r="H61" s="63"/>
      <c r="I61" s="63"/>
      <c r="J61" s="63"/>
      <c r="K61" s="63"/>
      <c r="L61" s="63"/>
      <c r="M61" s="63"/>
      <c r="N61" s="63"/>
      <c r="O61" s="63"/>
      <c r="P61" s="63"/>
      <c r="Q61" s="63"/>
      <c r="R61" s="63"/>
      <c r="S61" s="63"/>
      <c r="T61" s="63"/>
      <c r="U61" s="63"/>
      <c r="V61" s="63"/>
      <c r="W61" s="63"/>
      <c r="X61" s="63"/>
      <c r="Y61" s="63"/>
      <c r="Z61" s="63"/>
      <c r="AA61" s="63"/>
      <c r="AB61" s="19"/>
      <c r="AC61" s="36"/>
      <c r="AD61" s="36"/>
      <c r="AE61" s="36"/>
      <c r="AF61" s="36" t="str">
        <f>IF(G61="","",G61)</f>
        <v/>
      </c>
      <c r="AG61" s="36" t="str">
        <f>IF(K61="","",K61)</f>
        <v/>
      </c>
      <c r="AH61" s="36" t="str">
        <f>IF(O61="","",O61)</f>
        <v/>
      </c>
      <c r="AI61" s="36" t="str">
        <f>IF(S61="","",S61)</f>
        <v/>
      </c>
      <c r="AJ61" s="36" t="str">
        <f>IF(W61="","",W61)</f>
        <v/>
      </c>
    </row>
    <row r="62" spans="1:36" x14ac:dyDescent="0.3">
      <c r="AB62" s="19"/>
    </row>
    <row r="63" spans="1:36" x14ac:dyDescent="0.3">
      <c r="A63" s="9" t="s">
        <v>410</v>
      </c>
      <c r="B63" s="9"/>
      <c r="C63" s="9"/>
      <c r="D63" s="9"/>
      <c r="E63" s="9"/>
      <c r="F63" s="9"/>
      <c r="G63" s="9"/>
      <c r="H63" s="9"/>
      <c r="I63" s="9"/>
      <c r="J63" s="9"/>
      <c r="K63" s="9"/>
      <c r="L63" s="9"/>
      <c r="M63" s="9"/>
      <c r="N63" s="9"/>
      <c r="O63" s="9"/>
      <c r="P63" s="9"/>
      <c r="Q63" s="9"/>
      <c r="R63" s="9"/>
      <c r="S63" s="9"/>
      <c r="T63" s="9"/>
      <c r="U63" s="9"/>
      <c r="V63" s="9"/>
      <c r="W63" s="9"/>
      <c r="X63" s="9"/>
      <c r="Y63" s="9"/>
      <c r="Z63" s="9"/>
      <c r="AA63" s="9"/>
      <c r="AB63" s="46"/>
      <c r="AC63" s="9"/>
      <c r="AD63" s="9"/>
      <c r="AE63" s="9"/>
      <c r="AF63" s="9"/>
      <c r="AG63" s="9"/>
      <c r="AH63" s="9"/>
      <c r="AI63" s="9"/>
      <c r="AJ63" s="9"/>
    </row>
    <row r="64" spans="1:36" x14ac:dyDescent="0.3">
      <c r="A64" s="20" t="s">
        <v>411</v>
      </c>
      <c r="B64" s="21" t="s">
        <v>214</v>
      </c>
      <c r="C64" s="22" t="s">
        <v>412</v>
      </c>
      <c r="D64" s="65">
        <v>851</v>
      </c>
      <c r="E64" s="65">
        <v>1202</v>
      </c>
      <c r="F64" s="65">
        <v>1746</v>
      </c>
      <c r="G64" s="65">
        <v>1779</v>
      </c>
      <c r="H64" s="65">
        <v>1663</v>
      </c>
      <c r="I64" s="65">
        <v>1966</v>
      </c>
      <c r="J64" s="65">
        <v>2247</v>
      </c>
      <c r="K64" s="65">
        <v>2013</v>
      </c>
      <c r="L64" s="65">
        <v>2310</v>
      </c>
      <c r="M64" s="65">
        <v>2438</v>
      </c>
      <c r="N64" s="65">
        <v>3152</v>
      </c>
      <c r="O64" s="65">
        <v>3054</v>
      </c>
      <c r="P64" s="65">
        <v>3406</v>
      </c>
      <c r="Q64" s="65">
        <v>3602</v>
      </c>
      <c r="R64" s="65">
        <v>4686</v>
      </c>
      <c r="S64" s="65">
        <v>5260</v>
      </c>
      <c r="T64" s="65">
        <v>5780</v>
      </c>
      <c r="U64" s="65">
        <v>6270</v>
      </c>
      <c r="V64" s="65">
        <v>7750</v>
      </c>
      <c r="W64" s="65"/>
      <c r="X64" s="65"/>
      <c r="Y64" s="65"/>
      <c r="Z64" s="65"/>
      <c r="AA64" s="65"/>
      <c r="AB64" s="19"/>
      <c r="AC64" s="66"/>
      <c r="AD64" s="66"/>
      <c r="AE64" s="66"/>
      <c r="AF64" s="66">
        <f>IF(COUNT(D64:G64)=0,"",SUM(D64:G64))</f>
        <v>5578</v>
      </c>
      <c r="AG64" s="66">
        <f>IF(COUNT(H64:K64)=0,"",SUM(H64:K64))</f>
        <v>7889</v>
      </c>
      <c r="AH64" s="66">
        <f>IF(COUNT(L64:O64)=0,"",SUM(L64:O64))</f>
        <v>10954</v>
      </c>
      <c r="AI64" s="66">
        <f>IF(COUNT(P64:S64)=0,"",SUM(P64:S64))</f>
        <v>16954</v>
      </c>
      <c r="AJ64" s="66">
        <f>IF(COUNT(T64:W64)=0,"",SUM(T64:W64))</f>
        <v>19800</v>
      </c>
    </row>
    <row r="65" spans="1:36" x14ac:dyDescent="0.3">
      <c r="A65" s="20" t="s">
        <v>413</v>
      </c>
      <c r="B65" s="21" t="s">
        <v>214</v>
      </c>
      <c r="C65" s="22" t="s">
        <v>412</v>
      </c>
      <c r="D65" s="65"/>
      <c r="E65" s="65"/>
      <c r="F65" s="65"/>
      <c r="G65" s="65"/>
      <c r="H65" s="65"/>
      <c r="I65" s="65"/>
      <c r="J65" s="65"/>
      <c r="K65" s="65"/>
      <c r="L65" s="65"/>
      <c r="M65" s="65"/>
      <c r="N65" s="65"/>
      <c r="O65" s="65"/>
      <c r="P65" s="65"/>
      <c r="Q65" s="65"/>
      <c r="R65" s="65"/>
      <c r="S65" s="65"/>
      <c r="T65" s="65"/>
      <c r="U65" s="65"/>
      <c r="V65" s="65"/>
      <c r="W65" s="65"/>
      <c r="X65" s="65"/>
      <c r="Y65" s="65"/>
      <c r="Z65" s="65"/>
      <c r="AA65" s="65"/>
      <c r="AB65" s="19"/>
      <c r="AC65" s="66"/>
      <c r="AD65" s="66"/>
      <c r="AE65" s="66"/>
      <c r="AF65" s="66" t="str">
        <f>IF(COUNT(D65:G65)=0,"",SUM(D65:G65))</f>
        <v/>
      </c>
      <c r="AG65" s="66" t="str">
        <f>IF(COUNT(H65:K65)=0,"",SUM(H65:K65))</f>
        <v/>
      </c>
      <c r="AH65" s="66" t="str">
        <f>IF(COUNT(L65:O65)=0,"",SUM(L65:O65))</f>
        <v/>
      </c>
      <c r="AI65" s="66" t="str">
        <f>IF(COUNT(P65:S65)=0,"",SUM(P65:S65))</f>
        <v/>
      </c>
      <c r="AJ65" s="66" t="str">
        <f>IF(COUNT(T65:W65)=0,"",SUM(T65:W65))</f>
        <v/>
      </c>
    </row>
    <row r="66" spans="1:36" x14ac:dyDescent="0.3">
      <c r="A66" s="20" t="s">
        <v>414</v>
      </c>
      <c r="B66" s="21" t="s">
        <v>214</v>
      </c>
      <c r="C66" s="22" t="s">
        <v>412</v>
      </c>
      <c r="D66" s="65"/>
      <c r="E66" s="65"/>
      <c r="F66" s="65"/>
      <c r="G66" s="65"/>
      <c r="H66" s="65"/>
      <c r="I66" s="65"/>
      <c r="J66" s="65"/>
      <c r="K66" s="65"/>
      <c r="L66" s="65"/>
      <c r="M66" s="65"/>
      <c r="N66" s="65"/>
      <c r="O66" s="65"/>
      <c r="P66" s="65"/>
      <c r="Q66" s="65"/>
      <c r="R66" s="65"/>
      <c r="S66" s="65"/>
      <c r="T66" s="65"/>
      <c r="U66" s="65"/>
      <c r="V66" s="65"/>
      <c r="W66" s="65"/>
      <c r="X66" s="65"/>
      <c r="Y66" s="65"/>
      <c r="Z66" s="65"/>
      <c r="AA66" s="65"/>
      <c r="AB66" s="19"/>
      <c r="AC66" s="66"/>
      <c r="AD66" s="66"/>
      <c r="AE66" s="66"/>
      <c r="AF66" s="66" t="str">
        <f>IF(COUNT(D66:G66)=0,"",SUM(D66:G66))</f>
        <v/>
      </c>
      <c r="AG66" s="66" t="str">
        <f>IF(COUNT(H66:K66)=0,"",SUM(H66:K66))</f>
        <v/>
      </c>
      <c r="AH66" s="66" t="str">
        <f>IF(COUNT(L66:O66)=0,"",SUM(L66:O66))</f>
        <v/>
      </c>
      <c r="AI66" s="66" t="str">
        <f>IF(COUNT(P66:S66)=0,"",SUM(P66:S66))</f>
        <v/>
      </c>
      <c r="AJ66" s="66" t="str">
        <f>IF(COUNT(T66:W66)=0,"",SUM(T66:W66))</f>
        <v/>
      </c>
    </row>
    <row r="67" spans="1:36" x14ac:dyDescent="0.3">
      <c r="A67" s="20" t="s">
        <v>415</v>
      </c>
      <c r="B67" s="21" t="s">
        <v>214</v>
      </c>
      <c r="C67" s="22" t="s">
        <v>412</v>
      </c>
      <c r="D67" s="65">
        <v>210</v>
      </c>
      <c r="E67" s="65">
        <v>290</v>
      </c>
      <c r="F67" s="65">
        <v>406</v>
      </c>
      <c r="G67" s="65"/>
      <c r="H67" s="65">
        <v>706</v>
      </c>
      <c r="I67" s="65">
        <v>780</v>
      </c>
      <c r="J67" s="65">
        <v>902</v>
      </c>
      <c r="K67" s="65"/>
      <c r="L67" s="65">
        <v>916</v>
      </c>
      <c r="M67" s="65">
        <v>989</v>
      </c>
      <c r="N67" s="65">
        <v>1174</v>
      </c>
      <c r="O67" s="65"/>
      <c r="P67" s="65">
        <v>903</v>
      </c>
      <c r="Q67" s="65">
        <v>1090</v>
      </c>
      <c r="R67" s="65">
        <v>1200</v>
      </c>
      <c r="S67" s="65">
        <v>1120</v>
      </c>
      <c r="T67" s="65">
        <v>970</v>
      </c>
      <c r="U67" s="65">
        <v>950</v>
      </c>
      <c r="V67" s="65"/>
      <c r="W67" s="65"/>
      <c r="X67" s="65"/>
      <c r="Y67" s="65"/>
      <c r="Z67" s="65"/>
      <c r="AA67" s="65"/>
      <c r="AB67" s="19"/>
      <c r="AC67" s="66"/>
      <c r="AD67" s="66"/>
      <c r="AE67" s="66"/>
      <c r="AF67" s="66">
        <f>IF(COUNT(D67:G67)=0,"",SUM(D67:G67))</f>
        <v>906</v>
      </c>
      <c r="AG67" s="66">
        <f>IF(COUNT(H67:K67)=0,"",SUM(H67:K67))</f>
        <v>2388</v>
      </c>
      <c r="AH67" s="66">
        <f>IF(COUNT(L67:O67)=0,"",SUM(L67:O67))</f>
        <v>3079</v>
      </c>
      <c r="AI67" s="66">
        <f>IF(COUNT(P67:S67)=0,"",SUM(P67:S67))</f>
        <v>4313</v>
      </c>
      <c r="AJ67" s="66">
        <f>IF(COUNT(T67:W67)=0,"",SUM(T67:W67))</f>
        <v>1920</v>
      </c>
    </row>
    <row r="68" spans="1:36" x14ac:dyDescent="0.3">
      <c r="A68" s="20" t="s">
        <v>416</v>
      </c>
      <c r="B68" s="21" t="s">
        <v>214</v>
      </c>
      <c r="C68" s="22"/>
      <c r="D68" s="66">
        <f t="shared" ref="D68:AA68" si="25">IFERROR(D64+D67,"")</f>
        <v>1061</v>
      </c>
      <c r="E68" s="66">
        <f t="shared" si="25"/>
        <v>1492</v>
      </c>
      <c r="F68" s="66">
        <f t="shared" si="25"/>
        <v>2152</v>
      </c>
      <c r="G68" s="66">
        <f t="shared" si="25"/>
        <v>1779</v>
      </c>
      <c r="H68" s="66">
        <f t="shared" si="25"/>
        <v>2369</v>
      </c>
      <c r="I68" s="66">
        <f t="shared" si="25"/>
        <v>2746</v>
      </c>
      <c r="J68" s="66">
        <f t="shared" si="25"/>
        <v>3149</v>
      </c>
      <c r="K68" s="66">
        <f t="shared" si="25"/>
        <v>2013</v>
      </c>
      <c r="L68" s="66">
        <f t="shared" si="25"/>
        <v>3226</v>
      </c>
      <c r="M68" s="66">
        <f t="shared" si="25"/>
        <v>3427</v>
      </c>
      <c r="N68" s="66">
        <f t="shared" si="25"/>
        <v>4326</v>
      </c>
      <c r="O68" s="66">
        <f t="shared" si="25"/>
        <v>3054</v>
      </c>
      <c r="P68" s="66">
        <f t="shared" si="25"/>
        <v>4309</v>
      </c>
      <c r="Q68" s="66">
        <f t="shared" si="25"/>
        <v>4692</v>
      </c>
      <c r="R68" s="66">
        <f t="shared" si="25"/>
        <v>5886</v>
      </c>
      <c r="S68" s="66">
        <f t="shared" si="25"/>
        <v>6380</v>
      </c>
      <c r="T68" s="66">
        <f t="shared" si="25"/>
        <v>6750</v>
      </c>
      <c r="U68" s="66">
        <f t="shared" si="25"/>
        <v>7220</v>
      </c>
      <c r="V68" s="66">
        <f t="shared" si="25"/>
        <v>7750</v>
      </c>
      <c r="W68" s="66">
        <f t="shared" si="25"/>
        <v>0</v>
      </c>
      <c r="X68" s="66">
        <f t="shared" si="25"/>
        <v>0</v>
      </c>
      <c r="Y68" s="66">
        <f t="shared" si="25"/>
        <v>0</v>
      </c>
      <c r="Z68" s="66">
        <f t="shared" si="25"/>
        <v>0</v>
      </c>
      <c r="AA68" s="66">
        <f t="shared" si="25"/>
        <v>0</v>
      </c>
      <c r="AB68" s="19"/>
      <c r="AC68" s="66"/>
      <c r="AD68" s="66"/>
      <c r="AE68" s="66"/>
      <c r="AF68" s="66">
        <f>IFERROR(AF64+AF67,"")</f>
        <v>6484</v>
      </c>
      <c r="AG68" s="66">
        <f>IFERROR(AG64+AG67,"")</f>
        <v>10277</v>
      </c>
      <c r="AH68" s="66">
        <f>IFERROR(AH64+AH67,"")</f>
        <v>14033</v>
      </c>
      <c r="AI68" s="66">
        <f>IFERROR(AI64+AI67,"")</f>
        <v>21267</v>
      </c>
      <c r="AJ68" s="66">
        <f>IFERROR(AJ64+AJ67,"")</f>
        <v>21720</v>
      </c>
    </row>
    <row r="69" spans="1:36" x14ac:dyDescent="0.3">
      <c r="A69" s="20" t="s">
        <v>417</v>
      </c>
      <c r="B69" s="21" t="s">
        <v>217</v>
      </c>
      <c r="C69" s="22"/>
      <c r="D69" s="23">
        <f t="shared" ref="D69:AA69" si="26">IFERROR(D68/D11,"")</f>
        <v>7.2196516058791502E-2</v>
      </c>
      <c r="E69" s="23">
        <f t="shared" si="26"/>
        <v>9.1934191878735597E-2</v>
      </c>
      <c r="F69" s="23">
        <f t="shared" si="26"/>
        <v>0.1053456040728412</v>
      </c>
      <c r="G69" s="23">
        <f t="shared" si="26"/>
        <v>9.8948773569164025E-2</v>
      </c>
      <c r="H69" s="23">
        <f t="shared" si="26"/>
        <v>0.10973689086529553</v>
      </c>
      <c r="I69" s="23">
        <f t="shared" si="26"/>
        <v>0.11706526836338833</v>
      </c>
      <c r="J69" s="23">
        <f t="shared" si="26"/>
        <v>0.11260504201680673</v>
      </c>
      <c r="K69" s="23">
        <f t="shared" si="26"/>
        <v>8.231782121534309E-2</v>
      </c>
      <c r="L69" s="23">
        <f t="shared" si="26"/>
        <v>0.12092360746682659</v>
      </c>
      <c r="M69" s="23">
        <f t="shared" si="26"/>
        <v>0.11642602344148123</v>
      </c>
      <c r="N69" s="23">
        <f t="shared" si="26"/>
        <v>0.1195192706174886</v>
      </c>
      <c r="O69" s="23">
        <f t="shared" si="26"/>
        <v>9.4953828933868112E-2</v>
      </c>
      <c r="P69" s="23">
        <f t="shared" si="26"/>
        <v>0.12975398235418109</v>
      </c>
      <c r="Q69" s="23">
        <f t="shared" si="26"/>
        <v>0.12845995893223819</v>
      </c>
      <c r="R69" s="23">
        <f t="shared" si="26"/>
        <v>0.12999403697078116</v>
      </c>
      <c r="S69" s="23">
        <f t="shared" si="26"/>
        <v>0.15553388590931252</v>
      </c>
      <c r="T69" s="23">
        <f t="shared" si="26"/>
        <v>0.16140602582496413</v>
      </c>
      <c r="U69" s="23">
        <f t="shared" si="26"/>
        <v>0.15219224283305227</v>
      </c>
      <c r="V69" s="23">
        <f t="shared" si="26"/>
        <v>0.13373597929249353</v>
      </c>
      <c r="W69" s="23">
        <f t="shared" si="26"/>
        <v>0</v>
      </c>
      <c r="X69" s="23" t="str">
        <f t="shared" si="26"/>
        <v/>
      </c>
      <c r="Y69" s="23" t="str">
        <f t="shared" si="26"/>
        <v/>
      </c>
      <c r="Z69" s="23" t="str">
        <f t="shared" si="26"/>
        <v/>
      </c>
      <c r="AA69" s="23" t="str">
        <f t="shared" si="26"/>
        <v/>
      </c>
      <c r="AB69" s="19"/>
      <c r="AC69" s="23"/>
      <c r="AD69" s="23"/>
      <c r="AE69" s="23"/>
      <c r="AF69" s="23">
        <f>IFERROR(AF68/AF11,"")</f>
        <v>9.3521029250562507E-2</v>
      </c>
      <c r="AG69" s="23">
        <f>IFERROR(AG68/AG11,"")</f>
        <v>0.10544406139702865</v>
      </c>
      <c r="AH69" s="23">
        <f>IFERROR(AH68/AH11,"")</f>
        <v>0.11274112042162432</v>
      </c>
      <c r="AI69" s="23">
        <f>IFERROR(AI68/AI11,"")</f>
        <v>0.13629809078848706</v>
      </c>
      <c r="AJ69" s="23">
        <f>IFERROR(AJ68/AJ11,"")</f>
        <v>0.10880673279230538</v>
      </c>
    </row>
    <row r="70" spans="1:36" x14ac:dyDescent="0.3">
      <c r="A70" s="20" t="s">
        <v>418</v>
      </c>
      <c r="B70" s="21" t="s">
        <v>405</v>
      </c>
      <c r="C70" s="22" t="s">
        <v>412</v>
      </c>
      <c r="D70" s="69">
        <v>7</v>
      </c>
      <c r="E70" s="69">
        <v>8</v>
      </c>
      <c r="F70" s="69">
        <v>9</v>
      </c>
      <c r="G70" s="69">
        <v>10</v>
      </c>
      <c r="H70" s="69">
        <v>10</v>
      </c>
      <c r="I70" s="69">
        <v>10</v>
      </c>
      <c r="J70" s="69">
        <v>10</v>
      </c>
      <c r="K70" s="69">
        <v>12</v>
      </c>
      <c r="L70" s="69">
        <v>13</v>
      </c>
      <c r="M70" s="69"/>
      <c r="N70" s="69"/>
      <c r="O70" s="69"/>
      <c r="P70" s="69"/>
      <c r="Q70" s="69"/>
      <c r="R70" s="69"/>
      <c r="S70" s="69"/>
      <c r="T70" s="69"/>
      <c r="U70" s="69"/>
      <c r="V70" s="69"/>
      <c r="W70" s="69"/>
      <c r="X70" s="69"/>
      <c r="Y70" s="69"/>
      <c r="Z70" s="69"/>
      <c r="AA70" s="69"/>
      <c r="AB70" s="19"/>
      <c r="AC70" s="41"/>
      <c r="AD70" s="41"/>
      <c r="AE70" s="41"/>
      <c r="AF70" s="41">
        <f>IF(G70="","",G70)</f>
        <v>10</v>
      </c>
      <c r="AG70" s="41">
        <f>IF(K70="","",K70)</f>
        <v>12</v>
      </c>
      <c r="AH70" s="41" t="str">
        <f>IF(O70="","",O70)</f>
        <v/>
      </c>
      <c r="AI70" s="41" t="str">
        <f>IF(S70="","",S70)</f>
        <v/>
      </c>
      <c r="AJ70" s="41" t="str">
        <f>IF(W70="","",W70)</f>
        <v/>
      </c>
    </row>
    <row r="71" spans="1:36" x14ac:dyDescent="0.3">
      <c r="AB71" s="19"/>
    </row>
    <row r="72" spans="1:36" x14ac:dyDescent="0.3">
      <c r="A72" s="5" t="s">
        <v>419</v>
      </c>
      <c r="B72" s="5"/>
      <c r="C72" s="5"/>
      <c r="D72" s="5"/>
      <c r="E72" s="5"/>
      <c r="F72" s="5"/>
      <c r="G72" s="5"/>
      <c r="H72" s="5"/>
      <c r="I72" s="5"/>
      <c r="J72" s="5"/>
      <c r="K72" s="5"/>
      <c r="L72" s="5"/>
      <c r="M72" s="5"/>
      <c r="N72" s="5"/>
      <c r="O72" s="5"/>
      <c r="P72" s="5"/>
      <c r="Q72" s="5"/>
      <c r="R72" s="5"/>
      <c r="S72" s="5"/>
      <c r="T72" s="5"/>
      <c r="U72" s="5"/>
      <c r="V72" s="5"/>
      <c r="W72" s="5"/>
      <c r="X72" s="5"/>
      <c r="Y72" s="5"/>
      <c r="Z72" s="5"/>
      <c r="AA72" s="5"/>
      <c r="AB72" s="44"/>
      <c r="AC72" s="5"/>
      <c r="AD72" s="5"/>
      <c r="AE72" s="5"/>
      <c r="AF72" s="5"/>
      <c r="AG72" s="5"/>
      <c r="AH72" s="5"/>
      <c r="AI72" s="5"/>
      <c r="AJ72" s="5"/>
    </row>
    <row r="73" spans="1:36" x14ac:dyDescent="0.3">
      <c r="A73" s="17" t="s">
        <v>420</v>
      </c>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45"/>
      <c r="AC73" s="17"/>
      <c r="AD73" s="17"/>
      <c r="AE73" s="17"/>
      <c r="AF73" s="17"/>
      <c r="AG73" s="17"/>
      <c r="AH73" s="17"/>
      <c r="AI73" s="17"/>
      <c r="AJ73" s="17"/>
    </row>
    <row r="74" spans="1:36" x14ac:dyDescent="0.3">
      <c r="A74" s="20" t="s">
        <v>243</v>
      </c>
      <c r="B74" s="21" t="s">
        <v>214</v>
      </c>
      <c r="C74" s="22" t="s">
        <v>419</v>
      </c>
      <c r="D74" s="65"/>
      <c r="E74" s="65"/>
      <c r="F74" s="65"/>
      <c r="G74" s="65">
        <v>214</v>
      </c>
      <c r="H74" s="65"/>
      <c r="I74" s="65"/>
      <c r="J74" s="65">
        <v>1012</v>
      </c>
      <c r="K74" s="65"/>
      <c r="L74" s="65"/>
      <c r="M74" s="65"/>
      <c r="N74" s="65">
        <v>1700</v>
      </c>
      <c r="O74" s="65"/>
      <c r="P74" s="65"/>
      <c r="Q74" s="65"/>
      <c r="R74" s="65">
        <v>2597</v>
      </c>
      <c r="S74" s="65"/>
      <c r="T74" s="65"/>
      <c r="U74" s="65"/>
      <c r="V74" s="65"/>
      <c r="W74" s="65"/>
      <c r="X74" s="65"/>
      <c r="Y74" s="65"/>
      <c r="Z74" s="65"/>
      <c r="AA74" s="65"/>
      <c r="AB74" s="19"/>
      <c r="AC74" s="66"/>
      <c r="AD74" s="66"/>
      <c r="AE74" s="66"/>
      <c r="AF74" s="66">
        <f>IF(COUNT(D74:G74)=0,"",SUM(D74:G74))</f>
        <v>214</v>
      </c>
      <c r="AG74" s="66">
        <f>IF(COUNT(H74:K74)=0,"",SUM(H74:K74))</f>
        <v>1012</v>
      </c>
      <c r="AH74" s="66">
        <f>IF(COUNT(L74:O74)=0,"",SUM(L74:O74))</f>
        <v>1700</v>
      </c>
      <c r="AI74" s="66">
        <f>IF(COUNT(P74:S74)=0,"",SUM(P74:S74))</f>
        <v>2597</v>
      </c>
      <c r="AJ74" s="66" t="str">
        <f>IF(COUNT(T74:W74)=0,"",SUM(T74:W74))</f>
        <v/>
      </c>
    </row>
    <row r="75" spans="1:36" x14ac:dyDescent="0.3">
      <c r="A75" s="20" t="s">
        <v>216</v>
      </c>
      <c r="B75" s="21" t="s">
        <v>217</v>
      </c>
      <c r="C75" s="22"/>
      <c r="D75" s="64"/>
      <c r="E75" s="64"/>
      <c r="F75" s="64"/>
      <c r="G75" s="64"/>
      <c r="H75" s="23" t="str">
        <f t="shared" ref="H75:AA75" si="27">IFERROR(H74/D74-1,"")</f>
        <v/>
      </c>
      <c r="I75" s="23" t="str">
        <f t="shared" si="27"/>
        <v/>
      </c>
      <c r="J75" s="23" t="str">
        <f t="shared" si="27"/>
        <v/>
      </c>
      <c r="K75" s="23">
        <f t="shared" si="27"/>
        <v>-1</v>
      </c>
      <c r="L75" s="23" t="str">
        <f t="shared" si="27"/>
        <v/>
      </c>
      <c r="M75" s="23" t="str">
        <f t="shared" si="27"/>
        <v/>
      </c>
      <c r="N75" s="23">
        <f t="shared" si="27"/>
        <v>0.67984189723320165</v>
      </c>
      <c r="O75" s="23" t="str">
        <f t="shared" si="27"/>
        <v/>
      </c>
      <c r="P75" s="23" t="str">
        <f t="shared" si="27"/>
        <v/>
      </c>
      <c r="Q75" s="23" t="str">
        <f t="shared" si="27"/>
        <v/>
      </c>
      <c r="R75" s="23">
        <f t="shared" si="27"/>
        <v>0.52764705882352936</v>
      </c>
      <c r="S75" s="23" t="str">
        <f t="shared" si="27"/>
        <v/>
      </c>
      <c r="T75" s="23" t="str">
        <f t="shared" si="27"/>
        <v/>
      </c>
      <c r="U75" s="23" t="str">
        <f t="shared" si="27"/>
        <v/>
      </c>
      <c r="V75" s="23">
        <f t="shared" si="27"/>
        <v>-1</v>
      </c>
      <c r="W75" s="23" t="str">
        <f t="shared" si="27"/>
        <v/>
      </c>
      <c r="X75" s="23" t="str">
        <f t="shared" si="27"/>
        <v/>
      </c>
      <c r="Y75" s="23" t="str">
        <f t="shared" si="27"/>
        <v/>
      </c>
      <c r="Z75" s="23" t="str">
        <f t="shared" si="27"/>
        <v/>
      </c>
      <c r="AA75" s="23" t="str">
        <f t="shared" si="27"/>
        <v/>
      </c>
      <c r="AB75" s="19"/>
      <c r="AC75" s="64"/>
      <c r="AD75" s="64"/>
      <c r="AE75" s="64"/>
      <c r="AF75" s="23" t="str">
        <f>IFERROR(AF74/AE74-1,"")</f>
        <v/>
      </c>
      <c r="AG75" s="23">
        <f>IFERROR(AG74/AF74-1,"")</f>
        <v>3.7289719626168223</v>
      </c>
      <c r="AH75" s="23">
        <f>IFERROR(AH74/AG74-1,"")</f>
        <v>0.67984189723320165</v>
      </c>
      <c r="AI75" s="23">
        <f>IFERROR(AI74/AH74-1,"")</f>
        <v>0.52764705882352936</v>
      </c>
      <c r="AJ75" s="23" t="str">
        <f>IFERROR(AJ74/AI74-1,"")</f>
        <v/>
      </c>
    </row>
    <row r="76" spans="1:36" x14ac:dyDescent="0.3">
      <c r="A76" s="20" t="s">
        <v>244</v>
      </c>
      <c r="B76" s="21" t="s">
        <v>214</v>
      </c>
      <c r="C76" s="22" t="s">
        <v>419</v>
      </c>
      <c r="D76" s="65"/>
      <c r="E76" s="65"/>
      <c r="F76" s="65"/>
      <c r="G76" s="65"/>
      <c r="H76" s="65"/>
      <c r="I76" s="65"/>
      <c r="J76" s="65"/>
      <c r="K76" s="65"/>
      <c r="L76" s="65"/>
      <c r="M76" s="65"/>
      <c r="N76" s="65"/>
      <c r="O76" s="65"/>
      <c r="P76" s="65"/>
      <c r="Q76" s="65"/>
      <c r="R76" s="65"/>
      <c r="S76" s="65"/>
      <c r="T76" s="65"/>
      <c r="U76" s="65"/>
      <c r="V76" s="65"/>
      <c r="W76" s="65"/>
      <c r="X76" s="65"/>
      <c r="Y76" s="65"/>
      <c r="Z76" s="65"/>
      <c r="AA76" s="65"/>
      <c r="AB76" s="19"/>
      <c r="AC76" s="66"/>
      <c r="AD76" s="66"/>
      <c r="AE76" s="66"/>
      <c r="AF76" s="66" t="str">
        <f>IF(COUNT(D76:G76)=0,"",SUM(D76:G76))</f>
        <v/>
      </c>
      <c r="AG76" s="66" t="str">
        <f>IF(COUNT(H76:K76)=0,"",SUM(H76:K76))</f>
        <v/>
      </c>
      <c r="AH76" s="66" t="str">
        <f>IF(COUNT(L76:O76)=0,"",SUM(L76:O76))</f>
        <v/>
      </c>
      <c r="AI76" s="66" t="str">
        <f>IF(COUNT(P76:S76)=0,"",SUM(P76:S76))</f>
        <v/>
      </c>
      <c r="AJ76" s="66" t="str">
        <f>IF(COUNT(T76:W76)=0,"",SUM(T76:W76))</f>
        <v/>
      </c>
    </row>
    <row r="77" spans="1:36" x14ac:dyDescent="0.3">
      <c r="A77" s="20" t="s">
        <v>421</v>
      </c>
      <c r="B77" s="21" t="s">
        <v>217</v>
      </c>
      <c r="C77" s="22"/>
      <c r="D77" s="23" t="str">
        <f t="shared" ref="D77:AA77" si="28">IFERROR(D74/D40,"")</f>
        <v/>
      </c>
      <c r="E77" s="23" t="str">
        <f t="shared" si="28"/>
        <v/>
      </c>
      <c r="F77" s="23" t="str">
        <f t="shared" si="28"/>
        <v/>
      </c>
      <c r="G77" s="23" t="str">
        <f t="shared" si="28"/>
        <v/>
      </c>
      <c r="H77" s="23" t="str">
        <f t="shared" si="28"/>
        <v/>
      </c>
      <c r="I77" s="23" t="str">
        <f t="shared" si="28"/>
        <v/>
      </c>
      <c r="J77" s="23" t="str">
        <f t="shared" si="28"/>
        <v/>
      </c>
      <c r="K77" s="23" t="str">
        <f t="shared" si="28"/>
        <v/>
      </c>
      <c r="L77" s="23">
        <f t="shared" si="28"/>
        <v>0</v>
      </c>
      <c r="M77" s="23">
        <f t="shared" si="28"/>
        <v>0</v>
      </c>
      <c r="N77" s="23">
        <f t="shared" si="28"/>
        <v>6.615815691158157E-2</v>
      </c>
      <c r="O77" s="23">
        <f t="shared" si="28"/>
        <v>0</v>
      </c>
      <c r="P77" s="23">
        <f t="shared" si="28"/>
        <v>0</v>
      </c>
      <c r="Q77" s="23">
        <f t="shared" si="28"/>
        <v>0</v>
      </c>
      <c r="R77" s="23">
        <f t="shared" si="28"/>
        <v>7.6609929496445323E-2</v>
      </c>
      <c r="S77" s="23">
        <f t="shared" si="28"/>
        <v>0</v>
      </c>
      <c r="T77" s="23">
        <f t="shared" si="28"/>
        <v>0</v>
      </c>
      <c r="U77" s="23">
        <f t="shared" si="28"/>
        <v>0</v>
      </c>
      <c r="V77" s="23">
        <f t="shared" si="28"/>
        <v>0</v>
      </c>
      <c r="W77" s="23">
        <f t="shared" si="28"/>
        <v>0</v>
      </c>
      <c r="X77" s="23" t="str">
        <f t="shared" si="28"/>
        <v/>
      </c>
      <c r="Y77" s="23" t="str">
        <f t="shared" si="28"/>
        <v/>
      </c>
      <c r="Z77" s="23" t="str">
        <f t="shared" si="28"/>
        <v/>
      </c>
      <c r="AA77" s="23" t="str">
        <f t="shared" si="28"/>
        <v/>
      </c>
      <c r="AB77" s="19"/>
      <c r="AC77" s="23"/>
      <c r="AD77" s="23"/>
      <c r="AE77" s="23"/>
      <c r="AF77" s="23" t="str">
        <f>IFERROR(AF74/AF40,"")</f>
        <v/>
      </c>
      <c r="AG77" s="23" t="str">
        <f>IFERROR(AG74/AG40,"")</f>
        <v/>
      </c>
      <c r="AH77" s="23">
        <f>IFERROR(AH74/AH40,"")</f>
        <v>1.8773535940278068E-2</v>
      </c>
      <c r="AI77" s="23">
        <f>IFERROR(AI74/AI40,"")</f>
        <v>2.2056887575271147E-2</v>
      </c>
      <c r="AJ77" s="23" t="str">
        <f>IFERROR(AJ74/AJ40,"")</f>
        <v/>
      </c>
    </row>
    <row r="78" spans="1:36" x14ac:dyDescent="0.3">
      <c r="A78" s="9" t="s">
        <v>422</v>
      </c>
      <c r="B78" s="9"/>
      <c r="C78" s="9"/>
      <c r="D78" s="9"/>
      <c r="E78" s="9"/>
      <c r="F78" s="9"/>
      <c r="G78" s="9"/>
      <c r="H78" s="9"/>
      <c r="I78" s="9"/>
      <c r="J78" s="9"/>
      <c r="K78" s="9"/>
      <c r="L78" s="9"/>
      <c r="M78" s="9"/>
      <c r="N78" s="9"/>
      <c r="O78" s="9"/>
      <c r="P78" s="9"/>
      <c r="Q78" s="9"/>
      <c r="R78" s="9"/>
      <c r="S78" s="9"/>
      <c r="T78" s="9"/>
      <c r="U78" s="9"/>
      <c r="V78" s="9"/>
      <c r="W78" s="9"/>
      <c r="X78" s="9"/>
      <c r="Y78" s="9"/>
      <c r="Z78" s="9"/>
      <c r="AA78" s="9"/>
      <c r="AB78" s="46"/>
      <c r="AC78" s="9"/>
      <c r="AD78" s="9"/>
      <c r="AE78" s="9"/>
      <c r="AF78" s="9"/>
      <c r="AG78" s="9"/>
      <c r="AH78" s="9"/>
      <c r="AI78" s="9"/>
      <c r="AJ78" s="9"/>
    </row>
    <row r="79" spans="1:36" x14ac:dyDescent="0.3">
      <c r="A79" s="20" t="s">
        <v>423</v>
      </c>
      <c r="B79" s="21" t="s">
        <v>214</v>
      </c>
      <c r="C79" s="22"/>
      <c r="D79" s="66" t="str">
        <f t="shared" ref="D79:AA79" si="29">IF(OR(ISBLANK(D40),ISBLANK(D74)),"",IFERROR(D40-D74,""))</f>
        <v/>
      </c>
      <c r="E79" s="66" t="str">
        <f t="shared" si="29"/>
        <v/>
      </c>
      <c r="F79" s="66" t="str">
        <f t="shared" si="29"/>
        <v/>
      </c>
      <c r="G79" s="66" t="str">
        <f t="shared" si="29"/>
        <v/>
      </c>
      <c r="H79" s="66" t="str">
        <f t="shared" si="29"/>
        <v/>
      </c>
      <c r="I79" s="66" t="str">
        <f t="shared" si="29"/>
        <v/>
      </c>
      <c r="J79" s="66" t="str">
        <f t="shared" si="29"/>
        <v/>
      </c>
      <c r="K79" s="66" t="str">
        <f t="shared" si="29"/>
        <v/>
      </c>
      <c r="L79" s="66" t="str">
        <f t="shared" si="29"/>
        <v/>
      </c>
      <c r="M79" s="66" t="str">
        <f t="shared" si="29"/>
        <v/>
      </c>
      <c r="N79" s="66">
        <f t="shared" si="29"/>
        <v>23996</v>
      </c>
      <c r="O79" s="66" t="str">
        <f t="shared" si="29"/>
        <v/>
      </c>
      <c r="P79" s="66" t="str">
        <f t="shared" si="29"/>
        <v/>
      </c>
      <c r="Q79" s="66" t="str">
        <f t="shared" si="29"/>
        <v/>
      </c>
      <c r="R79" s="66">
        <f t="shared" si="29"/>
        <v>31302</v>
      </c>
      <c r="S79" s="66" t="str">
        <f t="shared" si="29"/>
        <v/>
      </c>
      <c r="T79" s="66" t="str">
        <f t="shared" si="29"/>
        <v/>
      </c>
      <c r="U79" s="66" t="str">
        <f t="shared" si="29"/>
        <v/>
      </c>
      <c r="V79" s="66" t="str">
        <f t="shared" si="29"/>
        <v/>
      </c>
      <c r="W79" s="66" t="str">
        <f t="shared" si="29"/>
        <v/>
      </c>
      <c r="X79" s="66" t="str">
        <f t="shared" si="29"/>
        <v/>
      </c>
      <c r="Y79" s="66" t="str">
        <f t="shared" si="29"/>
        <v/>
      </c>
      <c r="Z79" s="66" t="str">
        <f t="shared" si="29"/>
        <v/>
      </c>
      <c r="AA79" s="66" t="str">
        <f t="shared" si="29"/>
        <v/>
      </c>
      <c r="AB79" s="19"/>
      <c r="AC79" s="66"/>
      <c r="AD79" s="66"/>
      <c r="AE79" s="66"/>
      <c r="AF79" s="66" t="str">
        <f>IF(OR(ISBLANK(AF40),ISBLANK(AF74)),"",IFERROR(AF40-AF74,""))</f>
        <v/>
      </c>
      <c r="AG79" s="66" t="str">
        <f>IF(OR(ISBLANK(AG40),ISBLANK(AG74)),"",IFERROR(AG40-AG74,""))</f>
        <v/>
      </c>
      <c r="AH79" s="66">
        <f>IF(OR(ISBLANK(AH40),ISBLANK(AH74)),"",IFERROR(AH40-AH74,""))</f>
        <v>88853</v>
      </c>
      <c r="AI79" s="66">
        <f>IF(OR(ISBLANK(AI40),ISBLANK(AI74)),"",IFERROR(AI40-AI74,""))</f>
        <v>115144</v>
      </c>
      <c r="AJ79" s="66" t="str">
        <f>IF(OR(ISBLANK(AJ40),ISBLANK(AJ74)),"",IFERROR(AJ40-AJ74,""))</f>
        <v/>
      </c>
    </row>
    <row r="80" spans="1:36" x14ac:dyDescent="0.3">
      <c r="A80" s="20" t="s">
        <v>424</v>
      </c>
      <c r="B80" s="21" t="s">
        <v>214</v>
      </c>
      <c r="C80" s="22"/>
      <c r="D80" s="66" t="str">
        <f t="shared" ref="D80:AA80" si="30">IF(OR(ISBLANK(D43),ISBLANK(D76)),"",IFERROR(D43-D76,""))</f>
        <v/>
      </c>
      <c r="E80" s="66" t="str">
        <f t="shared" si="30"/>
        <v/>
      </c>
      <c r="F80" s="66" t="str">
        <f t="shared" si="30"/>
        <v/>
      </c>
      <c r="G80" s="66" t="str">
        <f t="shared" si="30"/>
        <v/>
      </c>
      <c r="H80" s="66" t="str">
        <f t="shared" si="30"/>
        <v/>
      </c>
      <c r="I80" s="66" t="str">
        <f t="shared" si="30"/>
        <v/>
      </c>
      <c r="J80" s="66" t="str">
        <f t="shared" si="30"/>
        <v/>
      </c>
      <c r="K80" s="66" t="str">
        <f t="shared" si="30"/>
        <v/>
      </c>
      <c r="L80" s="66" t="str">
        <f t="shared" si="30"/>
        <v/>
      </c>
      <c r="M80" s="66" t="str">
        <f t="shared" si="30"/>
        <v/>
      </c>
      <c r="N80" s="66" t="str">
        <f t="shared" si="30"/>
        <v/>
      </c>
      <c r="O80" s="66" t="str">
        <f t="shared" si="30"/>
        <v/>
      </c>
      <c r="P80" s="66" t="str">
        <f t="shared" si="30"/>
        <v/>
      </c>
      <c r="Q80" s="66" t="str">
        <f t="shared" si="30"/>
        <v/>
      </c>
      <c r="R80" s="66" t="str">
        <f t="shared" si="30"/>
        <v/>
      </c>
      <c r="S80" s="66" t="str">
        <f t="shared" si="30"/>
        <v/>
      </c>
      <c r="T80" s="66" t="str">
        <f t="shared" si="30"/>
        <v/>
      </c>
      <c r="U80" s="66" t="str">
        <f t="shared" si="30"/>
        <v/>
      </c>
      <c r="V80" s="66" t="str">
        <f t="shared" si="30"/>
        <v/>
      </c>
      <c r="W80" s="66" t="str">
        <f t="shared" si="30"/>
        <v/>
      </c>
      <c r="X80" s="66" t="str">
        <f t="shared" si="30"/>
        <v/>
      </c>
      <c r="Y80" s="66" t="str">
        <f t="shared" si="30"/>
        <v/>
      </c>
      <c r="Z80" s="66" t="str">
        <f t="shared" si="30"/>
        <v/>
      </c>
      <c r="AA80" s="66" t="str">
        <f t="shared" si="30"/>
        <v/>
      </c>
      <c r="AB80" s="19"/>
      <c r="AC80" s="66"/>
      <c r="AD80" s="66"/>
      <c r="AE80" s="66"/>
      <c r="AF80" s="66" t="str">
        <f>IF(OR(ISBLANK(AF43),ISBLANK(AF76)),"",IFERROR(AF43-AF76,""))</f>
        <v/>
      </c>
      <c r="AG80" s="66" t="str">
        <f>IF(OR(ISBLANK(AG43),ISBLANK(AG76)),"",IFERROR(AG43-AG76,""))</f>
        <v/>
      </c>
      <c r="AH80" s="66" t="str">
        <f>IF(OR(ISBLANK(AH43),ISBLANK(AH76)),"",IFERROR(AH43-AH76,""))</f>
        <v/>
      </c>
      <c r="AI80" s="66" t="str">
        <f>IF(OR(ISBLANK(AI43),ISBLANK(AI76)),"",IFERROR(AI43-AI76,""))</f>
        <v/>
      </c>
      <c r="AJ80" s="66" t="str">
        <f>IF(OR(ISBLANK(AJ43),ISBLANK(AJ76)),"",IFERROR(AJ43-AJ76,""))</f>
        <v/>
      </c>
    </row>
    <row r="81" spans="1:36" x14ac:dyDescent="0.3">
      <c r="A81" s="20" t="s">
        <v>425</v>
      </c>
      <c r="B81" s="21" t="s">
        <v>405</v>
      </c>
      <c r="C81" s="22" t="s">
        <v>419</v>
      </c>
      <c r="D81" s="69"/>
      <c r="E81" s="69"/>
      <c r="F81" s="69">
        <v>4153</v>
      </c>
      <c r="G81" s="69">
        <v>18806</v>
      </c>
      <c r="H81" s="69">
        <v>45030</v>
      </c>
      <c r="I81" s="69">
        <v>73412</v>
      </c>
      <c r="J81" s="69">
        <v>92415</v>
      </c>
      <c r="K81" s="69"/>
      <c r="L81" s="69">
        <v>119564</v>
      </c>
      <c r="M81" s="69">
        <v>129431</v>
      </c>
      <c r="N81" s="69">
        <v>146000</v>
      </c>
      <c r="O81" s="69"/>
      <c r="P81" s="69">
        <v>210000</v>
      </c>
      <c r="Q81" s="69">
        <v>235000</v>
      </c>
      <c r="R81" s="69">
        <v>256000</v>
      </c>
      <c r="S81" s="69">
        <v>276000</v>
      </c>
      <c r="T81" s="69">
        <v>305000</v>
      </c>
      <c r="U81" s="69">
        <v>332000</v>
      </c>
      <c r="V81" s="69">
        <v>359000</v>
      </c>
      <c r="W81" s="69"/>
      <c r="X81" s="69"/>
      <c r="Y81" s="69"/>
      <c r="Z81" s="69"/>
      <c r="AA81" s="69"/>
      <c r="AB81" s="19"/>
      <c r="AC81" s="41"/>
      <c r="AD81" s="41"/>
      <c r="AE81" s="41"/>
      <c r="AF81" s="41">
        <f>IF(G81="","",G81)</f>
        <v>18806</v>
      </c>
      <c r="AG81" s="41" t="str">
        <f>IF(K81="","",K81)</f>
        <v/>
      </c>
      <c r="AH81" s="41" t="str">
        <f>IF(O81="","",O81)</f>
        <v/>
      </c>
      <c r="AI81" s="41">
        <f>IF(S81="","",S81)</f>
        <v>276000</v>
      </c>
      <c r="AJ81" s="41" t="str">
        <f>IF(W81="","",W81)</f>
        <v/>
      </c>
    </row>
    <row r="82" spans="1:36" x14ac:dyDescent="0.3">
      <c r="A82" s="20" t="s">
        <v>426</v>
      </c>
      <c r="B82" s="21" t="s">
        <v>217</v>
      </c>
      <c r="C82" s="22" t="s">
        <v>419</v>
      </c>
      <c r="D82" s="24"/>
      <c r="E82" s="24"/>
      <c r="F82" s="24">
        <v>0.36</v>
      </c>
      <c r="G82" s="24">
        <v>0.46</v>
      </c>
      <c r="H82" s="24"/>
      <c r="I82" s="24"/>
      <c r="J82" s="24">
        <v>0.69</v>
      </c>
      <c r="K82" s="24">
        <v>0.71</v>
      </c>
      <c r="L82" s="24"/>
      <c r="M82" s="24"/>
      <c r="N82" s="24"/>
      <c r="O82" s="24"/>
      <c r="P82" s="24"/>
      <c r="Q82" s="24"/>
      <c r="R82" s="24"/>
      <c r="S82" s="24"/>
      <c r="T82" s="24"/>
      <c r="U82" s="24"/>
      <c r="V82" s="24"/>
      <c r="W82" s="24"/>
      <c r="X82" s="24"/>
      <c r="Y82" s="24"/>
      <c r="Z82" s="24"/>
      <c r="AA82" s="24"/>
      <c r="AB82" s="19"/>
      <c r="AC82" s="23"/>
      <c r="AD82" s="23"/>
      <c r="AE82" s="23"/>
      <c r="AF82" s="23">
        <f>IF(G82="","",G82)</f>
        <v>0.46</v>
      </c>
      <c r="AG82" s="23">
        <f>IF(K82="","",K82)</f>
        <v>0.71</v>
      </c>
      <c r="AH82" s="23" t="str">
        <f>IF(O82="","",O82)</f>
        <v/>
      </c>
      <c r="AI82" s="23" t="str">
        <f>IF(S82="","",S82)</f>
        <v/>
      </c>
      <c r="AJ82" s="23" t="str">
        <f>IF(W82="","",W82)</f>
        <v/>
      </c>
    </row>
    <row r="83" spans="1:36" x14ac:dyDescent="0.3">
      <c r="A83" s="20" t="s">
        <v>427</v>
      </c>
      <c r="B83" s="21" t="s">
        <v>405</v>
      </c>
      <c r="C83" s="22" t="s">
        <v>419</v>
      </c>
      <c r="D83" s="69"/>
      <c r="E83" s="69"/>
      <c r="F83" s="69">
        <v>88</v>
      </c>
      <c r="G83" s="69">
        <v>302</v>
      </c>
      <c r="H83" s="69">
        <v>516</v>
      </c>
      <c r="I83" s="69">
        <v>659</v>
      </c>
      <c r="J83" s="69">
        <v>652</v>
      </c>
      <c r="K83" s="69">
        <v>700</v>
      </c>
      <c r="L83" s="69">
        <v>699</v>
      </c>
      <c r="M83" s="69">
        <v>770</v>
      </c>
      <c r="N83" s="69"/>
      <c r="O83" s="69"/>
      <c r="P83" s="69"/>
      <c r="Q83" s="69"/>
      <c r="R83" s="69">
        <v>1100</v>
      </c>
      <c r="S83" s="69">
        <v>1100</v>
      </c>
      <c r="T83" s="69"/>
      <c r="U83" s="69"/>
      <c r="V83" s="69"/>
      <c r="W83" s="69"/>
      <c r="X83" s="69"/>
      <c r="Y83" s="69"/>
      <c r="Z83" s="69"/>
      <c r="AA83" s="69"/>
      <c r="AB83" s="19"/>
      <c r="AC83" s="41"/>
      <c r="AD83" s="41"/>
      <c r="AE83" s="41"/>
      <c r="AF83" s="41">
        <f>IF(G83="","",G83)</f>
        <v>302</v>
      </c>
      <c r="AG83" s="41">
        <f>IF(K83="","",K83)</f>
        <v>700</v>
      </c>
      <c r="AH83" s="41" t="str">
        <f>IF(O83="","",O83)</f>
        <v/>
      </c>
      <c r="AI83" s="41">
        <f>IF(S83="","",S83)</f>
        <v>1100</v>
      </c>
      <c r="AJ83" s="41" t="str">
        <f>IF(W83="","",W83)</f>
        <v/>
      </c>
    </row>
    <row r="84" spans="1:36" x14ac:dyDescent="0.3">
      <c r="A84" s="20" t="s">
        <v>428</v>
      </c>
      <c r="B84" s="21" t="s">
        <v>405</v>
      </c>
      <c r="C84" s="22" t="s">
        <v>419</v>
      </c>
      <c r="D84" s="69"/>
      <c r="E84" s="69"/>
      <c r="F84" s="69">
        <v>31</v>
      </c>
      <c r="G84" s="69">
        <v>134</v>
      </c>
      <c r="H84" s="69">
        <v>165</v>
      </c>
      <c r="I84" s="69">
        <v>182</v>
      </c>
      <c r="J84" s="69">
        <v>185</v>
      </c>
      <c r="K84" s="69">
        <v>190</v>
      </c>
      <c r="L84" s="69">
        <v>188</v>
      </c>
      <c r="M84" s="69"/>
      <c r="N84" s="69"/>
      <c r="O84" s="69"/>
      <c r="P84" s="69"/>
      <c r="Q84" s="69"/>
      <c r="R84" s="69"/>
      <c r="S84" s="69"/>
      <c r="T84" s="69"/>
      <c r="U84" s="69"/>
      <c r="V84" s="69"/>
      <c r="W84" s="69"/>
      <c r="X84" s="69"/>
      <c r="Y84" s="69"/>
      <c r="Z84" s="69"/>
      <c r="AA84" s="69"/>
      <c r="AB84" s="19"/>
      <c r="AC84" s="41"/>
      <c r="AD84" s="41"/>
      <c r="AE84" s="41"/>
      <c r="AF84" s="41">
        <f>IF(G84="","",G84)</f>
        <v>134</v>
      </c>
      <c r="AG84" s="41">
        <f>IF(K84="","",K84)</f>
        <v>190</v>
      </c>
      <c r="AH84" s="41" t="str">
        <f>IF(O84="","",O84)</f>
        <v/>
      </c>
      <c r="AI84" s="41" t="str">
        <f>IF(S84="","",S84)</f>
        <v/>
      </c>
      <c r="AJ84" s="41" t="str">
        <f>IF(W84="","",W84)</f>
        <v/>
      </c>
    </row>
    <row r="85" spans="1:36" x14ac:dyDescent="0.3">
      <c r="A85" s="20" t="s">
        <v>429</v>
      </c>
      <c r="B85" s="21" t="s">
        <v>430</v>
      </c>
      <c r="C85" s="22" t="s">
        <v>419</v>
      </c>
      <c r="D85" s="63"/>
      <c r="E85" s="63"/>
      <c r="F85" s="63">
        <v>8.8000000000000007</v>
      </c>
      <c r="G85" s="63">
        <v>48.6</v>
      </c>
      <c r="H85" s="63">
        <v>103.7</v>
      </c>
      <c r="I85" s="63">
        <v>172.7</v>
      </c>
      <c r="J85" s="63">
        <v>216</v>
      </c>
      <c r="K85" s="63">
        <v>728.9</v>
      </c>
      <c r="L85" s="63">
        <v>263.89999999999998</v>
      </c>
      <c r="M85" s="63">
        <v>280</v>
      </c>
      <c r="N85" s="63">
        <v>337</v>
      </c>
      <c r="O85" s="63"/>
      <c r="P85" s="63"/>
      <c r="Q85" s="63">
        <v>406</v>
      </c>
      <c r="R85" s="63"/>
      <c r="S85" s="63"/>
      <c r="T85" s="63"/>
      <c r="U85" s="63"/>
      <c r="V85" s="63"/>
      <c r="W85" s="63"/>
      <c r="X85" s="63"/>
      <c r="Y85" s="63"/>
      <c r="Z85" s="63"/>
      <c r="AA85" s="63"/>
      <c r="AB85" s="19"/>
      <c r="AC85" s="36"/>
      <c r="AD85" s="36"/>
      <c r="AE85" s="36"/>
      <c r="AF85" s="36">
        <f>IF(COUNT(D85:G85)=0,"",SUM(D85:G85))</f>
        <v>57.400000000000006</v>
      </c>
      <c r="AG85" s="36">
        <f>IF(COUNT(H85:K85)=0,"",SUM(H85:K85))</f>
        <v>1221.3</v>
      </c>
      <c r="AH85" s="36">
        <f>IF(COUNT(L85:O85)=0,"",SUM(L85:O85))</f>
        <v>880.9</v>
      </c>
      <c r="AI85" s="36">
        <f>IF(COUNT(P85:S85)=0,"",SUM(P85:S85))</f>
        <v>406</v>
      </c>
      <c r="AJ85" s="36" t="str">
        <f>IF(COUNT(T85:W85)=0,"",SUM(T85:W85))</f>
        <v/>
      </c>
    </row>
    <row r="86" spans="1:36" x14ac:dyDescent="0.3">
      <c r="AB86" s="19"/>
    </row>
    <row r="87" spans="1:36" x14ac:dyDescent="0.3">
      <c r="A87" s="5" t="s">
        <v>231</v>
      </c>
      <c r="B87" s="5"/>
      <c r="C87" s="5"/>
      <c r="D87" s="5"/>
      <c r="E87" s="5"/>
      <c r="F87" s="5"/>
      <c r="G87" s="5"/>
      <c r="H87" s="5"/>
      <c r="I87" s="5"/>
      <c r="J87" s="5"/>
      <c r="K87" s="5"/>
      <c r="L87" s="5"/>
      <c r="M87" s="5"/>
      <c r="N87" s="5"/>
      <c r="O87" s="5"/>
      <c r="P87" s="5"/>
      <c r="Q87" s="5"/>
      <c r="R87" s="5"/>
      <c r="S87" s="5"/>
      <c r="T87" s="5"/>
      <c r="U87" s="5"/>
      <c r="V87" s="5"/>
      <c r="W87" s="5"/>
      <c r="X87" s="5"/>
      <c r="Y87" s="5"/>
      <c r="Z87" s="5"/>
      <c r="AA87" s="5"/>
      <c r="AB87" s="44"/>
      <c r="AC87" s="5"/>
      <c r="AD87" s="5"/>
      <c r="AE87" s="5"/>
      <c r="AF87" s="5"/>
      <c r="AG87" s="5"/>
      <c r="AH87" s="5"/>
      <c r="AI87" s="5"/>
      <c r="AJ87" s="5"/>
    </row>
    <row r="88" spans="1:36" x14ac:dyDescent="0.3">
      <c r="A88" s="17" t="s">
        <v>431</v>
      </c>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45"/>
      <c r="AC88" s="17"/>
      <c r="AD88" s="17"/>
      <c r="AE88" s="17"/>
      <c r="AF88" s="17"/>
      <c r="AG88" s="17"/>
      <c r="AH88" s="17"/>
      <c r="AI88" s="17"/>
      <c r="AJ88" s="17"/>
    </row>
    <row r="89" spans="1:36" x14ac:dyDescent="0.3">
      <c r="A89" s="20" t="s">
        <v>385</v>
      </c>
      <c r="B89" s="21" t="s">
        <v>236</v>
      </c>
      <c r="C89" s="22" t="s">
        <v>231</v>
      </c>
      <c r="D89" s="63">
        <v>98</v>
      </c>
      <c r="E89" s="63">
        <v>115</v>
      </c>
      <c r="F89" s="63">
        <v>115</v>
      </c>
      <c r="G89" s="63">
        <v>113</v>
      </c>
      <c r="H89" s="63">
        <v>118</v>
      </c>
      <c r="I89" s="63">
        <v>122</v>
      </c>
      <c r="J89" s="63">
        <v>137</v>
      </c>
      <c r="K89" s="63">
        <v>127</v>
      </c>
      <c r="L89" s="63">
        <v>126</v>
      </c>
      <c r="M89" s="63">
        <v>145</v>
      </c>
      <c r="N89" s="63">
        <v>157</v>
      </c>
      <c r="O89" s="63">
        <v>144</v>
      </c>
      <c r="P89" s="63">
        <v>127</v>
      </c>
      <c r="Q89" s="63">
        <v>147</v>
      </c>
      <c r="R89" s="63">
        <v>169</v>
      </c>
      <c r="S89" s="63">
        <v>174</v>
      </c>
      <c r="T89" s="63">
        <v>165</v>
      </c>
      <c r="U89" s="63">
        <v>191</v>
      </c>
      <c r="V89" s="63">
        <v>221</v>
      </c>
      <c r="W89" s="63">
        <f>AJ89-SUM(T89:V89)</f>
        <v>210</v>
      </c>
      <c r="X89" s="63"/>
      <c r="Y89" s="63"/>
      <c r="Z89" s="63"/>
      <c r="AA89" s="63"/>
      <c r="AB89" s="19"/>
      <c r="AC89" s="36"/>
      <c r="AD89" s="36"/>
      <c r="AE89" s="36"/>
      <c r="AF89" s="36">
        <f>IF(COUNT(D89:G89)=0,"",SUM(D89:G89))</f>
        <v>441</v>
      </c>
      <c r="AG89" s="36">
        <f>IF(COUNT(H89:K89)=0,"",SUM(H89:K89))</f>
        <v>504</v>
      </c>
      <c r="AH89" s="36">
        <f>IF(COUNT(L89:O89)=0,"",SUM(L89:O89))</f>
        <v>572</v>
      </c>
      <c r="AI89" s="36">
        <f>IF(COUNT(P89:S89)=0,"",SUM(P89:S89))</f>
        <v>617</v>
      </c>
      <c r="AJ89" s="67">
        <v>787</v>
      </c>
    </row>
    <row r="90" spans="1:36" x14ac:dyDescent="0.3">
      <c r="A90" s="20" t="s">
        <v>394</v>
      </c>
      <c r="B90" s="21" t="s">
        <v>236</v>
      </c>
      <c r="C90" s="22" t="s">
        <v>231</v>
      </c>
      <c r="D90" s="63">
        <v>13.4</v>
      </c>
      <c r="E90" s="63">
        <v>16.2</v>
      </c>
      <c r="F90" s="63">
        <v>16.399999999999999</v>
      </c>
      <c r="G90" s="63">
        <v>16</v>
      </c>
      <c r="H90" s="63">
        <v>16.2</v>
      </c>
      <c r="I90" s="63">
        <v>16.399999999999999</v>
      </c>
      <c r="J90" s="63">
        <v>19.399999999999999</v>
      </c>
      <c r="K90" s="63">
        <v>17.3</v>
      </c>
      <c r="L90" s="63">
        <v>16.600000000000001</v>
      </c>
      <c r="M90" s="63">
        <v>17.600000000000001</v>
      </c>
      <c r="N90" s="63">
        <v>18.8</v>
      </c>
      <c r="O90" s="63">
        <v>17.399999999999999</v>
      </c>
      <c r="P90" s="63">
        <v>15.8</v>
      </c>
      <c r="Q90" s="63">
        <v>18.100000000000001</v>
      </c>
      <c r="R90" s="63">
        <v>20.5</v>
      </c>
      <c r="S90" s="63">
        <v>22.2</v>
      </c>
      <c r="T90" s="63">
        <v>20.399999999999999</v>
      </c>
      <c r="U90" s="63">
        <v>23.5</v>
      </c>
      <c r="V90" s="63">
        <v>27.7</v>
      </c>
      <c r="W90" s="63"/>
      <c r="X90" s="63"/>
      <c r="Y90" s="63"/>
      <c r="Z90" s="63"/>
      <c r="AA90" s="63"/>
      <c r="AB90" s="19"/>
      <c r="AC90" s="36"/>
      <c r="AD90" s="36"/>
      <c r="AE90" s="36"/>
      <c r="AF90" s="36">
        <f>IFERROR(AVERAGE(D90:G90),"")</f>
        <v>15.5</v>
      </c>
      <c r="AG90" s="36">
        <f>IFERROR(AVERAGE(H90:K90),"")</f>
        <v>17.324999999999999</v>
      </c>
      <c r="AH90" s="67">
        <v>17.600000000000001</v>
      </c>
      <c r="AI90" s="36">
        <f>IFERROR(AVERAGE(P90:S90),"")</f>
        <v>19.150000000000002</v>
      </c>
      <c r="AJ90" s="67">
        <v>24.2</v>
      </c>
    </row>
    <row r="91" spans="1:36" x14ac:dyDescent="0.3">
      <c r="A91" s="20" t="s">
        <v>395</v>
      </c>
      <c r="B91" s="21" t="s">
        <v>217</v>
      </c>
      <c r="C91" s="22"/>
      <c r="D91" s="23">
        <f t="shared" ref="D91:AA91" si="31">IFERROR(D95/D89,"")</f>
        <v>1.1224489795918368E-2</v>
      </c>
      <c r="E91" s="23">
        <f t="shared" si="31"/>
        <v>1.1304347826086957E-2</v>
      </c>
      <c r="F91" s="23">
        <f t="shared" si="31"/>
        <v>1.1304347826086957E-2</v>
      </c>
      <c r="G91" s="23">
        <f t="shared" si="31"/>
        <v>1.1504424778761062E-2</v>
      </c>
      <c r="H91" s="23">
        <f t="shared" si="31"/>
        <v>1.2711864406779662E-2</v>
      </c>
      <c r="I91" s="23">
        <f t="shared" si="31"/>
        <v>1.1475409836065573E-2</v>
      </c>
      <c r="J91" s="23">
        <f t="shared" si="31"/>
        <v>1.2408759124087591E-2</v>
      </c>
      <c r="K91" s="23">
        <f t="shared" si="31"/>
        <v>1.1023622047244094E-2</v>
      </c>
      <c r="L91" s="23">
        <f t="shared" si="31"/>
        <v>1.1904761904761904E-2</v>
      </c>
      <c r="M91" s="23">
        <f t="shared" si="31"/>
        <v>1.1034482758620691E-2</v>
      </c>
      <c r="N91" s="23">
        <f t="shared" si="31"/>
        <v>1.337579617834395E-2</v>
      </c>
      <c r="O91" s="23">
        <f t="shared" si="31"/>
        <v>1.2500000000000001E-2</v>
      </c>
      <c r="P91" s="23">
        <f t="shared" si="31"/>
        <v>1.3385826771653543E-2</v>
      </c>
      <c r="Q91" s="23">
        <f t="shared" si="31"/>
        <v>1.2244897959183675E-2</v>
      </c>
      <c r="R91" s="23">
        <f t="shared" si="31"/>
        <v>1.2426035502958581E-2</v>
      </c>
      <c r="S91" s="23">
        <f t="shared" si="31"/>
        <v>1.2068965517241379E-2</v>
      </c>
      <c r="T91" s="23">
        <f t="shared" si="31"/>
        <v>1.2121212121212121E-2</v>
      </c>
      <c r="U91" s="23">
        <f t="shared" si="31"/>
        <v>1.2565445026178009E-2</v>
      </c>
      <c r="V91" s="23">
        <f t="shared" si="31"/>
        <v>1.3574660633484163E-2</v>
      </c>
      <c r="W91" s="23">
        <f t="shared" si="31"/>
        <v>1.2857142857142853E-2</v>
      </c>
      <c r="X91" s="23" t="str">
        <f t="shared" si="31"/>
        <v/>
      </c>
      <c r="Y91" s="23" t="str">
        <f t="shared" si="31"/>
        <v/>
      </c>
      <c r="Z91" s="23" t="str">
        <f t="shared" si="31"/>
        <v/>
      </c>
      <c r="AA91" s="23" t="str">
        <f t="shared" si="31"/>
        <v/>
      </c>
      <c r="AB91" s="19"/>
      <c r="AC91" s="23"/>
      <c r="AD91" s="23"/>
      <c r="AE91" s="23"/>
      <c r="AF91" s="23">
        <f>IFERROR(AF95/AF89,"")</f>
        <v>1.1337868480725623E-2</v>
      </c>
      <c r="AG91" s="23">
        <f>IFERROR(AG95/AG89,"")</f>
        <v>1.1904761904761904E-2</v>
      </c>
      <c r="AH91" s="23">
        <f>IFERROR(AH95/AH89,"")</f>
        <v>1.2237762237762238E-2</v>
      </c>
      <c r="AI91" s="23">
        <f>IFERROR(AI95/AI89,"")</f>
        <v>1.2479740680713126E-2</v>
      </c>
      <c r="AJ91" s="23">
        <f>IFERROR(AJ95/AJ89,"")</f>
        <v>1.2833545108005082E-2</v>
      </c>
    </row>
    <row r="92" spans="1:36" s="31" customFormat="1" x14ac:dyDescent="0.3">
      <c r="A92" s="20" t="s">
        <v>396</v>
      </c>
      <c r="B92" s="21" t="s">
        <v>217</v>
      </c>
      <c r="C92" s="22"/>
      <c r="D92" s="23">
        <f t="shared" ref="D92:AA92" si="32">IFERROR(D93/D89,"")</f>
        <v>1.020408163265306E-2</v>
      </c>
      <c r="E92" s="23">
        <f t="shared" si="32"/>
        <v>1.1304347826086957E-2</v>
      </c>
      <c r="F92" s="23">
        <f t="shared" si="32"/>
        <v>1.391304347826087E-2</v>
      </c>
      <c r="G92" s="23">
        <f t="shared" si="32"/>
        <v>1.5929203539823009E-2</v>
      </c>
      <c r="H92" s="23">
        <f t="shared" si="32"/>
        <v>1.6949152542372881E-2</v>
      </c>
      <c r="I92" s="23">
        <f t="shared" si="32"/>
        <v>1.7213114754098362E-2</v>
      </c>
      <c r="J92" s="23">
        <f t="shared" si="32"/>
        <v>1.751824817518248E-2</v>
      </c>
      <c r="K92" s="23">
        <f t="shared" si="32"/>
        <v>1.968503937007874E-2</v>
      </c>
      <c r="L92" s="23">
        <f t="shared" si="32"/>
        <v>2.0634920634920634E-2</v>
      </c>
      <c r="M92" s="23">
        <f t="shared" si="32"/>
        <v>1.9310344827586205E-2</v>
      </c>
      <c r="N92" s="23">
        <f t="shared" si="32"/>
        <v>1.8471337579617834E-2</v>
      </c>
      <c r="O92" s="23">
        <f t="shared" si="32"/>
        <v>2.0833333333333332E-2</v>
      </c>
      <c r="P92" s="23">
        <f t="shared" si="32"/>
        <v>2.4409448818897637E-2</v>
      </c>
      <c r="Q92" s="23">
        <f t="shared" si="32"/>
        <v>2.0408163265306121E-2</v>
      </c>
      <c r="R92" s="23">
        <f t="shared" si="32"/>
        <v>1.8343195266272191E-2</v>
      </c>
      <c r="S92" s="23">
        <f t="shared" si="32"/>
        <v>1.8390804597701149E-2</v>
      </c>
      <c r="T92" s="23">
        <f t="shared" si="32"/>
        <v>2.0606060606060607E-2</v>
      </c>
      <c r="U92" s="23">
        <f t="shared" si="32"/>
        <v>1.93717277486911E-2</v>
      </c>
      <c r="V92" s="23">
        <f t="shared" si="32"/>
        <v>1.8552036199095023E-2</v>
      </c>
      <c r="W92" s="23">
        <f t="shared" si="32"/>
        <v>2.0476190476190474E-2</v>
      </c>
      <c r="X92" s="23" t="str">
        <f t="shared" si="32"/>
        <v/>
      </c>
      <c r="Y92" s="23" t="str">
        <f t="shared" si="32"/>
        <v/>
      </c>
      <c r="Z92" s="23" t="str">
        <f t="shared" si="32"/>
        <v/>
      </c>
      <c r="AA92" s="23" t="str">
        <f t="shared" si="32"/>
        <v/>
      </c>
      <c r="AB92" s="19"/>
      <c r="AC92" s="23"/>
      <c r="AD92" s="23"/>
      <c r="AE92" s="23"/>
      <c r="AF92" s="23">
        <f>IFERROR(AF93/AF89,"")</f>
        <v>4.0816326530612249E-3</v>
      </c>
      <c r="AG92" s="23">
        <f>IFERROR(AG93/AG89,"")</f>
        <v>4.96031746031746E-3</v>
      </c>
      <c r="AH92" s="23">
        <f>IFERROR(AH93/AH89,"")</f>
        <v>5.244755244755245E-3</v>
      </c>
      <c r="AI92" s="23">
        <f>IFERROR(AI93/AI89,"")</f>
        <v>5.1863857374392225E-3</v>
      </c>
      <c r="AJ92" s="23">
        <f>IFERROR(AJ93/AJ89,"")</f>
        <v>5.4637865311308762E-3</v>
      </c>
    </row>
    <row r="93" spans="1:36" s="15" customFormat="1" x14ac:dyDescent="0.3">
      <c r="A93" s="25" t="s">
        <v>387</v>
      </c>
      <c r="B93" s="26" t="s">
        <v>236</v>
      </c>
      <c r="C93" s="27" t="s">
        <v>231</v>
      </c>
      <c r="D93" s="63">
        <v>1</v>
      </c>
      <c r="E93" s="63">
        <v>1.3</v>
      </c>
      <c r="F93" s="63">
        <v>1.6</v>
      </c>
      <c r="G93" s="63">
        <v>1.8</v>
      </c>
      <c r="H93" s="63">
        <v>2</v>
      </c>
      <c r="I93" s="63">
        <v>2.1</v>
      </c>
      <c r="J93" s="63">
        <v>2.4</v>
      </c>
      <c r="K93" s="63">
        <v>2.5</v>
      </c>
      <c r="L93" s="63">
        <v>2.6</v>
      </c>
      <c r="M93" s="63">
        <v>2.8</v>
      </c>
      <c r="N93" s="63">
        <v>2.9</v>
      </c>
      <c r="O93" s="63">
        <v>3</v>
      </c>
      <c r="P93" s="63">
        <v>3.1</v>
      </c>
      <c r="Q93" s="63">
        <v>3</v>
      </c>
      <c r="R93" s="63">
        <v>3.1</v>
      </c>
      <c r="S93" s="63">
        <v>3.2</v>
      </c>
      <c r="T93" s="63">
        <v>3.4</v>
      </c>
      <c r="U93" s="63">
        <v>3.7</v>
      </c>
      <c r="V93" s="63">
        <v>4.0999999999999996</v>
      </c>
      <c r="W93" s="63">
        <v>4.3</v>
      </c>
      <c r="X93" s="63"/>
      <c r="Y93" s="63"/>
      <c r="Z93" s="63"/>
      <c r="AA93" s="63"/>
      <c r="AB93" s="29"/>
      <c r="AC93" s="36"/>
      <c r="AD93" s="36"/>
      <c r="AE93" s="36"/>
      <c r="AF93" s="36">
        <f>IF(G93="","",G93)</f>
        <v>1.8</v>
      </c>
      <c r="AG93" s="36">
        <f>IF(K93="","",K93)</f>
        <v>2.5</v>
      </c>
      <c r="AH93" s="36">
        <f>IF(O93="","",O93)</f>
        <v>3</v>
      </c>
      <c r="AI93" s="36">
        <f>IF(S93="","",S93)</f>
        <v>3.2</v>
      </c>
      <c r="AJ93" s="36">
        <f>IF(W93="","",W93)</f>
        <v>4.3</v>
      </c>
    </row>
    <row r="94" spans="1:36" x14ac:dyDescent="0.3">
      <c r="A94" s="32" t="s">
        <v>240</v>
      </c>
      <c r="B94" s="33" t="s">
        <v>241</v>
      </c>
      <c r="C94" s="34"/>
      <c r="D94" s="68">
        <f t="shared" ref="D94:AA94" si="33">IFERROR(D95*4/D93,"")</f>
        <v>4.4000000000000004</v>
      </c>
      <c r="E94" s="68">
        <f t="shared" si="33"/>
        <v>4</v>
      </c>
      <c r="F94" s="68">
        <f t="shared" si="33"/>
        <v>3.25</v>
      </c>
      <c r="G94" s="68">
        <f t="shared" si="33"/>
        <v>2.8888888888888888</v>
      </c>
      <c r="H94" s="68">
        <f t="shared" si="33"/>
        <v>3</v>
      </c>
      <c r="I94" s="68">
        <f t="shared" si="33"/>
        <v>2.6666666666666665</v>
      </c>
      <c r="J94" s="68">
        <f t="shared" si="33"/>
        <v>2.8333333333333335</v>
      </c>
      <c r="K94" s="68">
        <f t="shared" si="33"/>
        <v>2.2399999999999998</v>
      </c>
      <c r="L94" s="68">
        <f t="shared" si="33"/>
        <v>2.3076923076923075</v>
      </c>
      <c r="M94" s="68">
        <f t="shared" si="33"/>
        <v>2.285714285714286</v>
      </c>
      <c r="N94" s="68">
        <f t="shared" si="33"/>
        <v>2.896551724137931</v>
      </c>
      <c r="O94" s="68">
        <f t="shared" si="33"/>
        <v>2.4</v>
      </c>
      <c r="P94" s="68">
        <f t="shared" si="33"/>
        <v>2.193548387096774</v>
      </c>
      <c r="Q94" s="68">
        <f t="shared" si="33"/>
        <v>2.4</v>
      </c>
      <c r="R94" s="68">
        <f t="shared" si="33"/>
        <v>2.709677419354839</v>
      </c>
      <c r="S94" s="68">
        <f t="shared" si="33"/>
        <v>2.625</v>
      </c>
      <c r="T94" s="68">
        <f t="shared" si="33"/>
        <v>2.3529411764705883</v>
      </c>
      <c r="U94" s="68">
        <f t="shared" si="33"/>
        <v>2.5945945945945943</v>
      </c>
      <c r="V94" s="68">
        <f t="shared" si="33"/>
        <v>2.9268292682926833</v>
      </c>
      <c r="W94" s="68">
        <f t="shared" si="33"/>
        <v>2.5116279069767438</v>
      </c>
      <c r="X94" s="68" t="str">
        <f t="shared" si="33"/>
        <v/>
      </c>
      <c r="Y94" s="68" t="str">
        <f t="shared" si="33"/>
        <v/>
      </c>
      <c r="Z94" s="68" t="str">
        <f t="shared" si="33"/>
        <v/>
      </c>
      <c r="AA94" s="68" t="str">
        <f t="shared" si="33"/>
        <v/>
      </c>
      <c r="AB94" s="35"/>
      <c r="AC94" s="68"/>
      <c r="AD94" s="68"/>
      <c r="AE94" s="68"/>
      <c r="AF94" s="68">
        <f>IFERROR(AF95*4/AF93,"")</f>
        <v>11.111111111111111</v>
      </c>
      <c r="AG94" s="68">
        <f>IFERROR(AG95*4/AG93,"")</f>
        <v>9.6</v>
      </c>
      <c r="AH94" s="68">
        <f>IFERROR(AH95*4/AH93,"")</f>
        <v>9.3333333333333339</v>
      </c>
      <c r="AI94" s="68">
        <f>IFERROR(AI95*4/AI93,"")</f>
        <v>9.6249999999999982</v>
      </c>
      <c r="AJ94" s="68">
        <f>IFERROR(AJ95*4/AJ93,"")</f>
        <v>9.395348837209303</v>
      </c>
    </row>
    <row r="95" spans="1:36" s="42" customFormat="1" x14ac:dyDescent="0.3">
      <c r="A95" s="20" t="s">
        <v>239</v>
      </c>
      <c r="B95" s="21" t="s">
        <v>236</v>
      </c>
      <c r="C95" s="22" t="s">
        <v>231</v>
      </c>
      <c r="D95" s="63">
        <v>1.1000000000000001</v>
      </c>
      <c r="E95" s="63">
        <v>1.3</v>
      </c>
      <c r="F95" s="63">
        <v>1.3</v>
      </c>
      <c r="G95" s="63">
        <v>1.3</v>
      </c>
      <c r="H95" s="63">
        <v>1.5</v>
      </c>
      <c r="I95" s="63">
        <v>1.4</v>
      </c>
      <c r="J95" s="63">
        <v>1.7</v>
      </c>
      <c r="K95" s="63">
        <v>1.4</v>
      </c>
      <c r="L95" s="63">
        <v>1.5</v>
      </c>
      <c r="M95" s="63">
        <v>1.6</v>
      </c>
      <c r="N95" s="63">
        <v>2.1</v>
      </c>
      <c r="O95" s="63">
        <v>1.8</v>
      </c>
      <c r="P95" s="63">
        <v>1.7</v>
      </c>
      <c r="Q95" s="63">
        <v>1.8</v>
      </c>
      <c r="R95" s="63">
        <v>2.1</v>
      </c>
      <c r="S95" s="63">
        <v>2.1</v>
      </c>
      <c r="T95" s="63">
        <v>2</v>
      </c>
      <c r="U95" s="63">
        <v>2.4</v>
      </c>
      <c r="V95" s="63">
        <v>3</v>
      </c>
      <c r="W95" s="63">
        <f>AJ95-SUM(T95:V95)</f>
        <v>2.6999999999999993</v>
      </c>
      <c r="X95" s="63"/>
      <c r="Y95" s="63"/>
      <c r="Z95" s="63"/>
      <c r="AA95" s="63"/>
      <c r="AB95" s="19"/>
      <c r="AC95" s="36"/>
      <c r="AD95" s="36"/>
      <c r="AE95" s="36"/>
      <c r="AF95" s="36">
        <f>IF(COUNT(D95:G95)=0,"",SUM(D95:G95))</f>
        <v>5</v>
      </c>
      <c r="AG95" s="36">
        <f>IF(COUNT(H95:K95)=0,"",SUM(H95:K95))</f>
        <v>6</v>
      </c>
      <c r="AH95" s="36">
        <f>IF(COUNT(L95:O95)=0,"",SUM(L95:O95))</f>
        <v>7</v>
      </c>
      <c r="AI95" s="36">
        <f>IF(COUNT(P95:S95)=0,"",SUM(P95:S95))</f>
        <v>7.6999999999999993</v>
      </c>
      <c r="AJ95" s="67">
        <v>10.1</v>
      </c>
    </row>
    <row r="96" spans="1:36" x14ac:dyDescent="0.3">
      <c r="A96" s="37" t="s">
        <v>397</v>
      </c>
      <c r="B96" s="38" t="s">
        <v>228</v>
      </c>
      <c r="C96" s="39"/>
      <c r="D96" s="66">
        <f t="shared" ref="D96:AA96" si="34">IFERROR(D98/D95,"")</f>
        <v>0</v>
      </c>
      <c r="E96" s="66">
        <f t="shared" si="34"/>
        <v>0</v>
      </c>
      <c r="F96" s="66">
        <f t="shared" si="34"/>
        <v>0</v>
      </c>
      <c r="G96" s="66">
        <f t="shared" si="34"/>
        <v>0</v>
      </c>
      <c r="H96" s="66">
        <f t="shared" si="34"/>
        <v>0</v>
      </c>
      <c r="I96" s="66">
        <f t="shared" si="34"/>
        <v>0</v>
      </c>
      <c r="J96" s="66">
        <f t="shared" si="34"/>
        <v>0</v>
      </c>
      <c r="K96" s="66">
        <f t="shared" si="34"/>
        <v>0</v>
      </c>
      <c r="L96" s="66">
        <f t="shared" si="34"/>
        <v>4505.333333333333</v>
      </c>
      <c r="M96" s="66">
        <f t="shared" si="34"/>
        <v>4920</v>
      </c>
      <c r="N96" s="66">
        <f t="shared" si="34"/>
        <v>4983.333333333333</v>
      </c>
      <c r="O96" s="66">
        <f t="shared" si="34"/>
        <v>4866.666666666667</v>
      </c>
      <c r="P96" s="66">
        <f t="shared" si="34"/>
        <v>4553.5294117647063</v>
      </c>
      <c r="Q96" s="66">
        <f t="shared" si="34"/>
        <v>4796.1111111111113</v>
      </c>
      <c r="R96" s="66">
        <f t="shared" si="34"/>
        <v>5380.4761904761899</v>
      </c>
      <c r="S96" s="66">
        <f t="shared" si="34"/>
        <v>4938.0952380952376</v>
      </c>
      <c r="T96" s="66">
        <f t="shared" si="34"/>
        <v>4820</v>
      </c>
      <c r="U96" s="66">
        <f t="shared" si="34"/>
        <v>4916.666666666667</v>
      </c>
      <c r="V96" s="66">
        <f t="shared" si="34"/>
        <v>4920</v>
      </c>
      <c r="W96" s="66">
        <f t="shared" si="34"/>
        <v>4940.7407407407418</v>
      </c>
      <c r="X96" s="66" t="str">
        <f t="shared" si="34"/>
        <v/>
      </c>
      <c r="Y96" s="66" t="str">
        <f t="shared" si="34"/>
        <v/>
      </c>
      <c r="Z96" s="66" t="str">
        <f t="shared" si="34"/>
        <v/>
      </c>
      <c r="AA96" s="66" t="str">
        <f t="shared" si="34"/>
        <v/>
      </c>
      <c r="AB96" s="40"/>
      <c r="AC96" s="66"/>
      <c r="AD96" s="66"/>
      <c r="AE96" s="66"/>
      <c r="AF96" s="66" t="str">
        <f>IFERROR(AF98/AF95,"")</f>
        <v/>
      </c>
      <c r="AG96" s="66" t="str">
        <f>IFERROR(AG98/AG95,"")</f>
        <v/>
      </c>
      <c r="AH96" s="66">
        <f>IFERROR(AH98/AH95,"")</f>
        <v>4836.4285714285716</v>
      </c>
      <c r="AI96" s="66">
        <f>IFERROR(AI98/AI95,"")</f>
        <v>4940.6493506493507</v>
      </c>
      <c r="AJ96" s="66">
        <f>IFERROR(AJ98/AJ95,"")</f>
        <v>4904.9504950495048</v>
      </c>
    </row>
    <row r="97" spans="1:36" x14ac:dyDescent="0.3">
      <c r="A97" s="20" t="s">
        <v>398</v>
      </c>
      <c r="B97" s="38" t="s">
        <v>228</v>
      </c>
      <c r="C97" s="22" t="s">
        <v>432</v>
      </c>
      <c r="D97" s="66">
        <f t="shared" ref="D97:V97" si="35">IF(D153="","",IFERROR(D153,""))</f>
        <v>3153</v>
      </c>
      <c r="E97" s="66">
        <f t="shared" si="35"/>
        <v>3242</v>
      </c>
      <c r="F97" s="66">
        <f t="shared" si="35"/>
        <v>3558</v>
      </c>
      <c r="G97" s="66">
        <f t="shared" si="35"/>
        <v>3616</v>
      </c>
      <c r="H97" s="66">
        <f t="shared" si="35"/>
        <v>3732</v>
      </c>
      <c r="I97" s="66">
        <f t="shared" si="35"/>
        <v>3940</v>
      </c>
      <c r="J97" s="66">
        <f t="shared" si="35"/>
        <v>3959</v>
      </c>
      <c r="K97" s="66">
        <f t="shared" si="35"/>
        <v>4266</v>
      </c>
      <c r="L97" s="66">
        <f t="shared" si="35"/>
        <v>4058</v>
      </c>
      <c r="M97" s="66">
        <f t="shared" si="35"/>
        <v>4061</v>
      </c>
      <c r="N97" s="66">
        <f t="shared" si="35"/>
        <v>4681</v>
      </c>
      <c r="O97" s="66">
        <f t="shared" si="35"/>
        <v>4546</v>
      </c>
      <c r="P97" s="66">
        <f t="shared" si="35"/>
        <v>4237</v>
      </c>
      <c r="Q97" s="66">
        <f t="shared" si="35"/>
        <v>4464</v>
      </c>
      <c r="R97" s="66">
        <f t="shared" si="35"/>
        <v>4901</v>
      </c>
      <c r="S97" s="66">
        <f t="shared" si="35"/>
        <v>4738</v>
      </c>
      <c r="T97" s="66">
        <f t="shared" si="35"/>
        <v>4504</v>
      </c>
      <c r="U97" s="66">
        <f t="shared" si="35"/>
        <v>4651</v>
      </c>
      <c r="V97" s="66">
        <f t="shared" si="35"/>
        <v>4794</v>
      </c>
      <c r="W97" s="65"/>
      <c r="X97" s="65"/>
      <c r="Y97" s="65"/>
      <c r="Z97" s="65"/>
      <c r="AA97" s="65"/>
      <c r="AB97" s="19"/>
      <c r="AC97" s="66"/>
      <c r="AD97" s="66"/>
      <c r="AE97" s="66"/>
      <c r="AF97" s="66">
        <f>IF(AF153="","",IFERROR(AF153,""))</f>
        <v>3400</v>
      </c>
      <c r="AG97" s="66">
        <f>IF(AG153="","",IFERROR(AG153,""))</f>
        <v>3973</v>
      </c>
      <c r="AH97" s="66">
        <f>IF(AH153="","",IFERROR(AH153,""))</f>
        <v>4361</v>
      </c>
      <c r="AI97" s="66">
        <f>IF(AI153="","",IFERROR(AI153,""))</f>
        <v>4609</v>
      </c>
      <c r="AJ97" s="66">
        <f>IF(AJ153="","",IFERROR(AJ153,""))</f>
        <v>4652</v>
      </c>
    </row>
    <row r="98" spans="1:36" x14ac:dyDescent="0.3">
      <c r="A98" s="20" t="s">
        <v>243</v>
      </c>
      <c r="B98" s="21" t="s">
        <v>214</v>
      </c>
      <c r="C98" s="22" t="s">
        <v>231</v>
      </c>
      <c r="D98" s="65"/>
      <c r="E98" s="65"/>
      <c r="F98" s="65"/>
      <c r="G98" s="65"/>
      <c r="H98" s="65"/>
      <c r="I98" s="65"/>
      <c r="J98" s="65"/>
      <c r="K98" s="65"/>
      <c r="L98" s="65">
        <v>6758</v>
      </c>
      <c r="M98" s="65">
        <v>7872</v>
      </c>
      <c r="N98" s="65">
        <v>10465</v>
      </c>
      <c r="O98" s="65">
        <v>8760</v>
      </c>
      <c r="P98" s="65">
        <v>7741</v>
      </c>
      <c r="Q98" s="65">
        <v>8633</v>
      </c>
      <c r="R98" s="65">
        <v>11299</v>
      </c>
      <c r="S98" s="65">
        <v>10370</v>
      </c>
      <c r="T98" s="65">
        <v>9640</v>
      </c>
      <c r="U98" s="65">
        <v>11800</v>
      </c>
      <c r="V98" s="65">
        <v>14760</v>
      </c>
      <c r="W98" s="65">
        <v>13340</v>
      </c>
      <c r="X98" s="65"/>
      <c r="Y98" s="65"/>
      <c r="Z98" s="65"/>
      <c r="AA98" s="65"/>
      <c r="AB98" s="19"/>
      <c r="AC98" s="66"/>
      <c r="AD98" s="66"/>
      <c r="AE98" s="66"/>
      <c r="AF98" s="66" t="str">
        <f>IF(COUNT(D98:G98)=0,"",SUM(D98:G98))</f>
        <v/>
      </c>
      <c r="AG98" s="66" t="str">
        <f>IF(COUNT(H98:K98)=0,"",SUM(H98:K98))</f>
        <v/>
      </c>
      <c r="AH98" s="66">
        <f>IF(COUNT(L98:O98)=0,"",SUM(L98:O98))</f>
        <v>33855</v>
      </c>
      <c r="AI98" s="66">
        <f>IF(COUNT(P98:S98)=0,"",SUM(P98:S98))</f>
        <v>38043</v>
      </c>
      <c r="AJ98" s="66">
        <f>IF(COUNT(T98:W98)=0,"",SUM(T98:W98))</f>
        <v>49540</v>
      </c>
    </row>
    <row r="99" spans="1:36" x14ac:dyDescent="0.3">
      <c r="A99" s="20" t="s">
        <v>216</v>
      </c>
      <c r="B99" s="21" t="s">
        <v>217</v>
      </c>
      <c r="C99" s="22"/>
      <c r="D99" s="64"/>
      <c r="E99" s="64"/>
      <c r="F99" s="64"/>
      <c r="G99" s="64"/>
      <c r="H99" s="23" t="str">
        <f t="shared" ref="H99:AA99" si="36">IFERROR(H98/D98-1,"")</f>
        <v/>
      </c>
      <c r="I99" s="23" t="str">
        <f t="shared" si="36"/>
        <v/>
      </c>
      <c r="J99" s="23" t="str">
        <f t="shared" si="36"/>
        <v/>
      </c>
      <c r="K99" s="23" t="str">
        <f t="shared" si="36"/>
        <v/>
      </c>
      <c r="L99" s="23" t="str">
        <f t="shared" si="36"/>
        <v/>
      </c>
      <c r="M99" s="23" t="str">
        <f t="shared" si="36"/>
        <v/>
      </c>
      <c r="N99" s="23" t="str">
        <f t="shared" si="36"/>
        <v/>
      </c>
      <c r="O99" s="23" t="str">
        <f t="shared" si="36"/>
        <v/>
      </c>
      <c r="P99" s="23">
        <f t="shared" si="36"/>
        <v>0.14545723586860015</v>
      </c>
      <c r="Q99" s="23">
        <f t="shared" si="36"/>
        <v>9.6671747967479682E-2</v>
      </c>
      <c r="R99" s="23">
        <f t="shared" si="36"/>
        <v>7.9694218824653662E-2</v>
      </c>
      <c r="S99" s="23">
        <f t="shared" si="36"/>
        <v>0.18378995433789957</v>
      </c>
      <c r="T99" s="23">
        <f t="shared" si="36"/>
        <v>0.2453171424880507</v>
      </c>
      <c r="U99" s="23">
        <f t="shared" si="36"/>
        <v>0.36684814085485917</v>
      </c>
      <c r="V99" s="23">
        <f t="shared" si="36"/>
        <v>0.30631029294627843</v>
      </c>
      <c r="W99" s="23">
        <f t="shared" si="36"/>
        <v>0.2864030858244937</v>
      </c>
      <c r="X99" s="23">
        <f t="shared" si="36"/>
        <v>-1</v>
      </c>
      <c r="Y99" s="23">
        <f t="shared" si="36"/>
        <v>-1</v>
      </c>
      <c r="Z99" s="23">
        <f t="shared" si="36"/>
        <v>-1</v>
      </c>
      <c r="AA99" s="23">
        <f t="shared" si="36"/>
        <v>-1</v>
      </c>
      <c r="AB99" s="19"/>
      <c r="AC99" s="64"/>
      <c r="AD99" s="64"/>
      <c r="AE99" s="64"/>
      <c r="AF99" s="23" t="str">
        <f>IFERROR(AF98/AE98-1,"")</f>
        <v/>
      </c>
      <c r="AG99" s="23" t="str">
        <f>IFERROR(AG98/AF98-1,"")</f>
        <v/>
      </c>
      <c r="AH99" s="23" t="str">
        <f>IFERROR(AH98/AG98-1,"")</f>
        <v/>
      </c>
      <c r="AI99" s="23">
        <f>IFERROR(AI98/AH98-1,"")</f>
        <v>0.12370403190075319</v>
      </c>
      <c r="AJ99" s="23">
        <f>IFERROR(AJ98/AI98-1,"")</f>
        <v>0.30221065636253708</v>
      </c>
    </row>
    <row r="100" spans="1:36" x14ac:dyDescent="0.3">
      <c r="A100" s="20" t="s">
        <v>388</v>
      </c>
      <c r="B100" s="21" t="s">
        <v>217</v>
      </c>
      <c r="C100" s="22"/>
      <c r="D100" s="64"/>
      <c r="E100" s="23" t="str">
        <f t="shared" ref="E100:AA100" si="37">IFERROR(E98/D98-1,"")</f>
        <v/>
      </c>
      <c r="F100" s="23" t="str">
        <f t="shared" si="37"/>
        <v/>
      </c>
      <c r="G100" s="23" t="str">
        <f t="shared" si="37"/>
        <v/>
      </c>
      <c r="H100" s="23" t="str">
        <f t="shared" si="37"/>
        <v/>
      </c>
      <c r="I100" s="23" t="str">
        <f t="shared" si="37"/>
        <v/>
      </c>
      <c r="J100" s="23" t="str">
        <f t="shared" si="37"/>
        <v/>
      </c>
      <c r="K100" s="23" t="str">
        <f t="shared" si="37"/>
        <v/>
      </c>
      <c r="L100" s="23" t="str">
        <f t="shared" si="37"/>
        <v/>
      </c>
      <c r="M100" s="23">
        <f t="shared" si="37"/>
        <v>0.16484166913287956</v>
      </c>
      <c r="N100" s="23">
        <f t="shared" si="37"/>
        <v>0.32939532520325199</v>
      </c>
      <c r="O100" s="23">
        <f t="shared" si="37"/>
        <v>-0.16292403248924991</v>
      </c>
      <c r="P100" s="23">
        <f t="shared" si="37"/>
        <v>-0.11632420091324203</v>
      </c>
      <c r="Q100" s="23">
        <f t="shared" si="37"/>
        <v>0.11523059036300221</v>
      </c>
      <c r="R100" s="23">
        <f t="shared" si="37"/>
        <v>0.30881501216263185</v>
      </c>
      <c r="S100" s="23">
        <f t="shared" si="37"/>
        <v>-8.2219665457120117E-2</v>
      </c>
      <c r="T100" s="23">
        <f t="shared" si="37"/>
        <v>-7.0395371263259454E-2</v>
      </c>
      <c r="U100" s="23">
        <f t="shared" si="37"/>
        <v>0.22406639004149387</v>
      </c>
      <c r="V100" s="23">
        <f t="shared" si="37"/>
        <v>0.25084745762711869</v>
      </c>
      <c r="W100" s="23">
        <f t="shared" si="37"/>
        <v>-9.620596205962062E-2</v>
      </c>
      <c r="X100" s="23">
        <f t="shared" si="37"/>
        <v>-1</v>
      </c>
      <c r="Y100" s="23" t="str">
        <f t="shared" si="37"/>
        <v/>
      </c>
      <c r="Z100" s="23" t="str">
        <f t="shared" si="37"/>
        <v/>
      </c>
      <c r="AA100" s="23" t="str">
        <f t="shared" si="37"/>
        <v/>
      </c>
      <c r="AB100" s="19"/>
      <c r="AC100" s="64"/>
      <c r="AD100" s="64"/>
      <c r="AE100" s="64"/>
      <c r="AF100" s="64"/>
      <c r="AG100" s="64"/>
      <c r="AH100" s="64"/>
      <c r="AI100" s="64"/>
      <c r="AJ100" s="64"/>
    </row>
    <row r="101" spans="1:36" x14ac:dyDescent="0.3">
      <c r="A101" s="20" t="s">
        <v>244</v>
      </c>
      <c r="B101" s="21" t="s">
        <v>214</v>
      </c>
      <c r="C101" s="22" t="s">
        <v>231</v>
      </c>
      <c r="D101" s="65"/>
      <c r="E101" s="65"/>
      <c r="F101" s="65"/>
      <c r="G101" s="65"/>
      <c r="H101" s="65"/>
      <c r="I101" s="65"/>
      <c r="J101" s="65"/>
      <c r="K101" s="65"/>
      <c r="L101" s="65">
        <v>2089</v>
      </c>
      <c r="M101" s="65">
        <v>2411</v>
      </c>
      <c r="N101" s="65">
        <v>2899</v>
      </c>
      <c r="O101" s="65">
        <v>2479</v>
      </c>
      <c r="P101" s="65">
        <v>2449</v>
      </c>
      <c r="Q101" s="65">
        <v>2713</v>
      </c>
      <c r="R101" s="65">
        <v>3295</v>
      </c>
      <c r="S101" s="65">
        <v>2800</v>
      </c>
      <c r="T101" s="65">
        <v>2940</v>
      </c>
      <c r="U101" s="65">
        <v>3460</v>
      </c>
      <c r="V101" s="65">
        <v>4100</v>
      </c>
      <c r="W101" s="65">
        <v>3970</v>
      </c>
      <c r="X101" s="65"/>
      <c r="Y101" s="65"/>
      <c r="Z101" s="65"/>
      <c r="AA101" s="65"/>
      <c r="AB101" s="19"/>
      <c r="AC101" s="66"/>
      <c r="AD101" s="66"/>
      <c r="AE101" s="66"/>
      <c r="AF101" s="66" t="str">
        <f>IF(COUNT(D101:G101)=0,"",SUM(D101:G101))</f>
        <v/>
      </c>
      <c r="AG101" s="66" t="str">
        <f>IF(COUNT(H101:K101)=0,"",SUM(H101:K101))</f>
        <v/>
      </c>
      <c r="AH101" s="66">
        <f>IF(COUNT(L101:O101)=0,"",SUM(L101:O101))</f>
        <v>9878</v>
      </c>
      <c r="AI101" s="66">
        <f>IF(COUNT(P101:S101)=0,"",SUM(P101:S101))</f>
        <v>11257</v>
      </c>
      <c r="AJ101" s="66">
        <f>IF(COUNT(T101:W101)=0,"",SUM(T101:W101))</f>
        <v>14470</v>
      </c>
    </row>
    <row r="102" spans="1:36" x14ac:dyDescent="0.3">
      <c r="A102" s="20" t="s">
        <v>219</v>
      </c>
      <c r="B102" s="21" t="s">
        <v>217</v>
      </c>
      <c r="C102" s="22"/>
      <c r="D102" s="23" t="str">
        <f t="shared" ref="D102:AA102" si="38">IFERROR(D101/D98,"")</f>
        <v/>
      </c>
      <c r="E102" s="23" t="str">
        <f t="shared" si="38"/>
        <v/>
      </c>
      <c r="F102" s="23" t="str">
        <f t="shared" si="38"/>
        <v/>
      </c>
      <c r="G102" s="23" t="str">
        <f t="shared" si="38"/>
        <v/>
      </c>
      <c r="H102" s="23" t="str">
        <f t="shared" si="38"/>
        <v/>
      </c>
      <c r="I102" s="23" t="str">
        <f t="shared" si="38"/>
        <v/>
      </c>
      <c r="J102" s="23" t="str">
        <f t="shared" si="38"/>
        <v/>
      </c>
      <c r="K102" s="23" t="str">
        <f t="shared" si="38"/>
        <v/>
      </c>
      <c r="L102" s="23">
        <f t="shared" si="38"/>
        <v>0.30911512281740161</v>
      </c>
      <c r="M102" s="23">
        <f t="shared" si="38"/>
        <v>0.30627540650406504</v>
      </c>
      <c r="N102" s="23">
        <f t="shared" si="38"/>
        <v>0.27701863354037265</v>
      </c>
      <c r="O102" s="23">
        <f t="shared" si="38"/>
        <v>0.28299086757990866</v>
      </c>
      <c r="P102" s="23">
        <f t="shared" si="38"/>
        <v>0.31636739439348921</v>
      </c>
      <c r="Q102" s="23">
        <f t="shared" si="38"/>
        <v>0.31425923780840959</v>
      </c>
      <c r="R102" s="23">
        <f t="shared" si="38"/>
        <v>0.29161872732100186</v>
      </c>
      <c r="S102" s="23">
        <f t="shared" si="38"/>
        <v>0.27000964320154291</v>
      </c>
      <c r="T102" s="23">
        <f t="shared" si="38"/>
        <v>0.30497925311203322</v>
      </c>
      <c r="U102" s="23">
        <f t="shared" si="38"/>
        <v>0.29322033898305083</v>
      </c>
      <c r="V102" s="23">
        <f t="shared" si="38"/>
        <v>0.27777777777777779</v>
      </c>
      <c r="W102" s="23">
        <f t="shared" si="38"/>
        <v>0.29760119940029983</v>
      </c>
      <c r="X102" s="23" t="str">
        <f t="shared" si="38"/>
        <v/>
      </c>
      <c r="Y102" s="23" t="str">
        <f t="shared" si="38"/>
        <v/>
      </c>
      <c r="Z102" s="23" t="str">
        <f t="shared" si="38"/>
        <v/>
      </c>
      <c r="AA102" s="23" t="str">
        <f t="shared" si="38"/>
        <v/>
      </c>
      <c r="AB102" s="19"/>
      <c r="AC102" s="23"/>
      <c r="AD102" s="23"/>
      <c r="AE102" s="23"/>
      <c r="AF102" s="23" t="str">
        <f>IFERROR(AF101/AF98,"")</f>
        <v/>
      </c>
      <c r="AG102" s="23" t="str">
        <f>IFERROR(AG101/AG98,"")</f>
        <v/>
      </c>
      <c r="AH102" s="23">
        <f>IFERROR(AH101/AH98,"")</f>
        <v>0.29177374095406883</v>
      </c>
      <c r="AI102" s="23">
        <f>IFERROR(AI101/AI98,"")</f>
        <v>0.29590200562521357</v>
      </c>
      <c r="AJ102" s="23">
        <f>IFERROR(AJ101/AJ98,"")</f>
        <v>0.29208720226079937</v>
      </c>
    </row>
    <row r="103" spans="1:36" x14ac:dyDescent="0.3">
      <c r="A103" s="20" t="s">
        <v>245</v>
      </c>
      <c r="B103" s="21" t="s">
        <v>214</v>
      </c>
      <c r="C103" s="22" t="s">
        <v>433</v>
      </c>
      <c r="D103" s="65"/>
      <c r="E103" s="65"/>
      <c r="F103" s="65">
        <v>900</v>
      </c>
      <c r="G103" s="65"/>
      <c r="H103" s="65"/>
      <c r="I103" s="65"/>
      <c r="J103" s="65">
        <v>1339</v>
      </c>
      <c r="K103" s="65"/>
      <c r="L103" s="65">
        <v>1225</v>
      </c>
      <c r="M103" s="65">
        <v>1365</v>
      </c>
      <c r="N103" s="65">
        <v>1640</v>
      </c>
      <c r="O103" s="65">
        <v>1454</v>
      </c>
      <c r="P103" s="65">
        <v>1486</v>
      </c>
      <c r="Q103" s="65">
        <v>1661</v>
      </c>
      <c r="R103" s="65">
        <v>1990</v>
      </c>
      <c r="S103" s="65">
        <v>1610</v>
      </c>
      <c r="T103" s="65">
        <v>1710</v>
      </c>
      <c r="U103" s="65">
        <v>2010</v>
      </c>
      <c r="V103" s="65">
        <v>2350</v>
      </c>
      <c r="W103" s="65">
        <v>2250</v>
      </c>
      <c r="X103" s="65"/>
      <c r="Y103" s="65"/>
      <c r="Z103" s="65"/>
      <c r="AA103" s="65"/>
      <c r="AB103" s="19"/>
      <c r="AC103" s="66"/>
      <c r="AD103" s="66"/>
      <c r="AE103" s="66"/>
      <c r="AF103" s="66">
        <f>IF(COUNT(D103:G103)=0,"",SUM(D103:G103))</f>
        <v>900</v>
      </c>
      <c r="AG103" s="66">
        <f>IF(COUNT(H103:K103)=0,"",SUM(H103:K103))</f>
        <v>1339</v>
      </c>
      <c r="AH103" s="66">
        <f>IF(COUNT(L103:O103)=0,"",SUM(L103:O103))</f>
        <v>5684</v>
      </c>
      <c r="AI103" s="66">
        <f>IF(COUNT(P103:S103)=0,"",SUM(P103:S103))</f>
        <v>6747</v>
      </c>
      <c r="AJ103" s="66">
        <f>IF(COUNT(T103:W103)=0,"",SUM(T103:W103))</f>
        <v>8320</v>
      </c>
    </row>
    <row r="104" spans="1:36" x14ac:dyDescent="0.3">
      <c r="A104" s="20" t="s">
        <v>246</v>
      </c>
      <c r="B104" s="21" t="s">
        <v>217</v>
      </c>
      <c r="C104" s="22"/>
      <c r="D104" s="23" t="str">
        <f t="shared" ref="D104:AA104" si="39">IFERROR(D103/D101,"")</f>
        <v/>
      </c>
      <c r="E104" s="23" t="str">
        <f t="shared" si="39"/>
        <v/>
      </c>
      <c r="F104" s="23" t="str">
        <f t="shared" si="39"/>
        <v/>
      </c>
      <c r="G104" s="23" t="str">
        <f t="shared" si="39"/>
        <v/>
      </c>
      <c r="H104" s="23" t="str">
        <f t="shared" si="39"/>
        <v/>
      </c>
      <c r="I104" s="23" t="str">
        <f t="shared" si="39"/>
        <v/>
      </c>
      <c r="J104" s="23" t="str">
        <f t="shared" si="39"/>
        <v/>
      </c>
      <c r="K104" s="23" t="str">
        <f t="shared" si="39"/>
        <v/>
      </c>
      <c r="L104" s="23">
        <f t="shared" si="39"/>
        <v>0.58640497845859263</v>
      </c>
      <c r="M104" s="23">
        <f t="shared" si="39"/>
        <v>0.56615512235586896</v>
      </c>
      <c r="N104" s="23">
        <f t="shared" si="39"/>
        <v>0.56571231459123839</v>
      </c>
      <c r="O104" s="23">
        <f t="shared" si="39"/>
        <v>0.58652682533279543</v>
      </c>
      <c r="P104" s="23">
        <f t="shared" si="39"/>
        <v>0.60677827684769292</v>
      </c>
      <c r="Q104" s="23">
        <f t="shared" si="39"/>
        <v>0.61223737559896796</v>
      </c>
      <c r="R104" s="23">
        <f t="shared" si="39"/>
        <v>0.60394537177541729</v>
      </c>
      <c r="S104" s="23">
        <f t="shared" si="39"/>
        <v>0.57499999999999996</v>
      </c>
      <c r="T104" s="23">
        <f t="shared" si="39"/>
        <v>0.58163265306122447</v>
      </c>
      <c r="U104" s="23">
        <f t="shared" si="39"/>
        <v>0.58092485549132944</v>
      </c>
      <c r="V104" s="23">
        <f t="shared" si="39"/>
        <v>0.57317073170731703</v>
      </c>
      <c r="W104" s="23">
        <f t="shared" si="39"/>
        <v>0.56675062972292189</v>
      </c>
      <c r="X104" s="23" t="str">
        <f t="shared" si="39"/>
        <v/>
      </c>
      <c r="Y104" s="23" t="str">
        <f t="shared" si="39"/>
        <v/>
      </c>
      <c r="Z104" s="23" t="str">
        <f t="shared" si="39"/>
        <v/>
      </c>
      <c r="AA104" s="23" t="str">
        <f t="shared" si="39"/>
        <v/>
      </c>
      <c r="AB104" s="19"/>
      <c r="AC104" s="23"/>
      <c r="AD104" s="23"/>
      <c r="AE104" s="23"/>
      <c r="AF104" s="23" t="str">
        <f>IFERROR(AF103/AF101,"")</f>
        <v/>
      </c>
      <c r="AG104" s="23" t="str">
        <f>IFERROR(AG103/AG101,"")</f>
        <v/>
      </c>
      <c r="AH104" s="23">
        <f>IFERROR(AH103/AH101,"")</f>
        <v>0.57542012553148414</v>
      </c>
      <c r="AI104" s="23">
        <f>IFERROR(AI103/AI101,"")</f>
        <v>0.59936039797459362</v>
      </c>
      <c r="AJ104" s="23">
        <f>IFERROR(AJ103/AJ101,"")</f>
        <v>0.57498272287491359</v>
      </c>
    </row>
    <row r="105" spans="1:36" x14ac:dyDescent="0.3">
      <c r="A105" s="20" t="s">
        <v>247</v>
      </c>
      <c r="B105" s="21" t="s">
        <v>214</v>
      </c>
      <c r="C105" s="22" t="s">
        <v>401</v>
      </c>
      <c r="D105" s="65"/>
      <c r="E105" s="65"/>
      <c r="F105" s="65"/>
      <c r="G105" s="65"/>
      <c r="H105" s="65"/>
      <c r="I105" s="65"/>
      <c r="J105" s="65"/>
      <c r="K105" s="65"/>
      <c r="L105" s="65">
        <v>957</v>
      </c>
      <c r="M105" s="65">
        <v>1061</v>
      </c>
      <c r="N105" s="65">
        <v>1274</v>
      </c>
      <c r="O105" s="65">
        <v>1137</v>
      </c>
      <c r="P105" s="65">
        <v>1210</v>
      </c>
      <c r="Q105" s="65">
        <v>1348</v>
      </c>
      <c r="R105" s="65">
        <v>1691</v>
      </c>
      <c r="S105" s="65">
        <v>1270</v>
      </c>
      <c r="T105" s="65">
        <v>1390</v>
      </c>
      <c r="U105" s="65">
        <v>1650</v>
      </c>
      <c r="V105" s="65">
        <v>2040</v>
      </c>
      <c r="W105" s="65">
        <v>1840</v>
      </c>
      <c r="X105" s="65"/>
      <c r="Y105" s="65"/>
      <c r="Z105" s="65"/>
      <c r="AA105" s="65"/>
      <c r="AB105" s="19"/>
      <c r="AC105" s="66"/>
      <c r="AD105" s="66"/>
      <c r="AE105" s="66"/>
      <c r="AF105" s="66" t="str">
        <f>IF(COUNT(D105:G105)=0,"",SUM(D105:G105))</f>
        <v/>
      </c>
      <c r="AG105" s="66" t="str">
        <f>IF(COUNT(H105:K105)=0,"",SUM(H105:K105))</f>
        <v/>
      </c>
      <c r="AH105" s="66">
        <f>IF(COUNT(L105:O105)=0,"",SUM(L105:O105))</f>
        <v>4429</v>
      </c>
      <c r="AI105" s="66">
        <f>IF(COUNT(P105:S105)=0,"",SUM(P105:S105))</f>
        <v>5519</v>
      </c>
      <c r="AJ105" s="66">
        <f>IF(COUNT(T105:W105)=0,"",SUM(T105:W105))</f>
        <v>6920</v>
      </c>
    </row>
    <row r="106" spans="1:36" x14ac:dyDescent="0.3">
      <c r="A106" s="20" t="s">
        <v>222</v>
      </c>
      <c r="B106" s="21" t="s">
        <v>217</v>
      </c>
      <c r="C106" s="22"/>
      <c r="D106" s="23" t="str">
        <f t="shared" ref="D106:AA106" si="40">IFERROR(D105/D101,"")</f>
        <v/>
      </c>
      <c r="E106" s="23" t="str">
        <f t="shared" si="40"/>
        <v/>
      </c>
      <c r="F106" s="23" t="str">
        <f t="shared" si="40"/>
        <v/>
      </c>
      <c r="G106" s="23" t="str">
        <f t="shared" si="40"/>
        <v/>
      </c>
      <c r="H106" s="23" t="str">
        <f t="shared" si="40"/>
        <v/>
      </c>
      <c r="I106" s="23" t="str">
        <f t="shared" si="40"/>
        <v/>
      </c>
      <c r="J106" s="23" t="str">
        <f t="shared" si="40"/>
        <v/>
      </c>
      <c r="K106" s="23" t="str">
        <f t="shared" si="40"/>
        <v/>
      </c>
      <c r="L106" s="23">
        <f t="shared" si="40"/>
        <v>0.45811393011010054</v>
      </c>
      <c r="M106" s="23">
        <f t="shared" si="40"/>
        <v>0.44006636250518455</v>
      </c>
      <c r="N106" s="23">
        <f t="shared" si="40"/>
        <v>0.43946188340807174</v>
      </c>
      <c r="O106" s="23">
        <f t="shared" si="40"/>
        <v>0.45865268253327957</v>
      </c>
      <c r="P106" s="23">
        <f t="shared" si="40"/>
        <v>0.49407921600653326</v>
      </c>
      <c r="Q106" s="23">
        <f t="shared" si="40"/>
        <v>0.49686693697014378</v>
      </c>
      <c r="R106" s="23">
        <f t="shared" si="40"/>
        <v>0.51320182094081945</v>
      </c>
      <c r="S106" s="23">
        <f t="shared" si="40"/>
        <v>0.45357142857142857</v>
      </c>
      <c r="T106" s="23">
        <f t="shared" si="40"/>
        <v>0.47278911564625853</v>
      </c>
      <c r="U106" s="23">
        <f t="shared" si="40"/>
        <v>0.47687861271676302</v>
      </c>
      <c r="V106" s="23">
        <f t="shared" si="40"/>
        <v>0.4975609756097561</v>
      </c>
      <c r="W106" s="23">
        <f t="shared" si="40"/>
        <v>0.46347607052896728</v>
      </c>
      <c r="X106" s="23" t="str">
        <f t="shared" si="40"/>
        <v/>
      </c>
      <c r="Y106" s="23" t="str">
        <f t="shared" si="40"/>
        <v/>
      </c>
      <c r="Z106" s="23" t="str">
        <f t="shared" si="40"/>
        <v/>
      </c>
      <c r="AA106" s="23" t="str">
        <f t="shared" si="40"/>
        <v/>
      </c>
      <c r="AB106" s="19"/>
      <c r="AC106" s="23"/>
      <c r="AD106" s="23"/>
      <c r="AE106" s="23"/>
      <c r="AF106" s="23" t="str">
        <f>IFERROR(AF105/AF101,"")</f>
        <v/>
      </c>
      <c r="AG106" s="23" t="str">
        <f>IFERROR(AG105/AG101,"")</f>
        <v/>
      </c>
      <c r="AH106" s="23">
        <f>IFERROR(AH105/AH101,"")</f>
        <v>0.44837011540797733</v>
      </c>
      <c r="AI106" s="23">
        <f>IFERROR(AI105/AI101,"")</f>
        <v>0.49027271919694415</v>
      </c>
      <c r="AJ106" s="23">
        <f>IFERROR(AJ105/AJ101,"")</f>
        <v>0.47823082239115411</v>
      </c>
    </row>
    <row r="107" spans="1:36" x14ac:dyDescent="0.3">
      <c r="A107" s="20" t="s">
        <v>248</v>
      </c>
      <c r="B107" s="21" t="s">
        <v>214</v>
      </c>
      <c r="C107" s="22" t="s">
        <v>401</v>
      </c>
      <c r="D107" s="65"/>
      <c r="E107" s="65"/>
      <c r="F107" s="65"/>
      <c r="G107" s="65"/>
      <c r="H107" s="65"/>
      <c r="I107" s="65"/>
      <c r="J107" s="65"/>
      <c r="K107" s="65"/>
      <c r="L107" s="65">
        <v>237</v>
      </c>
      <c r="M107" s="65">
        <v>283</v>
      </c>
      <c r="N107" s="65">
        <v>318</v>
      </c>
      <c r="O107" s="65">
        <v>259</v>
      </c>
      <c r="P107" s="65">
        <v>237</v>
      </c>
      <c r="Q107" s="65">
        <v>248</v>
      </c>
      <c r="R107" s="65">
        <v>330</v>
      </c>
      <c r="S107" s="65">
        <v>280</v>
      </c>
      <c r="T107" s="65">
        <v>330</v>
      </c>
      <c r="U107" s="65">
        <v>390</v>
      </c>
      <c r="V107" s="65">
        <v>460</v>
      </c>
      <c r="W107" s="65">
        <v>450</v>
      </c>
      <c r="X107" s="65"/>
      <c r="Y107" s="65"/>
      <c r="Z107" s="65"/>
      <c r="AA107" s="65"/>
      <c r="AB107" s="19"/>
      <c r="AC107" s="66"/>
      <c r="AD107" s="66"/>
      <c r="AE107" s="66"/>
      <c r="AF107" s="66" t="str">
        <f>IF(COUNT(D107:G107)=0,"",SUM(D107:G107))</f>
        <v/>
      </c>
      <c r="AG107" s="66" t="str">
        <f>IF(COUNT(H107:K107)=0,"",SUM(H107:K107))</f>
        <v/>
      </c>
      <c r="AH107" s="66">
        <f>IF(COUNT(L107:O107)=0,"",SUM(L107:O107))</f>
        <v>1097</v>
      </c>
      <c r="AI107" s="66">
        <f>IF(COUNT(P107:S107)=0,"",SUM(P107:S107))</f>
        <v>1095</v>
      </c>
      <c r="AJ107" s="66">
        <f>IF(COUNT(T107:W107)=0,"",SUM(T107:W107))</f>
        <v>1630</v>
      </c>
    </row>
    <row r="108" spans="1:36" x14ac:dyDescent="0.3">
      <c r="A108" s="20" t="s">
        <v>402</v>
      </c>
      <c r="B108" s="21" t="s">
        <v>214</v>
      </c>
      <c r="C108" s="22" t="s">
        <v>401</v>
      </c>
      <c r="D108" s="65"/>
      <c r="E108" s="65"/>
      <c r="F108" s="65"/>
      <c r="G108" s="65"/>
      <c r="H108" s="65"/>
      <c r="I108" s="65"/>
      <c r="J108" s="65"/>
      <c r="K108" s="65"/>
      <c r="L108" s="65">
        <v>594</v>
      </c>
      <c r="M108" s="65"/>
      <c r="N108" s="65">
        <v>714</v>
      </c>
      <c r="O108" s="65">
        <v>620</v>
      </c>
      <c r="P108" s="65">
        <v>672</v>
      </c>
      <c r="Q108" s="65">
        <v>790</v>
      </c>
      <c r="R108" s="65">
        <v>1007</v>
      </c>
      <c r="S108" s="65">
        <v>840</v>
      </c>
      <c r="T108" s="65">
        <v>830</v>
      </c>
      <c r="U108" s="65">
        <v>930</v>
      </c>
      <c r="V108" s="65">
        <v>1150</v>
      </c>
      <c r="W108" s="65">
        <v>910</v>
      </c>
      <c r="X108" s="65"/>
      <c r="Y108" s="65"/>
      <c r="Z108" s="65"/>
      <c r="AA108" s="65"/>
      <c r="AB108" s="19"/>
      <c r="AC108" s="66"/>
      <c r="AD108" s="66"/>
      <c r="AE108" s="66"/>
      <c r="AF108" s="66" t="str">
        <f>IF(COUNT(D108:G108)=0,"",SUM(D108:G108))</f>
        <v/>
      </c>
      <c r="AG108" s="66" t="str">
        <f>IF(COUNT(H108:K108)=0,"",SUM(H108:K108))</f>
        <v/>
      </c>
      <c r="AH108" s="66">
        <f>IF(COUNT(L108:O108)=0,"",SUM(L108:O108))</f>
        <v>1928</v>
      </c>
      <c r="AI108" s="66">
        <f>IF(COUNT(P108:S108)=0,"",SUM(P108:S108))</f>
        <v>3309</v>
      </c>
      <c r="AJ108" s="66">
        <f>IF(COUNT(T108:W108)=0,"",SUM(T108:W108))</f>
        <v>3820</v>
      </c>
    </row>
    <row r="109" spans="1:36" x14ac:dyDescent="0.3">
      <c r="A109" s="20" t="s">
        <v>403</v>
      </c>
      <c r="B109" s="21" t="s">
        <v>214</v>
      </c>
      <c r="C109" s="22" t="s">
        <v>401</v>
      </c>
      <c r="D109" s="65"/>
      <c r="E109" s="65"/>
      <c r="F109" s="65"/>
      <c r="G109" s="65"/>
      <c r="H109" s="65"/>
      <c r="I109" s="65"/>
      <c r="J109" s="65"/>
      <c r="K109" s="65"/>
      <c r="L109" s="65">
        <v>37</v>
      </c>
      <c r="M109" s="65"/>
      <c r="N109" s="65">
        <v>42</v>
      </c>
      <c r="O109" s="65">
        <v>40</v>
      </c>
      <c r="P109" s="65">
        <v>52</v>
      </c>
      <c r="Q109" s="65">
        <v>54</v>
      </c>
      <c r="R109" s="65">
        <v>65</v>
      </c>
      <c r="S109" s="65">
        <v>60</v>
      </c>
      <c r="T109" s="65">
        <v>0</v>
      </c>
      <c r="U109" s="65">
        <v>0</v>
      </c>
      <c r="V109" s="65">
        <v>0</v>
      </c>
      <c r="W109" s="65">
        <v>0</v>
      </c>
      <c r="X109" s="65"/>
      <c r="Y109" s="65"/>
      <c r="Z109" s="65"/>
      <c r="AA109" s="65"/>
      <c r="AB109" s="19"/>
      <c r="AC109" s="66"/>
      <c r="AD109" s="66"/>
      <c r="AE109" s="66"/>
      <c r="AF109" s="66" t="str">
        <f>IF(COUNT(D109:G109)=0,"",SUM(D109:G109))</f>
        <v/>
      </c>
      <c r="AG109" s="66" t="str">
        <f>IF(COUNT(H109:K109)=0,"",SUM(H109:K109))</f>
        <v/>
      </c>
      <c r="AH109" s="66">
        <f>IF(COUNT(L109:O109)=0,"",SUM(L109:O109))</f>
        <v>119</v>
      </c>
      <c r="AI109" s="66">
        <f>IF(COUNT(P109:S109)=0,"",SUM(P109:S109))</f>
        <v>231</v>
      </c>
      <c r="AJ109" s="66">
        <f>IF(COUNT(T109:W109)=0,"",SUM(T109:W109))</f>
        <v>0</v>
      </c>
    </row>
    <row r="110" spans="1:36" x14ac:dyDescent="0.3">
      <c r="A110" s="20" t="s">
        <v>254</v>
      </c>
      <c r="B110" s="21" t="s">
        <v>214</v>
      </c>
      <c r="C110" s="22"/>
      <c r="D110" s="66" t="str">
        <f t="shared" ref="D110:AA110" si="41">IF(OR(ISBLANK(D105),ISBLANK(D107),ISBLANK(D108),ISBLANK(D109)),"",IFERROR(D105-D107-D108-D109,""))</f>
        <v/>
      </c>
      <c r="E110" s="66" t="str">
        <f t="shared" si="41"/>
        <v/>
      </c>
      <c r="F110" s="66" t="str">
        <f t="shared" si="41"/>
        <v/>
      </c>
      <c r="G110" s="66" t="str">
        <f t="shared" si="41"/>
        <v/>
      </c>
      <c r="H110" s="66" t="str">
        <f t="shared" si="41"/>
        <v/>
      </c>
      <c r="I110" s="66" t="str">
        <f t="shared" si="41"/>
        <v/>
      </c>
      <c r="J110" s="66" t="str">
        <f t="shared" si="41"/>
        <v/>
      </c>
      <c r="K110" s="66" t="str">
        <f t="shared" si="41"/>
        <v/>
      </c>
      <c r="L110" s="66">
        <f t="shared" si="41"/>
        <v>89</v>
      </c>
      <c r="M110" s="66" t="str">
        <f t="shared" si="41"/>
        <v/>
      </c>
      <c r="N110" s="66">
        <f t="shared" si="41"/>
        <v>200</v>
      </c>
      <c r="O110" s="66">
        <f t="shared" si="41"/>
        <v>218</v>
      </c>
      <c r="P110" s="66">
        <f t="shared" si="41"/>
        <v>249</v>
      </c>
      <c r="Q110" s="66">
        <f t="shared" si="41"/>
        <v>256</v>
      </c>
      <c r="R110" s="66">
        <f t="shared" si="41"/>
        <v>289</v>
      </c>
      <c r="S110" s="66">
        <f t="shared" si="41"/>
        <v>90</v>
      </c>
      <c r="T110" s="66">
        <f t="shared" si="41"/>
        <v>230</v>
      </c>
      <c r="U110" s="66">
        <f t="shared" si="41"/>
        <v>330</v>
      </c>
      <c r="V110" s="66">
        <f t="shared" si="41"/>
        <v>430</v>
      </c>
      <c r="W110" s="66">
        <f t="shared" si="41"/>
        <v>480</v>
      </c>
      <c r="X110" s="66" t="str">
        <f t="shared" si="41"/>
        <v/>
      </c>
      <c r="Y110" s="66" t="str">
        <f t="shared" si="41"/>
        <v/>
      </c>
      <c r="Z110" s="66" t="str">
        <f t="shared" si="41"/>
        <v/>
      </c>
      <c r="AA110" s="66" t="str">
        <f t="shared" si="41"/>
        <v/>
      </c>
      <c r="AB110" s="19"/>
      <c r="AC110" s="66"/>
      <c r="AD110" s="66"/>
      <c r="AE110" s="66"/>
      <c r="AF110" s="66" t="str">
        <f>IF(OR(ISBLANK(AF105),ISBLANK(AF107),ISBLANK(AF108),ISBLANK(AF109)),"",IFERROR(AF105-AF107-AF108-AF109,""))</f>
        <v/>
      </c>
      <c r="AG110" s="66" t="str">
        <f>IF(OR(ISBLANK(AG105),ISBLANK(AG107),ISBLANK(AG108),ISBLANK(AG109)),"",IFERROR(AG105-AG107-AG108-AG109,""))</f>
        <v/>
      </c>
      <c r="AH110" s="66">
        <f>IF(OR(ISBLANK(AH105),ISBLANK(AH107),ISBLANK(AH108),ISBLANK(AH109)),"",IFERROR(AH105-AH107-AH108-AH109,""))</f>
        <v>1285</v>
      </c>
      <c r="AI110" s="66">
        <f>IF(OR(ISBLANK(AI105),ISBLANK(AI107),ISBLANK(AI108),ISBLANK(AI109)),"",IFERROR(AI105-AI107-AI108-AI109,""))</f>
        <v>884</v>
      </c>
      <c r="AJ110" s="66">
        <f>IF(OR(ISBLANK(AJ105),ISBLANK(AJ107),ISBLANK(AJ108),ISBLANK(AJ109)),"",IFERROR(AJ105-AJ107-AJ108-AJ109,""))</f>
        <v>1470</v>
      </c>
    </row>
    <row r="111" spans="1:36" x14ac:dyDescent="0.3">
      <c r="A111" s="20" t="s">
        <v>255</v>
      </c>
      <c r="B111" s="21" t="s">
        <v>217</v>
      </c>
      <c r="C111" s="22"/>
      <c r="D111" s="23" t="str">
        <f t="shared" ref="D111:AA111" si="42">IFERROR(D110/D101,"")</f>
        <v/>
      </c>
      <c r="E111" s="23" t="str">
        <f t="shared" si="42"/>
        <v/>
      </c>
      <c r="F111" s="23" t="str">
        <f t="shared" si="42"/>
        <v/>
      </c>
      <c r="G111" s="23" t="str">
        <f t="shared" si="42"/>
        <v/>
      </c>
      <c r="H111" s="23" t="str">
        <f t="shared" si="42"/>
        <v/>
      </c>
      <c r="I111" s="23" t="str">
        <f t="shared" si="42"/>
        <v/>
      </c>
      <c r="J111" s="23" t="str">
        <f t="shared" si="42"/>
        <v/>
      </c>
      <c r="K111" s="23" t="str">
        <f t="shared" si="42"/>
        <v/>
      </c>
      <c r="L111" s="23">
        <f t="shared" si="42"/>
        <v>4.2604116802297753E-2</v>
      </c>
      <c r="M111" s="23" t="str">
        <f t="shared" si="42"/>
        <v/>
      </c>
      <c r="N111" s="23">
        <f t="shared" si="42"/>
        <v>6.8989306657468094E-2</v>
      </c>
      <c r="O111" s="23">
        <f t="shared" si="42"/>
        <v>8.7938684953610333E-2</v>
      </c>
      <c r="P111" s="23">
        <f t="shared" si="42"/>
        <v>0.10167415271539404</v>
      </c>
      <c r="Q111" s="23">
        <f t="shared" si="42"/>
        <v>9.4360486546258754E-2</v>
      </c>
      <c r="R111" s="23">
        <f t="shared" si="42"/>
        <v>8.7708649468892258E-2</v>
      </c>
      <c r="S111" s="23">
        <f t="shared" si="42"/>
        <v>3.214285714285714E-2</v>
      </c>
      <c r="T111" s="23">
        <f t="shared" si="42"/>
        <v>7.8231292517006806E-2</v>
      </c>
      <c r="U111" s="23">
        <f t="shared" si="42"/>
        <v>9.5375722543352595E-2</v>
      </c>
      <c r="V111" s="23">
        <f t="shared" si="42"/>
        <v>0.1048780487804878</v>
      </c>
      <c r="W111" s="23">
        <f t="shared" si="42"/>
        <v>0.12090680100755667</v>
      </c>
      <c r="X111" s="23" t="str">
        <f t="shared" si="42"/>
        <v/>
      </c>
      <c r="Y111" s="23" t="str">
        <f t="shared" si="42"/>
        <v/>
      </c>
      <c r="Z111" s="23" t="str">
        <f t="shared" si="42"/>
        <v/>
      </c>
      <c r="AA111" s="23" t="str">
        <f t="shared" si="42"/>
        <v/>
      </c>
      <c r="AB111" s="19"/>
      <c r="AC111" s="23"/>
      <c r="AD111" s="23"/>
      <c r="AE111" s="23"/>
      <c r="AF111" s="23" t="str">
        <f>IFERROR(AF110/AF101,"")</f>
        <v/>
      </c>
      <c r="AG111" s="23" t="str">
        <f>IFERROR(AG110/AG101,"")</f>
        <v/>
      </c>
      <c r="AH111" s="23">
        <f>IFERROR(AH110/AH101,"")</f>
        <v>0.13008706215833166</v>
      </c>
      <c r="AI111" s="23">
        <f>IFERROR(AI110/AI101,"")</f>
        <v>7.8528915341565253E-2</v>
      </c>
      <c r="AJ111" s="23">
        <f>IFERROR(AJ110/AJ101,"")</f>
        <v>0.10158949550794748</v>
      </c>
    </row>
    <row r="112" spans="1:36" x14ac:dyDescent="0.3">
      <c r="A112" s="20" t="s">
        <v>256</v>
      </c>
      <c r="B112" s="21" t="s">
        <v>214</v>
      </c>
      <c r="C112" s="22" t="s">
        <v>401</v>
      </c>
      <c r="D112" s="65"/>
      <c r="E112" s="65"/>
      <c r="F112" s="65"/>
      <c r="G112" s="65"/>
      <c r="H112" s="65"/>
      <c r="I112" s="65"/>
      <c r="J112" s="65"/>
      <c r="K112" s="65"/>
      <c r="L112" s="65">
        <v>384</v>
      </c>
      <c r="M112" s="65"/>
      <c r="N112" s="65">
        <v>412</v>
      </c>
      <c r="O112" s="65">
        <v>430</v>
      </c>
      <c r="P112" s="65">
        <v>474</v>
      </c>
      <c r="Q112" s="65">
        <v>500</v>
      </c>
      <c r="R112" s="65">
        <v>466</v>
      </c>
      <c r="S112" s="65">
        <v>380</v>
      </c>
      <c r="T112" s="65">
        <v>420</v>
      </c>
      <c r="U112" s="65">
        <v>450</v>
      </c>
      <c r="V112" s="65">
        <v>510</v>
      </c>
      <c r="W112" s="65">
        <v>470</v>
      </c>
      <c r="X112" s="65"/>
      <c r="Y112" s="65"/>
      <c r="Z112" s="65"/>
      <c r="AA112" s="65"/>
      <c r="AB112" s="19"/>
      <c r="AC112" s="66"/>
      <c r="AD112" s="66"/>
      <c r="AE112" s="66"/>
      <c r="AF112" s="66" t="str">
        <f>IF(COUNT(D112:G112)=0,"",SUM(D112:G112))</f>
        <v/>
      </c>
      <c r="AG112" s="66" t="str">
        <f>IF(COUNT(H112:K112)=0,"",SUM(H112:K112))</f>
        <v/>
      </c>
      <c r="AH112" s="66">
        <f>IF(COUNT(L112:O112)=0,"",SUM(L112:O112))</f>
        <v>1226</v>
      </c>
      <c r="AI112" s="66">
        <f>IF(COUNT(P112:S112)=0,"",SUM(P112:S112))</f>
        <v>1820</v>
      </c>
      <c r="AJ112" s="66">
        <f>IF(COUNT(T112:W112)=0,"",SUM(T112:W112))</f>
        <v>1850</v>
      </c>
    </row>
    <row r="113" spans="1:36" x14ac:dyDescent="0.3">
      <c r="A113" s="20" t="s">
        <v>223</v>
      </c>
      <c r="B113" s="21" t="s">
        <v>214</v>
      </c>
      <c r="C113" s="22"/>
      <c r="D113" s="66" t="str">
        <f t="shared" ref="D113:AA113" si="43">IF(OR(ISBLANK(D110),ISBLANK(D112)),"",IFERROR(D110-D112,""))</f>
        <v/>
      </c>
      <c r="E113" s="66" t="str">
        <f t="shared" si="43"/>
        <v/>
      </c>
      <c r="F113" s="66" t="str">
        <f t="shared" si="43"/>
        <v/>
      </c>
      <c r="G113" s="66" t="str">
        <f t="shared" si="43"/>
        <v/>
      </c>
      <c r="H113" s="66" t="str">
        <f t="shared" si="43"/>
        <v/>
      </c>
      <c r="I113" s="66" t="str">
        <f t="shared" si="43"/>
        <v/>
      </c>
      <c r="J113" s="66" t="str">
        <f t="shared" si="43"/>
        <v/>
      </c>
      <c r="K113" s="66" t="str">
        <f t="shared" si="43"/>
        <v/>
      </c>
      <c r="L113" s="66">
        <f t="shared" si="43"/>
        <v>-295</v>
      </c>
      <c r="M113" s="66" t="str">
        <f t="shared" si="43"/>
        <v/>
      </c>
      <c r="N113" s="66">
        <f t="shared" si="43"/>
        <v>-212</v>
      </c>
      <c r="O113" s="66">
        <f t="shared" si="43"/>
        <v>-212</v>
      </c>
      <c r="P113" s="66">
        <f t="shared" si="43"/>
        <v>-225</v>
      </c>
      <c r="Q113" s="66">
        <f t="shared" si="43"/>
        <v>-244</v>
      </c>
      <c r="R113" s="66">
        <f t="shared" si="43"/>
        <v>-177</v>
      </c>
      <c r="S113" s="66">
        <f t="shared" si="43"/>
        <v>-290</v>
      </c>
      <c r="T113" s="66">
        <f t="shared" si="43"/>
        <v>-190</v>
      </c>
      <c r="U113" s="66">
        <f t="shared" si="43"/>
        <v>-120</v>
      </c>
      <c r="V113" s="66">
        <f t="shared" si="43"/>
        <v>-80</v>
      </c>
      <c r="W113" s="66">
        <f t="shared" si="43"/>
        <v>10</v>
      </c>
      <c r="X113" s="66" t="str">
        <f t="shared" si="43"/>
        <v/>
      </c>
      <c r="Y113" s="66" t="str">
        <f t="shared" si="43"/>
        <v/>
      </c>
      <c r="Z113" s="66" t="str">
        <f t="shared" si="43"/>
        <v/>
      </c>
      <c r="AA113" s="66" t="str">
        <f t="shared" si="43"/>
        <v/>
      </c>
      <c r="AB113" s="19"/>
      <c r="AC113" s="66"/>
      <c r="AD113" s="66"/>
      <c r="AE113" s="66"/>
      <c r="AF113" s="66" t="str">
        <f>IF(OR(ISBLANK(AF110),ISBLANK(AF112)),"",IFERROR(AF110-AF112,""))</f>
        <v/>
      </c>
      <c r="AG113" s="66" t="str">
        <f>IF(OR(ISBLANK(AG110),ISBLANK(AG112)),"",IFERROR(AG110-AG112,""))</f>
        <v/>
      </c>
      <c r="AH113" s="66">
        <f>IF(OR(ISBLANK(AH110),ISBLANK(AH112)),"",IFERROR(AH110-AH112,""))</f>
        <v>59</v>
      </c>
      <c r="AI113" s="66">
        <f>IF(OR(ISBLANK(AI110),ISBLANK(AI112)),"",IFERROR(AI110-AI112,""))</f>
        <v>-936</v>
      </c>
      <c r="AJ113" s="66">
        <f>IF(OR(ISBLANK(AJ110),ISBLANK(AJ112)),"",IFERROR(AJ110-AJ112,""))</f>
        <v>-380</v>
      </c>
    </row>
    <row r="114" spans="1:36" x14ac:dyDescent="0.3">
      <c r="A114" s="20" t="s">
        <v>224</v>
      </c>
      <c r="B114" s="21" t="s">
        <v>217</v>
      </c>
      <c r="C114" s="22"/>
      <c r="D114" s="23" t="str">
        <f t="shared" ref="D114:AA114" si="44">IFERROR(D113/D101,"")</f>
        <v/>
      </c>
      <c r="E114" s="23" t="str">
        <f t="shared" si="44"/>
        <v/>
      </c>
      <c r="F114" s="23" t="str">
        <f t="shared" si="44"/>
        <v/>
      </c>
      <c r="G114" s="23" t="str">
        <f t="shared" si="44"/>
        <v/>
      </c>
      <c r="H114" s="23" t="str">
        <f t="shared" si="44"/>
        <v/>
      </c>
      <c r="I114" s="23" t="str">
        <f t="shared" si="44"/>
        <v/>
      </c>
      <c r="J114" s="23" t="str">
        <f t="shared" si="44"/>
        <v/>
      </c>
      <c r="K114" s="23" t="str">
        <f t="shared" si="44"/>
        <v/>
      </c>
      <c r="L114" s="23">
        <f t="shared" si="44"/>
        <v>-0.14121589277166108</v>
      </c>
      <c r="M114" s="23" t="str">
        <f t="shared" si="44"/>
        <v/>
      </c>
      <c r="N114" s="23">
        <f t="shared" si="44"/>
        <v>-7.3128665056916176E-2</v>
      </c>
      <c r="O114" s="23">
        <f t="shared" si="44"/>
        <v>-8.5518354175070588E-2</v>
      </c>
      <c r="P114" s="23">
        <f t="shared" si="44"/>
        <v>-9.1874234381380149E-2</v>
      </c>
      <c r="Q114" s="23">
        <f t="shared" si="44"/>
        <v>-8.9937338739402878E-2</v>
      </c>
      <c r="R114" s="23">
        <f t="shared" si="44"/>
        <v>-5.3717754172989379E-2</v>
      </c>
      <c r="S114" s="23">
        <f t="shared" si="44"/>
        <v>-0.10357142857142858</v>
      </c>
      <c r="T114" s="23">
        <f t="shared" si="44"/>
        <v>-6.4625850340136057E-2</v>
      </c>
      <c r="U114" s="23">
        <f t="shared" si="44"/>
        <v>-3.4682080924855488E-2</v>
      </c>
      <c r="V114" s="23">
        <f t="shared" si="44"/>
        <v>-1.9512195121951219E-2</v>
      </c>
      <c r="W114" s="23">
        <f t="shared" si="44"/>
        <v>2.5188916876574307E-3</v>
      </c>
      <c r="X114" s="23" t="str">
        <f t="shared" si="44"/>
        <v/>
      </c>
      <c r="Y114" s="23" t="str">
        <f t="shared" si="44"/>
        <v/>
      </c>
      <c r="Z114" s="23" t="str">
        <f t="shared" si="44"/>
        <v/>
      </c>
      <c r="AA114" s="23" t="str">
        <f t="shared" si="44"/>
        <v/>
      </c>
      <c r="AB114" s="19"/>
      <c r="AC114" s="23"/>
      <c r="AD114" s="23"/>
      <c r="AE114" s="23"/>
      <c r="AF114" s="23" t="str">
        <f>IFERROR(AF113/AF101,"")</f>
        <v/>
      </c>
      <c r="AG114" s="23" t="str">
        <f>IFERROR(AG113/AG101,"")</f>
        <v/>
      </c>
      <c r="AH114" s="23">
        <f>IFERROR(AH113/AH101,"")</f>
        <v>5.9728690018222312E-3</v>
      </c>
      <c r="AI114" s="23">
        <f>IFERROR(AI113/AI101,"")</f>
        <v>-8.3148263302833786E-2</v>
      </c>
      <c r="AJ114" s="23">
        <f>IFERROR(AJ113/AJ101,"")</f>
        <v>-2.626123013130615E-2</v>
      </c>
    </row>
    <row r="115" spans="1:36" x14ac:dyDescent="0.3">
      <c r="AB115" s="19"/>
    </row>
    <row r="116" spans="1:36" x14ac:dyDescent="0.3">
      <c r="A116" s="20" t="s">
        <v>434</v>
      </c>
      <c r="B116" s="21" t="s">
        <v>214</v>
      </c>
      <c r="C116" s="22" t="s">
        <v>231</v>
      </c>
      <c r="D116" s="65">
        <v>210</v>
      </c>
      <c r="E116" s="65">
        <v>290</v>
      </c>
      <c r="F116" s="65">
        <v>406</v>
      </c>
      <c r="G116" s="65"/>
      <c r="H116" s="65">
        <v>706</v>
      </c>
      <c r="I116" s="65">
        <v>780</v>
      </c>
      <c r="J116" s="65">
        <v>902</v>
      </c>
      <c r="K116" s="65"/>
      <c r="L116" s="65">
        <v>916</v>
      </c>
      <c r="M116" s="65">
        <v>989</v>
      </c>
      <c r="N116" s="65">
        <v>1174</v>
      </c>
      <c r="O116" s="65"/>
      <c r="P116" s="65">
        <v>903</v>
      </c>
      <c r="Q116" s="65">
        <v>1090</v>
      </c>
      <c r="R116" s="65">
        <v>1200</v>
      </c>
      <c r="S116" s="65">
        <v>1120</v>
      </c>
      <c r="T116" s="65">
        <v>970</v>
      </c>
      <c r="U116" s="65">
        <v>950</v>
      </c>
      <c r="V116" s="65"/>
      <c r="W116" s="65"/>
      <c r="X116" s="65"/>
      <c r="Y116" s="65"/>
      <c r="Z116" s="65"/>
      <c r="AA116" s="65"/>
      <c r="AB116" s="19"/>
      <c r="AC116" s="66"/>
      <c r="AD116" s="66"/>
      <c r="AE116" s="66"/>
      <c r="AF116" s="66">
        <f>IF(COUNT(D116:G116)=0,"",SUM(D116:G116))</f>
        <v>906</v>
      </c>
      <c r="AG116" s="66">
        <f>IF(COUNT(H116:K116)=0,"",SUM(H116:K116))</f>
        <v>2388</v>
      </c>
      <c r="AH116" s="66">
        <f>IF(COUNT(L116:O116)=0,"",SUM(L116:O116))</f>
        <v>3079</v>
      </c>
      <c r="AI116" s="66">
        <f>IF(COUNT(P116:S116)=0,"",SUM(P116:S116))</f>
        <v>4313</v>
      </c>
      <c r="AJ116" s="66">
        <f>IF(COUNT(T116:W116)=0,"",SUM(T116:W116))</f>
        <v>1920</v>
      </c>
    </row>
    <row r="117" spans="1:36" x14ac:dyDescent="0.3">
      <c r="A117" s="20" t="s">
        <v>435</v>
      </c>
      <c r="B117" s="21" t="s">
        <v>217</v>
      </c>
      <c r="C117" s="22"/>
      <c r="D117" s="23" t="str">
        <f t="shared" ref="D117:AA117" si="45">IFERROR(D116/D98,"")</f>
        <v/>
      </c>
      <c r="E117" s="23" t="str">
        <f t="shared" si="45"/>
        <v/>
      </c>
      <c r="F117" s="23" t="str">
        <f t="shared" si="45"/>
        <v/>
      </c>
      <c r="G117" s="23" t="str">
        <f t="shared" si="45"/>
        <v/>
      </c>
      <c r="H117" s="23" t="str">
        <f t="shared" si="45"/>
        <v/>
      </c>
      <c r="I117" s="23" t="str">
        <f t="shared" si="45"/>
        <v/>
      </c>
      <c r="J117" s="23" t="str">
        <f t="shared" si="45"/>
        <v/>
      </c>
      <c r="K117" s="23" t="str">
        <f t="shared" si="45"/>
        <v/>
      </c>
      <c r="L117" s="23">
        <f t="shared" si="45"/>
        <v>0.13554306007694583</v>
      </c>
      <c r="M117" s="23">
        <f t="shared" si="45"/>
        <v>0.12563516260162602</v>
      </c>
      <c r="N117" s="23">
        <f t="shared" si="45"/>
        <v>0.11218346870520783</v>
      </c>
      <c r="O117" s="23">
        <f t="shared" si="45"/>
        <v>0</v>
      </c>
      <c r="P117" s="23">
        <f t="shared" si="45"/>
        <v>0.11665159540111096</v>
      </c>
      <c r="Q117" s="23">
        <f t="shared" si="45"/>
        <v>0.12625970114676241</v>
      </c>
      <c r="R117" s="23">
        <f t="shared" si="45"/>
        <v>0.10620408885742101</v>
      </c>
      <c r="S117" s="23">
        <f t="shared" si="45"/>
        <v>0.10800385728061716</v>
      </c>
      <c r="T117" s="23">
        <f t="shared" si="45"/>
        <v>0.10062240663900415</v>
      </c>
      <c r="U117" s="23">
        <f t="shared" si="45"/>
        <v>8.050847457627118E-2</v>
      </c>
      <c r="V117" s="23">
        <f t="shared" si="45"/>
        <v>0</v>
      </c>
      <c r="W117" s="23">
        <f t="shared" si="45"/>
        <v>0</v>
      </c>
      <c r="X117" s="23" t="str">
        <f t="shared" si="45"/>
        <v/>
      </c>
      <c r="Y117" s="23" t="str">
        <f t="shared" si="45"/>
        <v/>
      </c>
      <c r="Z117" s="23" t="str">
        <f t="shared" si="45"/>
        <v/>
      </c>
      <c r="AA117" s="23" t="str">
        <f t="shared" si="45"/>
        <v/>
      </c>
      <c r="AB117" s="19"/>
      <c r="AC117" s="23"/>
      <c r="AD117" s="23"/>
      <c r="AE117" s="23"/>
      <c r="AF117" s="23" t="str">
        <f>IFERROR(AF116/AF98,"")</f>
        <v/>
      </c>
      <c r="AG117" s="23" t="str">
        <f>IFERROR(AG116/AG98,"")</f>
        <v/>
      </c>
      <c r="AH117" s="23">
        <f>IFERROR(AH116/AH98,"")</f>
        <v>9.0946684389307336E-2</v>
      </c>
      <c r="AI117" s="23">
        <f>IFERROR(AI116/AI98,"")</f>
        <v>0.11337171095865205</v>
      </c>
      <c r="AJ117" s="23">
        <f>IFERROR(AJ116/AJ98,"")</f>
        <v>3.875656035526847E-2</v>
      </c>
    </row>
    <row r="118" spans="1:36" x14ac:dyDescent="0.3">
      <c r="A118" s="20" t="s">
        <v>436</v>
      </c>
      <c r="B118" s="21" t="s">
        <v>405</v>
      </c>
      <c r="C118" s="22" t="s">
        <v>231</v>
      </c>
      <c r="D118" s="69">
        <v>6</v>
      </c>
      <c r="E118" s="69">
        <v>7</v>
      </c>
      <c r="F118" s="69"/>
      <c r="G118" s="69"/>
      <c r="H118" s="69">
        <v>11</v>
      </c>
      <c r="I118" s="69">
        <v>11</v>
      </c>
      <c r="J118" s="69"/>
      <c r="K118" s="69"/>
      <c r="L118" s="69">
        <v>13</v>
      </c>
      <c r="M118" s="69"/>
      <c r="N118" s="69"/>
      <c r="O118" s="69"/>
      <c r="P118" s="69"/>
      <c r="Q118" s="69"/>
      <c r="R118" s="69"/>
      <c r="S118" s="69"/>
      <c r="T118" s="69"/>
      <c r="U118" s="69"/>
      <c r="V118" s="69"/>
      <c r="W118" s="69"/>
      <c r="X118" s="69"/>
      <c r="Y118" s="69"/>
      <c r="Z118" s="69"/>
      <c r="AA118" s="69"/>
      <c r="AB118" s="19"/>
      <c r="AC118" s="41"/>
      <c r="AD118" s="41"/>
      <c r="AE118" s="41"/>
      <c r="AF118" s="41" t="str">
        <f>IF(G118="","",G118)</f>
        <v/>
      </c>
      <c r="AG118" s="41" t="str">
        <f>IF(K118="","",K118)</f>
        <v/>
      </c>
      <c r="AH118" s="41" t="str">
        <f>IF(O118="","",O118)</f>
        <v/>
      </c>
      <c r="AI118" s="41" t="str">
        <f>IF(S118="","",S118)</f>
        <v/>
      </c>
      <c r="AJ118" s="41" t="str">
        <f>IF(W118="","",W118)</f>
        <v/>
      </c>
    </row>
    <row r="119" spans="1:36" x14ac:dyDescent="0.3">
      <c r="A119" s="20" t="s">
        <v>437</v>
      </c>
      <c r="B119" s="21" t="s">
        <v>236</v>
      </c>
      <c r="C119" s="22" t="s">
        <v>231</v>
      </c>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19"/>
      <c r="AC119" s="36"/>
      <c r="AD119" s="36"/>
      <c r="AE119" s="36"/>
      <c r="AF119" s="36" t="str">
        <f>IF(G119="","",G119)</f>
        <v/>
      </c>
      <c r="AG119" s="36" t="str">
        <f>IF(K119="","",K119)</f>
        <v/>
      </c>
      <c r="AH119" s="36" t="str">
        <f>IF(O119="","",O119)</f>
        <v/>
      </c>
      <c r="AI119" s="36" t="str">
        <f>IF(S119="","",S119)</f>
        <v/>
      </c>
      <c r="AJ119" s="36" t="str">
        <f>IF(W119="","",W119)</f>
        <v/>
      </c>
    </row>
    <row r="120" spans="1:36" x14ac:dyDescent="0.3">
      <c r="AB120" s="19"/>
    </row>
    <row r="121" spans="1:36" x14ac:dyDescent="0.3">
      <c r="A121" s="5" t="s">
        <v>438</v>
      </c>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44"/>
      <c r="AC121" s="5"/>
      <c r="AD121" s="5"/>
      <c r="AE121" s="5"/>
      <c r="AF121" s="5"/>
      <c r="AG121" s="5"/>
      <c r="AH121" s="5"/>
      <c r="AI121" s="5"/>
      <c r="AJ121" s="5"/>
    </row>
    <row r="122" spans="1:36" x14ac:dyDescent="0.3">
      <c r="A122" s="17" t="s">
        <v>439</v>
      </c>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45"/>
      <c r="AC122" s="17"/>
      <c r="AD122" s="17"/>
      <c r="AE122" s="17"/>
      <c r="AF122" s="17"/>
      <c r="AG122" s="17"/>
      <c r="AH122" s="17"/>
      <c r="AI122" s="17"/>
      <c r="AJ122" s="17"/>
    </row>
    <row r="123" spans="1:36" x14ac:dyDescent="0.3">
      <c r="A123" s="20" t="s">
        <v>385</v>
      </c>
      <c r="B123" s="21" t="s">
        <v>236</v>
      </c>
      <c r="C123" s="22" t="s">
        <v>440</v>
      </c>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19"/>
      <c r="AC123" s="36"/>
      <c r="AD123" s="36"/>
      <c r="AE123" s="36"/>
      <c r="AF123" s="36" t="str">
        <f>IF(COUNT(D123:G123)=0,"",SUM(D123:G123))</f>
        <v/>
      </c>
      <c r="AG123" s="36" t="str">
        <f>IF(COUNT(H123:K123)=0,"",SUM(H123:K123))</f>
        <v/>
      </c>
      <c r="AH123" s="36" t="str">
        <f>IF(COUNT(L123:O123)=0,"",SUM(L123:O123))</f>
        <v/>
      </c>
      <c r="AI123" s="36" t="str">
        <f>IF(COUNT(P123:S123)=0,"",SUM(P123:S123))</f>
        <v/>
      </c>
      <c r="AJ123" s="36" t="str">
        <f>IF(COUNT(T123:W123)=0,"",SUM(T123:W123))</f>
        <v/>
      </c>
    </row>
    <row r="124" spans="1:36" x14ac:dyDescent="0.3">
      <c r="A124" s="20" t="s">
        <v>387</v>
      </c>
      <c r="B124" s="21" t="s">
        <v>236</v>
      </c>
      <c r="C124" s="22" t="s">
        <v>440</v>
      </c>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19"/>
      <c r="AC124" s="36"/>
      <c r="AD124" s="36"/>
      <c r="AE124" s="36"/>
      <c r="AF124" s="36" t="str">
        <f>IF(G124="","",G124)</f>
        <v/>
      </c>
      <c r="AG124" s="36" t="str">
        <f>IF(K124="","",K124)</f>
        <v/>
      </c>
      <c r="AH124" s="36" t="str">
        <f>IF(O124="","",O124)</f>
        <v/>
      </c>
      <c r="AI124" s="36" t="str">
        <f>IF(S124="","",S124)</f>
        <v/>
      </c>
      <c r="AJ124" s="36" t="str">
        <f>IF(W124="","",W124)</f>
        <v/>
      </c>
    </row>
    <row r="125" spans="1:36" x14ac:dyDescent="0.3">
      <c r="A125" s="20" t="s">
        <v>239</v>
      </c>
      <c r="B125" s="21" t="s">
        <v>236</v>
      </c>
      <c r="C125" s="22" t="s">
        <v>440</v>
      </c>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19"/>
      <c r="AC125" s="36"/>
      <c r="AD125" s="36"/>
      <c r="AE125" s="36"/>
      <c r="AF125" s="36" t="str">
        <f>IF(COUNT(D125:G125)=0,"",SUM(D125:G125))</f>
        <v/>
      </c>
      <c r="AG125" s="36" t="str">
        <f>IF(COUNT(H125:K125)=0,"",SUM(H125:K125))</f>
        <v/>
      </c>
      <c r="AH125" s="36" t="str">
        <f>IF(COUNT(L125:O125)=0,"",SUM(L125:O125))</f>
        <v/>
      </c>
      <c r="AI125" s="36" t="str">
        <f>IF(COUNT(P125:S125)=0,"",SUM(P125:S125))</f>
        <v/>
      </c>
      <c r="AJ125" s="36" t="str">
        <f>IF(COUNT(T125:W125)=0,"",SUM(T125:W125))</f>
        <v/>
      </c>
    </row>
    <row r="126" spans="1:36" x14ac:dyDescent="0.3">
      <c r="A126" s="20" t="s">
        <v>243</v>
      </c>
      <c r="B126" s="21" t="s">
        <v>214</v>
      </c>
      <c r="C126" s="22"/>
      <c r="D126" s="66" t="str">
        <f t="shared" ref="D126:AA126" si="46">IF(OR(ISBLANK(D11),ISBLANK(D40),ISBLANK(D98)),"",IFERROR(D11-D40-D98,""))</f>
        <v/>
      </c>
      <c r="E126" s="66" t="str">
        <f t="shared" si="46"/>
        <v/>
      </c>
      <c r="F126" s="66" t="str">
        <f t="shared" si="46"/>
        <v/>
      </c>
      <c r="G126" s="66" t="str">
        <f t="shared" si="46"/>
        <v/>
      </c>
      <c r="H126" s="66" t="str">
        <f t="shared" si="46"/>
        <v/>
      </c>
      <c r="I126" s="66" t="str">
        <f t="shared" si="46"/>
        <v/>
      </c>
      <c r="J126" s="66" t="str">
        <f t="shared" si="46"/>
        <v/>
      </c>
      <c r="K126" s="66" t="str">
        <f t="shared" si="46"/>
        <v/>
      </c>
      <c r="L126" s="66">
        <f t="shared" si="46"/>
        <v>12</v>
      </c>
      <c r="M126" s="66">
        <f t="shared" si="46"/>
        <v>4</v>
      </c>
      <c r="N126" s="66">
        <f t="shared" si="46"/>
        <v>34</v>
      </c>
      <c r="O126" s="66">
        <f t="shared" si="46"/>
        <v>13</v>
      </c>
      <c r="P126" s="66">
        <f t="shared" si="46"/>
        <v>39</v>
      </c>
      <c r="Q126" s="66">
        <f t="shared" si="46"/>
        <v>59</v>
      </c>
      <c r="R126" s="66">
        <f t="shared" si="46"/>
        <v>81</v>
      </c>
      <c r="S126" s="66">
        <f t="shared" si="46"/>
        <v>70</v>
      </c>
      <c r="T126" s="66">
        <f t="shared" si="46"/>
        <v>100</v>
      </c>
      <c r="U126" s="66">
        <f t="shared" si="46"/>
        <v>130</v>
      </c>
      <c r="V126" s="66">
        <f t="shared" si="46"/>
        <v>170</v>
      </c>
      <c r="W126" s="66">
        <f t="shared" si="46"/>
        <v>150</v>
      </c>
      <c r="X126" s="66" t="str">
        <f t="shared" si="46"/>
        <v/>
      </c>
      <c r="Y126" s="66" t="str">
        <f t="shared" si="46"/>
        <v/>
      </c>
      <c r="Z126" s="66" t="str">
        <f t="shared" si="46"/>
        <v/>
      </c>
      <c r="AA126" s="66" t="str">
        <f t="shared" si="46"/>
        <v/>
      </c>
      <c r="AB126" s="19"/>
      <c r="AC126" s="66"/>
      <c r="AD126" s="66"/>
      <c r="AE126" s="66"/>
      <c r="AF126" s="66" t="str">
        <f>IF(OR(ISBLANK(AF11),ISBLANK(AF40),ISBLANK(AF98)),"",IFERROR(AF11-AF40-AF98,""))</f>
        <v/>
      </c>
      <c r="AG126" s="66" t="str">
        <f>IF(OR(ISBLANK(AG11),ISBLANK(AG40),ISBLANK(AG98)),"",IFERROR(AG11-AG40-AG98,""))</f>
        <v/>
      </c>
      <c r="AH126" s="66">
        <f>IF(OR(ISBLANK(AH11),ISBLANK(AH40),ISBLANK(AH98)),"",IFERROR(AH11-AH40-AH98,""))</f>
        <v>63</v>
      </c>
      <c r="AI126" s="66">
        <f>IF(OR(ISBLANK(AI11),ISBLANK(AI40),ISBLANK(AI98)),"",IFERROR(AI11-AI40-AI98,""))</f>
        <v>249</v>
      </c>
      <c r="AJ126" s="66">
        <f>IF(OR(ISBLANK(AJ11),ISBLANK(AJ40),ISBLANK(AJ98)),"",IFERROR(AJ11-AJ40-AJ98,""))</f>
        <v>550</v>
      </c>
    </row>
    <row r="127" spans="1:36" x14ac:dyDescent="0.3">
      <c r="A127" s="20" t="s">
        <v>216</v>
      </c>
      <c r="B127" s="21" t="s">
        <v>217</v>
      </c>
      <c r="C127" s="22"/>
      <c r="D127" s="64"/>
      <c r="E127" s="64"/>
      <c r="F127" s="64"/>
      <c r="G127" s="64"/>
      <c r="H127" s="23" t="str">
        <f t="shared" ref="H127:AA127" si="47">IFERROR(H126/D126-1,"")</f>
        <v/>
      </c>
      <c r="I127" s="23" t="str">
        <f t="shared" si="47"/>
        <v/>
      </c>
      <c r="J127" s="23" t="str">
        <f t="shared" si="47"/>
        <v/>
      </c>
      <c r="K127" s="23" t="str">
        <f t="shared" si="47"/>
        <v/>
      </c>
      <c r="L127" s="23" t="str">
        <f t="shared" si="47"/>
        <v/>
      </c>
      <c r="M127" s="23" t="str">
        <f t="shared" si="47"/>
        <v/>
      </c>
      <c r="N127" s="23" t="str">
        <f t="shared" si="47"/>
        <v/>
      </c>
      <c r="O127" s="23" t="str">
        <f t="shared" si="47"/>
        <v/>
      </c>
      <c r="P127" s="23">
        <f t="shared" si="47"/>
        <v>2.25</v>
      </c>
      <c r="Q127" s="23">
        <f t="shared" si="47"/>
        <v>13.75</v>
      </c>
      <c r="R127" s="23">
        <f t="shared" si="47"/>
        <v>1.3823529411764706</v>
      </c>
      <c r="S127" s="23">
        <f t="shared" si="47"/>
        <v>4.384615384615385</v>
      </c>
      <c r="T127" s="23">
        <f t="shared" si="47"/>
        <v>1.5641025641025643</v>
      </c>
      <c r="U127" s="23">
        <f t="shared" si="47"/>
        <v>1.2033898305084745</v>
      </c>
      <c r="V127" s="23">
        <f t="shared" si="47"/>
        <v>1.0987654320987654</v>
      </c>
      <c r="W127" s="23">
        <f t="shared" si="47"/>
        <v>1.1428571428571428</v>
      </c>
      <c r="X127" s="23" t="str">
        <f t="shared" si="47"/>
        <v/>
      </c>
      <c r="Y127" s="23" t="str">
        <f t="shared" si="47"/>
        <v/>
      </c>
      <c r="Z127" s="23" t="str">
        <f t="shared" si="47"/>
        <v/>
      </c>
      <c r="AA127" s="23" t="str">
        <f t="shared" si="47"/>
        <v/>
      </c>
      <c r="AB127" s="19"/>
      <c r="AC127" s="64"/>
      <c r="AD127" s="64"/>
      <c r="AE127" s="64"/>
      <c r="AF127" s="23" t="str">
        <f>IFERROR(AF126/AE126-1,"")</f>
        <v/>
      </c>
      <c r="AG127" s="23" t="str">
        <f>IFERROR(AG126/AF126-1,"")</f>
        <v/>
      </c>
      <c r="AH127" s="23" t="str">
        <f>IFERROR(AH126/AG126-1,"")</f>
        <v/>
      </c>
      <c r="AI127" s="23">
        <f>IFERROR(AI126/AH126-1,"")</f>
        <v>2.9523809523809526</v>
      </c>
      <c r="AJ127" s="23">
        <f>IFERROR(AJ126/AI126-1,"")</f>
        <v>1.2088353413654618</v>
      </c>
    </row>
    <row r="128" spans="1:36" x14ac:dyDescent="0.3">
      <c r="A128" s="20" t="s">
        <v>244</v>
      </c>
      <c r="B128" s="21" t="s">
        <v>214</v>
      </c>
      <c r="C128" s="22"/>
      <c r="D128" s="66" t="str">
        <f t="shared" ref="D128:AA128" si="48">IF(OR(ISBLANK(D14),ISBLANK(D43),ISBLANK(D101)),"",IFERROR(D14-D43-D101,""))</f>
        <v/>
      </c>
      <c r="E128" s="66" t="str">
        <f t="shared" si="48"/>
        <v/>
      </c>
      <c r="F128" s="66" t="str">
        <f t="shared" si="48"/>
        <v/>
      </c>
      <c r="G128" s="66" t="str">
        <f t="shared" si="48"/>
        <v/>
      </c>
      <c r="H128" s="66" t="str">
        <f t="shared" si="48"/>
        <v/>
      </c>
      <c r="I128" s="66" t="str">
        <f t="shared" si="48"/>
        <v/>
      </c>
      <c r="J128" s="66" t="str">
        <f t="shared" si="48"/>
        <v/>
      </c>
      <c r="K128" s="66" t="str">
        <f t="shared" si="48"/>
        <v/>
      </c>
      <c r="L128" s="66">
        <f t="shared" si="48"/>
        <v>-5</v>
      </c>
      <c r="M128" s="66">
        <f t="shared" si="48"/>
        <v>5</v>
      </c>
      <c r="N128" s="66">
        <f t="shared" si="48"/>
        <v>13</v>
      </c>
      <c r="O128" s="66">
        <f t="shared" si="48"/>
        <v>31</v>
      </c>
      <c r="P128" s="66">
        <f t="shared" si="48"/>
        <v>39</v>
      </c>
      <c r="Q128" s="66">
        <f t="shared" si="48"/>
        <v>58</v>
      </c>
      <c r="R128" s="66">
        <f t="shared" si="48"/>
        <v>78</v>
      </c>
      <c r="S128" s="66">
        <f t="shared" si="48"/>
        <v>60</v>
      </c>
      <c r="T128" s="66">
        <f t="shared" si="48"/>
        <v>90</v>
      </c>
      <c r="U128" s="66">
        <f t="shared" si="48"/>
        <v>130</v>
      </c>
      <c r="V128" s="66">
        <f t="shared" si="48"/>
        <v>130</v>
      </c>
      <c r="W128" s="66">
        <f t="shared" si="48"/>
        <v>120</v>
      </c>
      <c r="X128" s="66" t="str">
        <f t="shared" si="48"/>
        <v/>
      </c>
      <c r="Y128" s="66" t="str">
        <f t="shared" si="48"/>
        <v/>
      </c>
      <c r="Z128" s="66" t="str">
        <f t="shared" si="48"/>
        <v/>
      </c>
      <c r="AA128" s="66" t="str">
        <f t="shared" si="48"/>
        <v/>
      </c>
      <c r="AB128" s="19"/>
      <c r="AC128" s="66"/>
      <c r="AD128" s="66"/>
      <c r="AE128" s="66"/>
      <c r="AF128" s="66" t="str">
        <f>IF(OR(ISBLANK(AF14),ISBLANK(AF43),ISBLANK(AF101)),"",IFERROR(AF14-AF43-AF101,""))</f>
        <v/>
      </c>
      <c r="AG128" s="66" t="str">
        <f>IF(OR(ISBLANK(AG14),ISBLANK(AG43),ISBLANK(AG101)),"",IFERROR(AG14-AG43-AG101,""))</f>
        <v/>
      </c>
      <c r="AH128" s="66">
        <f>IF(OR(ISBLANK(AH14),ISBLANK(AH43),ISBLANK(AH101)),"",IFERROR(AH14-AH43-AH101,""))</f>
        <v>44</v>
      </c>
      <c r="AI128" s="66">
        <f>IF(OR(ISBLANK(AI14),ISBLANK(AI43),ISBLANK(AI101)),"",IFERROR(AI14-AI43-AI101,""))</f>
        <v>235</v>
      </c>
      <c r="AJ128" s="66">
        <f>IF(OR(ISBLANK(AJ14),ISBLANK(AJ43),ISBLANK(AJ101)),"",IFERROR(AJ14-AJ43-AJ101,""))</f>
        <v>470</v>
      </c>
    </row>
    <row r="129" spans="1:36" x14ac:dyDescent="0.3">
      <c r="A129" s="20" t="s">
        <v>245</v>
      </c>
      <c r="B129" s="21" t="s">
        <v>214</v>
      </c>
      <c r="C129" s="22"/>
      <c r="D129" s="66" t="str">
        <f t="shared" ref="D129:AA129" si="49">IF(OR(ISBLANK(D16),ISBLANK(D45),ISBLANK(D103)),"",IFERROR(D16-D45-D103,""))</f>
        <v/>
      </c>
      <c r="E129" s="66" t="str">
        <f t="shared" si="49"/>
        <v/>
      </c>
      <c r="F129" s="66" t="str">
        <f t="shared" si="49"/>
        <v/>
      </c>
      <c r="G129" s="66" t="str">
        <f t="shared" si="49"/>
        <v/>
      </c>
      <c r="H129" s="66" t="str">
        <f t="shared" si="49"/>
        <v/>
      </c>
      <c r="I129" s="66" t="str">
        <f t="shared" si="49"/>
        <v/>
      </c>
      <c r="J129" s="66" t="str">
        <f t="shared" si="49"/>
        <v/>
      </c>
      <c r="K129" s="66" t="str">
        <f t="shared" si="49"/>
        <v/>
      </c>
      <c r="L129" s="66">
        <f t="shared" si="49"/>
        <v>9.2399999999997817</v>
      </c>
      <c r="M129" s="66" t="str">
        <f t="shared" si="49"/>
        <v/>
      </c>
      <c r="N129" s="66">
        <f t="shared" si="49"/>
        <v>20.979999999999563</v>
      </c>
      <c r="O129" s="66">
        <f t="shared" si="49"/>
        <v>35.799999999999272</v>
      </c>
      <c r="P129" s="66">
        <f t="shared" si="49"/>
        <v>40.099999999998545</v>
      </c>
      <c r="Q129" s="66">
        <f t="shared" si="49"/>
        <v>57.400000000001455</v>
      </c>
      <c r="R129" s="66">
        <f t="shared" si="49"/>
        <v>81.099999999998545</v>
      </c>
      <c r="S129" s="66">
        <f t="shared" si="49"/>
        <v>57.599999999998545</v>
      </c>
      <c r="T129" s="66">
        <f t="shared" si="49"/>
        <v>89.400000000001455</v>
      </c>
      <c r="U129" s="66">
        <f t="shared" si="49"/>
        <v>129.79999999999927</v>
      </c>
      <c r="V129" s="66">
        <f t="shared" si="49"/>
        <v>162.59999999999854</v>
      </c>
      <c r="W129" s="66">
        <f t="shared" si="49"/>
        <v>130</v>
      </c>
      <c r="X129" s="66" t="str">
        <f t="shared" si="49"/>
        <v/>
      </c>
      <c r="Y129" s="66" t="str">
        <f t="shared" si="49"/>
        <v/>
      </c>
      <c r="Z129" s="66" t="str">
        <f t="shared" si="49"/>
        <v/>
      </c>
      <c r="AA129" s="66" t="str">
        <f t="shared" si="49"/>
        <v/>
      </c>
      <c r="AB129" s="19"/>
      <c r="AC129" s="66"/>
      <c r="AD129" s="66"/>
      <c r="AE129" s="66"/>
      <c r="AF129" s="66" t="str">
        <f>IF(OR(ISBLANK(AF16),ISBLANK(AF45),ISBLANK(AF103)),"",IFERROR(AF16-AF45-AF103,""))</f>
        <v/>
      </c>
      <c r="AG129" s="66" t="str">
        <f>IF(OR(ISBLANK(AG16),ISBLANK(AG45),ISBLANK(AG103)),"",IFERROR(AG16-AG45-AG103,""))</f>
        <v/>
      </c>
      <c r="AH129" s="66">
        <f>IF(OR(ISBLANK(AH16),ISBLANK(AH45),ISBLANK(AH103)),"",IFERROR(AH16-AH45-AH103,""))</f>
        <v>13771.259999999995</v>
      </c>
      <c r="AI129" s="66">
        <f>IF(OR(ISBLANK(AI16),ISBLANK(AI45),ISBLANK(AI103)),"",IFERROR(AI16-AI45-AI103,""))</f>
        <v>236.19999999999709</v>
      </c>
      <c r="AJ129" s="66">
        <f>IF(OR(ISBLANK(AJ16),ISBLANK(AJ45),ISBLANK(AJ103)),"",IFERROR(AJ16-AJ45-AJ103,""))</f>
        <v>511.79999999998836</v>
      </c>
    </row>
    <row r="130" spans="1:36" x14ac:dyDescent="0.3">
      <c r="A130" s="20" t="s">
        <v>247</v>
      </c>
      <c r="B130" s="21" t="s">
        <v>214</v>
      </c>
      <c r="C130" s="22"/>
      <c r="D130" s="66" t="str">
        <f t="shared" ref="D130:AA130" si="50">IF(OR(ISBLANK(D19),ISBLANK(D47),ISBLANK(D105)),"",IFERROR(D19-D47-D105,""))</f>
        <v/>
      </c>
      <c r="E130" s="66" t="str">
        <f t="shared" si="50"/>
        <v/>
      </c>
      <c r="F130" s="66" t="str">
        <f t="shared" si="50"/>
        <v/>
      </c>
      <c r="G130" s="66" t="str">
        <f t="shared" si="50"/>
        <v/>
      </c>
      <c r="H130" s="66" t="str">
        <f t="shared" si="50"/>
        <v/>
      </c>
      <c r="I130" s="66" t="str">
        <f t="shared" si="50"/>
        <v/>
      </c>
      <c r="J130" s="66" t="str">
        <f t="shared" si="50"/>
        <v/>
      </c>
      <c r="K130" s="66" t="str">
        <f t="shared" si="50"/>
        <v/>
      </c>
      <c r="L130" s="66">
        <f t="shared" si="50"/>
        <v>6.25</v>
      </c>
      <c r="M130" s="66" t="str">
        <f t="shared" si="50"/>
        <v/>
      </c>
      <c r="N130" s="66">
        <f t="shared" si="50"/>
        <v>16.479999999999563</v>
      </c>
      <c r="O130" s="66">
        <f t="shared" si="50"/>
        <v>15.430000000000291</v>
      </c>
      <c r="P130" s="66">
        <f t="shared" si="50"/>
        <v>21.800000000000182</v>
      </c>
      <c r="Q130" s="66">
        <f t="shared" si="50"/>
        <v>34.200000000000728</v>
      </c>
      <c r="R130" s="66">
        <f t="shared" si="50"/>
        <v>45.399999999999636</v>
      </c>
      <c r="S130" s="66">
        <f t="shared" si="50"/>
        <v>30.200000000000728</v>
      </c>
      <c r="T130" s="66">
        <f t="shared" si="50"/>
        <v>35.100000000000364</v>
      </c>
      <c r="U130" s="66">
        <f t="shared" si="50"/>
        <v>45.399999999999636</v>
      </c>
      <c r="V130" s="66">
        <f t="shared" si="50"/>
        <v>84.799999999999272</v>
      </c>
      <c r="W130" s="66">
        <f t="shared" si="50"/>
        <v>60</v>
      </c>
      <c r="X130" s="66" t="str">
        <f t="shared" si="50"/>
        <v/>
      </c>
      <c r="Y130" s="66" t="str">
        <f t="shared" si="50"/>
        <v/>
      </c>
      <c r="Z130" s="66" t="str">
        <f t="shared" si="50"/>
        <v/>
      </c>
      <c r="AA130" s="66" t="str">
        <f t="shared" si="50"/>
        <v/>
      </c>
      <c r="AB130" s="19"/>
      <c r="AC130" s="66"/>
      <c r="AD130" s="66"/>
      <c r="AE130" s="66"/>
      <c r="AF130" s="66" t="str">
        <f>IF(OR(ISBLANK(AF19),ISBLANK(AF47),ISBLANK(AF105)),"",IFERROR(AF19-AF47-AF105,""))</f>
        <v/>
      </c>
      <c r="AG130" s="66" t="str">
        <f>IF(OR(ISBLANK(AG19),ISBLANK(AG47),ISBLANK(AG105)),"",IFERROR(AG19-AG47-AG105,""))</f>
        <v/>
      </c>
      <c r="AH130" s="66">
        <f>IF(OR(ISBLANK(AH19),ISBLANK(AH47),ISBLANK(AH105)),"",IFERROR(AH19-AH47-AH105,""))</f>
        <v>5473.4000000000015</v>
      </c>
      <c r="AI130" s="66">
        <f>IF(OR(ISBLANK(AI19),ISBLANK(AI47),ISBLANK(AI105)),"",IFERROR(AI19-AI47-AI105,""))</f>
        <v>131.60000000000582</v>
      </c>
      <c r="AJ130" s="66">
        <f>IF(OR(ISBLANK(AJ19),ISBLANK(AJ47),ISBLANK(AJ105)),"",IFERROR(AJ19-AJ47-AJ105,""))</f>
        <v>225.30000000000291</v>
      </c>
    </row>
    <row r="131" spans="1:36" x14ac:dyDescent="0.3">
      <c r="A131" s="20" t="s">
        <v>248</v>
      </c>
      <c r="B131" s="21" t="s">
        <v>214</v>
      </c>
      <c r="C131" s="22"/>
      <c r="D131" s="66" t="str">
        <f t="shared" ref="D131:AA131" si="51">IF(OR(ISBLANK(D21),ISBLANK(D49),ISBLANK(D107)),"",IFERROR(D21-D49-D107,""))</f>
        <v/>
      </c>
      <c r="E131" s="66" t="str">
        <f t="shared" si="51"/>
        <v/>
      </c>
      <c r="F131" s="66" t="str">
        <f t="shared" si="51"/>
        <v/>
      </c>
      <c r="G131" s="66" t="str">
        <f t="shared" si="51"/>
        <v/>
      </c>
      <c r="H131" s="66" t="str">
        <f t="shared" si="51"/>
        <v/>
      </c>
      <c r="I131" s="66" t="str">
        <f t="shared" si="51"/>
        <v/>
      </c>
      <c r="J131" s="66" t="str">
        <f t="shared" si="51"/>
        <v/>
      </c>
      <c r="K131" s="66" t="str">
        <f t="shared" si="51"/>
        <v/>
      </c>
      <c r="L131" s="66">
        <f t="shared" si="51"/>
        <v>6</v>
      </c>
      <c r="M131" s="66" t="str">
        <f t="shared" si="51"/>
        <v/>
      </c>
      <c r="N131" s="66">
        <f t="shared" si="51"/>
        <v>4</v>
      </c>
      <c r="O131" s="66">
        <f t="shared" si="51"/>
        <v>11</v>
      </c>
      <c r="P131" s="66">
        <f t="shared" si="51"/>
        <v>13</v>
      </c>
      <c r="Q131" s="66">
        <f t="shared" si="51"/>
        <v>12</v>
      </c>
      <c r="R131" s="66">
        <f t="shared" si="51"/>
        <v>11</v>
      </c>
      <c r="S131" s="66">
        <f t="shared" si="51"/>
        <v>10</v>
      </c>
      <c r="T131" s="66">
        <f t="shared" si="51"/>
        <v>0</v>
      </c>
      <c r="U131" s="66">
        <f t="shared" si="51"/>
        <v>10</v>
      </c>
      <c r="V131" s="66">
        <f t="shared" si="51"/>
        <v>10</v>
      </c>
      <c r="W131" s="66">
        <f t="shared" si="51"/>
        <v>0</v>
      </c>
      <c r="X131" s="66" t="str">
        <f t="shared" si="51"/>
        <v/>
      </c>
      <c r="Y131" s="66" t="str">
        <f t="shared" si="51"/>
        <v/>
      </c>
      <c r="Z131" s="66" t="str">
        <f t="shared" si="51"/>
        <v/>
      </c>
      <c r="AA131" s="66" t="str">
        <f t="shared" si="51"/>
        <v/>
      </c>
      <c r="AB131" s="19"/>
      <c r="AC131" s="66"/>
      <c r="AD131" s="66"/>
      <c r="AE131" s="66"/>
      <c r="AF131" s="66" t="str">
        <f>IF(OR(ISBLANK(AF21),ISBLANK(AF49),ISBLANK(AF107)),"",IFERROR(AF21-AF49-AF107,""))</f>
        <v/>
      </c>
      <c r="AG131" s="66" t="str">
        <f>IF(OR(ISBLANK(AG21),ISBLANK(AG49),ISBLANK(AG107)),"",IFERROR(AG21-AG49-AG107,""))</f>
        <v/>
      </c>
      <c r="AH131" s="66">
        <f>IF(OR(ISBLANK(AH21),ISBLANK(AH49),ISBLANK(AH107)),"",IFERROR(AH21-AH49-AH107,""))</f>
        <v>1197</v>
      </c>
      <c r="AI131" s="66">
        <f>IF(OR(ISBLANK(AI21),ISBLANK(AI49),ISBLANK(AI107)),"",IFERROR(AI21-AI49-AI107,""))</f>
        <v>46</v>
      </c>
      <c r="AJ131" s="66">
        <f>IF(OR(ISBLANK(AJ21),ISBLANK(AJ49),ISBLANK(AJ107)),"",IFERROR(AJ21-AJ49-AJ107,""))</f>
        <v>20</v>
      </c>
    </row>
    <row r="132" spans="1:36" x14ac:dyDescent="0.3">
      <c r="A132" s="20" t="s">
        <v>252</v>
      </c>
      <c r="B132" s="21" t="s">
        <v>214</v>
      </c>
      <c r="C132" s="22"/>
      <c r="D132" s="66" t="str">
        <f t="shared" ref="D132:AA132" si="52">IF(OR(ISBLANK(D22),ISBLANK(D50),ISBLANK(D51),ISBLANK(D108),ISBLANK(D109)),"",IFERROR(D22-(D50+D51)-(D108+D109),""))</f>
        <v/>
      </c>
      <c r="E132" s="66" t="str">
        <f t="shared" si="52"/>
        <v/>
      </c>
      <c r="F132" s="66" t="str">
        <f t="shared" si="52"/>
        <v/>
      </c>
      <c r="G132" s="66" t="str">
        <f t="shared" si="52"/>
        <v/>
      </c>
      <c r="H132" s="66" t="str">
        <f t="shared" si="52"/>
        <v/>
      </c>
      <c r="I132" s="66" t="str">
        <f t="shared" si="52"/>
        <v/>
      </c>
      <c r="J132" s="66" t="str">
        <f t="shared" si="52"/>
        <v/>
      </c>
      <c r="K132" s="66" t="str">
        <f t="shared" si="52"/>
        <v/>
      </c>
      <c r="L132" s="66">
        <f t="shared" si="52"/>
        <v>32</v>
      </c>
      <c r="M132" s="66" t="str">
        <f t="shared" si="52"/>
        <v/>
      </c>
      <c r="N132" s="66">
        <f t="shared" si="52"/>
        <v>3</v>
      </c>
      <c r="O132" s="66">
        <f t="shared" si="52"/>
        <v>91</v>
      </c>
      <c r="P132" s="66">
        <f t="shared" si="52"/>
        <v>78</v>
      </c>
      <c r="Q132" s="66">
        <f t="shared" si="52"/>
        <v>22</v>
      </c>
      <c r="R132" s="66">
        <f t="shared" si="52"/>
        <v>119</v>
      </c>
      <c r="S132" s="66">
        <f t="shared" si="52"/>
        <v>140</v>
      </c>
      <c r="T132" s="66">
        <f t="shared" si="52"/>
        <v>10</v>
      </c>
      <c r="U132" s="66">
        <f t="shared" si="52"/>
        <v>30</v>
      </c>
      <c r="V132" s="66">
        <f t="shared" si="52"/>
        <v>40</v>
      </c>
      <c r="W132" s="66">
        <f t="shared" si="52"/>
        <v>50</v>
      </c>
      <c r="X132" s="66" t="str">
        <f t="shared" si="52"/>
        <v/>
      </c>
      <c r="Y132" s="66" t="str">
        <f t="shared" si="52"/>
        <v/>
      </c>
      <c r="Z132" s="66" t="str">
        <f t="shared" si="52"/>
        <v/>
      </c>
      <c r="AA132" s="66" t="str">
        <f t="shared" si="52"/>
        <v/>
      </c>
      <c r="AB132" s="19"/>
      <c r="AC132" s="66"/>
      <c r="AD132" s="66"/>
      <c r="AE132" s="66"/>
      <c r="AF132" s="66" t="str">
        <f>IF(OR(ISBLANK(AF22),ISBLANK(AF50),ISBLANK(AF51),ISBLANK(AF108),ISBLANK(AF109)),"",IFERROR(AF22-(AF50+AF51)-(AF108+AF109),""))</f>
        <v/>
      </c>
      <c r="AG132" s="66" t="str">
        <f>IF(OR(ISBLANK(AG22),ISBLANK(AG50),ISBLANK(AG51),ISBLANK(AG108),ISBLANK(AG109)),"",IFERROR(AG22-(AG50+AG51)-(AG108+AG109),""))</f>
        <v/>
      </c>
      <c r="AH132" s="66">
        <f>IF(OR(ISBLANK(AH22),ISBLANK(AH50),ISBLANK(AH51),ISBLANK(AH108),ISBLANK(AH109)),"",IFERROR(AH22-(AH50+AH51)-(AH108+AH109),""))</f>
        <v>2162</v>
      </c>
      <c r="AI132" s="66">
        <f>IF(OR(ISBLANK(AI22),ISBLANK(AI50),ISBLANK(AI51),ISBLANK(AI108),ISBLANK(AI109)),"",IFERROR(AI22-(AI50+AI51)-(AI108+AI109),""))</f>
        <v>359</v>
      </c>
      <c r="AJ132" s="66">
        <f>IF(OR(ISBLANK(AJ22),ISBLANK(AJ50),ISBLANK(AJ51),ISBLANK(AJ108),ISBLANK(AJ109)),"",IFERROR(AJ22-(AJ50+AJ51)-(AJ108+AJ109),""))</f>
        <v>130</v>
      </c>
    </row>
    <row r="133" spans="1:36" x14ac:dyDescent="0.3">
      <c r="A133" s="20" t="s">
        <v>254</v>
      </c>
      <c r="B133" s="21" t="s">
        <v>214</v>
      </c>
      <c r="C133" s="22"/>
      <c r="D133" s="66" t="str">
        <f t="shared" ref="D133:AA133" si="53">IF(OR(ISBLANK(D130),ISBLANK(D131),ISBLANK(D132)),"",IFERROR(D130-D131-D132,""))</f>
        <v/>
      </c>
      <c r="E133" s="66" t="str">
        <f t="shared" si="53"/>
        <v/>
      </c>
      <c r="F133" s="66" t="str">
        <f t="shared" si="53"/>
        <v/>
      </c>
      <c r="G133" s="66" t="str">
        <f t="shared" si="53"/>
        <v/>
      </c>
      <c r="H133" s="66" t="str">
        <f t="shared" si="53"/>
        <v/>
      </c>
      <c r="I133" s="66" t="str">
        <f t="shared" si="53"/>
        <v/>
      </c>
      <c r="J133" s="66" t="str">
        <f t="shared" si="53"/>
        <v/>
      </c>
      <c r="K133" s="66" t="str">
        <f t="shared" si="53"/>
        <v/>
      </c>
      <c r="L133" s="66">
        <f t="shared" si="53"/>
        <v>-31.75</v>
      </c>
      <c r="M133" s="66" t="str">
        <f t="shared" si="53"/>
        <v/>
      </c>
      <c r="N133" s="66">
        <f t="shared" si="53"/>
        <v>9.4799999999995634</v>
      </c>
      <c r="O133" s="66">
        <f t="shared" si="53"/>
        <v>-86.569999999999709</v>
      </c>
      <c r="P133" s="66">
        <f t="shared" si="53"/>
        <v>-69.199999999999818</v>
      </c>
      <c r="Q133" s="66">
        <f t="shared" si="53"/>
        <v>0.2000000000007276</v>
      </c>
      <c r="R133" s="66">
        <f t="shared" si="53"/>
        <v>-84.600000000000364</v>
      </c>
      <c r="S133" s="66">
        <f t="shared" si="53"/>
        <v>-119.79999999999927</v>
      </c>
      <c r="T133" s="66">
        <f t="shared" si="53"/>
        <v>25.100000000000364</v>
      </c>
      <c r="U133" s="66">
        <f t="shared" si="53"/>
        <v>5.3999999999996362</v>
      </c>
      <c r="V133" s="66">
        <f t="shared" si="53"/>
        <v>34.799999999999272</v>
      </c>
      <c r="W133" s="66">
        <f t="shared" si="53"/>
        <v>10</v>
      </c>
      <c r="X133" s="66" t="str">
        <f t="shared" si="53"/>
        <v/>
      </c>
      <c r="Y133" s="66" t="str">
        <f t="shared" si="53"/>
        <v/>
      </c>
      <c r="Z133" s="66" t="str">
        <f t="shared" si="53"/>
        <v/>
      </c>
      <c r="AA133" s="66" t="str">
        <f t="shared" si="53"/>
        <v/>
      </c>
      <c r="AB133" s="19"/>
      <c r="AC133" s="66"/>
      <c r="AD133" s="66"/>
      <c r="AE133" s="66"/>
      <c r="AF133" s="66" t="str">
        <f>IF(OR(ISBLANK(AF130),ISBLANK(AF131),ISBLANK(AF132)),"",IFERROR(AF130-AF131-AF132,""))</f>
        <v/>
      </c>
      <c r="AG133" s="66" t="str">
        <f>IF(OR(ISBLANK(AG130),ISBLANK(AG131),ISBLANK(AG132)),"",IFERROR(AG130-AG131-AG132,""))</f>
        <v/>
      </c>
      <c r="AH133" s="66">
        <f>IF(OR(ISBLANK(AH130),ISBLANK(AH131),ISBLANK(AH132)),"",IFERROR(AH130-AH131-AH132,""))</f>
        <v>2114.4000000000015</v>
      </c>
      <c r="AI133" s="66">
        <f>IF(OR(ISBLANK(AI130),ISBLANK(AI131),ISBLANK(AI132)),"",IFERROR(AI130-AI131-AI132,""))</f>
        <v>-273.39999999999418</v>
      </c>
      <c r="AJ133" s="66">
        <f>IF(OR(ISBLANK(AJ130),ISBLANK(AJ131),ISBLANK(AJ132)),"",IFERROR(AJ130-AJ131-AJ132,""))</f>
        <v>75.30000000000291</v>
      </c>
    </row>
    <row r="134" spans="1:36" x14ac:dyDescent="0.3">
      <c r="A134" s="20" t="s">
        <v>256</v>
      </c>
      <c r="B134" s="21" t="s">
        <v>214</v>
      </c>
      <c r="C134" s="22"/>
      <c r="D134" s="66" t="str">
        <f t="shared" ref="D134:AA134" si="54">IF(OR(ISBLANK(D25),ISBLANK(D54),ISBLANK(D112)),"",IFERROR(D25-D54-D112,""))</f>
        <v/>
      </c>
      <c r="E134" s="66" t="str">
        <f t="shared" si="54"/>
        <v/>
      </c>
      <c r="F134" s="66" t="str">
        <f t="shared" si="54"/>
        <v/>
      </c>
      <c r="G134" s="66" t="str">
        <f t="shared" si="54"/>
        <v/>
      </c>
      <c r="H134" s="66" t="str">
        <f t="shared" si="54"/>
        <v/>
      </c>
      <c r="I134" s="66" t="str">
        <f t="shared" si="54"/>
        <v/>
      </c>
      <c r="J134" s="66" t="str">
        <f t="shared" si="54"/>
        <v/>
      </c>
      <c r="K134" s="66" t="str">
        <f t="shared" si="54"/>
        <v/>
      </c>
      <c r="L134" s="66">
        <f t="shared" si="54"/>
        <v>-8.4099999999998545</v>
      </c>
      <c r="M134" s="66" t="str">
        <f t="shared" si="54"/>
        <v/>
      </c>
      <c r="N134" s="66">
        <f t="shared" si="54"/>
        <v>41.739999999999782</v>
      </c>
      <c r="O134" s="66">
        <f t="shared" si="54"/>
        <v>38.610000000000127</v>
      </c>
      <c r="P134" s="66">
        <f t="shared" si="54"/>
        <v>-0.40000000000009095</v>
      </c>
      <c r="Q134" s="66">
        <f t="shared" si="54"/>
        <v>63.599999999999909</v>
      </c>
      <c r="R134" s="66">
        <f t="shared" si="54"/>
        <v>-17.400000000000091</v>
      </c>
      <c r="S134" s="66">
        <f t="shared" si="54"/>
        <v>-63.300000000000182</v>
      </c>
      <c r="T134" s="66">
        <f t="shared" si="54"/>
        <v>-21.699999999999818</v>
      </c>
      <c r="U134" s="66">
        <f t="shared" si="54"/>
        <v>-44.099999999999909</v>
      </c>
      <c r="V134" s="66">
        <f t="shared" si="54"/>
        <v>-112.80000000000018</v>
      </c>
      <c r="W134" s="66">
        <f t="shared" si="54"/>
        <v>130</v>
      </c>
      <c r="X134" s="66" t="str">
        <f t="shared" si="54"/>
        <v/>
      </c>
      <c r="Y134" s="66" t="str">
        <f t="shared" si="54"/>
        <v/>
      </c>
      <c r="Z134" s="66" t="str">
        <f t="shared" si="54"/>
        <v/>
      </c>
      <c r="AA134" s="66" t="str">
        <f t="shared" si="54"/>
        <v/>
      </c>
      <c r="AB134" s="19"/>
      <c r="AC134" s="66"/>
      <c r="AD134" s="66"/>
      <c r="AE134" s="66"/>
      <c r="AF134" s="66" t="str">
        <f>IF(OR(ISBLANK(AF25),ISBLANK(AF54),ISBLANK(AF112)),"",IFERROR(AF25-AF54-AF112,""))</f>
        <v/>
      </c>
      <c r="AG134" s="66" t="str">
        <f>IF(OR(ISBLANK(AG25),ISBLANK(AG54),ISBLANK(AG112)),"",IFERROR(AG25-AG54-AG112,""))</f>
        <v/>
      </c>
      <c r="AH134" s="66">
        <f>IF(OR(ISBLANK(AH25),ISBLANK(AH54),ISBLANK(AH112)),"",IFERROR(AH25-AH54-AH112,""))</f>
        <v>2266.8899999999994</v>
      </c>
      <c r="AI134" s="66">
        <f>IF(OR(ISBLANK(AI25),ISBLANK(AI54),ISBLANK(AI112)),"",IFERROR(AI25-AI54-AI112,""))</f>
        <v>-17.5</v>
      </c>
      <c r="AJ134" s="66">
        <f>IF(OR(ISBLANK(AJ25),ISBLANK(AJ54),ISBLANK(AJ112)),"",IFERROR(AJ25-AJ54-AJ112,""))</f>
        <v>-48.599999999998545</v>
      </c>
    </row>
    <row r="135" spans="1:36" x14ac:dyDescent="0.3">
      <c r="A135" s="20" t="s">
        <v>223</v>
      </c>
      <c r="B135" s="21" t="s">
        <v>214</v>
      </c>
      <c r="C135" s="22"/>
      <c r="D135" s="66" t="str">
        <f t="shared" ref="D135:AA135" si="55">IF(OR(ISBLANK(D133),ISBLANK(D134)),"",IFERROR(D133-D134,""))</f>
        <v/>
      </c>
      <c r="E135" s="66" t="str">
        <f t="shared" si="55"/>
        <v/>
      </c>
      <c r="F135" s="66" t="str">
        <f t="shared" si="55"/>
        <v/>
      </c>
      <c r="G135" s="66" t="str">
        <f t="shared" si="55"/>
        <v/>
      </c>
      <c r="H135" s="66" t="str">
        <f t="shared" si="55"/>
        <v/>
      </c>
      <c r="I135" s="66" t="str">
        <f t="shared" si="55"/>
        <v/>
      </c>
      <c r="J135" s="66" t="str">
        <f t="shared" si="55"/>
        <v/>
      </c>
      <c r="K135" s="66" t="str">
        <f t="shared" si="55"/>
        <v/>
      </c>
      <c r="L135" s="66">
        <f t="shared" si="55"/>
        <v>-23.340000000000146</v>
      </c>
      <c r="M135" s="66" t="str">
        <f t="shared" si="55"/>
        <v/>
      </c>
      <c r="N135" s="66">
        <f t="shared" si="55"/>
        <v>-32.260000000000218</v>
      </c>
      <c r="O135" s="66">
        <f t="shared" si="55"/>
        <v>-125.17999999999984</v>
      </c>
      <c r="P135" s="66">
        <f t="shared" si="55"/>
        <v>-68.799999999999727</v>
      </c>
      <c r="Q135" s="66">
        <f t="shared" si="55"/>
        <v>-63.399999999999181</v>
      </c>
      <c r="R135" s="66">
        <f t="shared" si="55"/>
        <v>-67.200000000000273</v>
      </c>
      <c r="S135" s="66">
        <f t="shared" si="55"/>
        <v>-56.499999999999091</v>
      </c>
      <c r="T135" s="66">
        <f t="shared" si="55"/>
        <v>46.800000000000182</v>
      </c>
      <c r="U135" s="66">
        <f t="shared" si="55"/>
        <v>49.499999999999545</v>
      </c>
      <c r="V135" s="66">
        <f t="shared" si="55"/>
        <v>147.59999999999945</v>
      </c>
      <c r="W135" s="66">
        <f t="shared" si="55"/>
        <v>-120</v>
      </c>
      <c r="X135" s="66" t="str">
        <f t="shared" si="55"/>
        <v/>
      </c>
      <c r="Y135" s="66" t="str">
        <f t="shared" si="55"/>
        <v/>
      </c>
      <c r="Z135" s="66" t="str">
        <f t="shared" si="55"/>
        <v/>
      </c>
      <c r="AA135" s="66" t="str">
        <f t="shared" si="55"/>
        <v/>
      </c>
      <c r="AB135" s="19"/>
      <c r="AC135" s="66"/>
      <c r="AD135" s="66"/>
      <c r="AE135" s="66"/>
      <c r="AF135" s="66" t="str">
        <f>IF(OR(ISBLANK(AF133),ISBLANK(AF134)),"",IFERROR(AF133-AF134,""))</f>
        <v/>
      </c>
      <c r="AG135" s="66" t="str">
        <f>IF(OR(ISBLANK(AG133),ISBLANK(AG134)),"",IFERROR(AG133-AG134,""))</f>
        <v/>
      </c>
      <c r="AH135" s="66">
        <f>IF(OR(ISBLANK(AH133),ISBLANK(AH134)),"",IFERROR(AH133-AH134,""))</f>
        <v>-152.48999999999796</v>
      </c>
      <c r="AI135" s="66">
        <f>IF(OR(ISBLANK(AI133),ISBLANK(AI134)),"",IFERROR(AI133-AI134,""))</f>
        <v>-255.89999999999418</v>
      </c>
      <c r="AJ135" s="66">
        <f>IF(OR(ISBLANK(AJ133),ISBLANK(AJ134)),"",IFERROR(AJ133-AJ134,""))</f>
        <v>123.90000000000146</v>
      </c>
    </row>
    <row r="136" spans="1:36" x14ac:dyDescent="0.3">
      <c r="AB136" s="19"/>
    </row>
    <row r="137" spans="1:36" x14ac:dyDescent="0.3">
      <c r="A137" s="5" t="s">
        <v>441</v>
      </c>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44"/>
      <c r="AC137" s="5"/>
      <c r="AD137" s="5"/>
      <c r="AE137" s="5"/>
      <c r="AF137" s="5"/>
      <c r="AG137" s="5"/>
      <c r="AH137" s="5"/>
      <c r="AI137" s="5"/>
      <c r="AJ137" s="5"/>
    </row>
    <row r="138" spans="1:36" x14ac:dyDescent="0.3">
      <c r="A138" s="20" t="s">
        <v>442</v>
      </c>
      <c r="B138" s="21" t="s">
        <v>405</v>
      </c>
      <c r="C138" s="22" t="s">
        <v>400</v>
      </c>
      <c r="D138" s="69"/>
      <c r="E138" s="69"/>
      <c r="F138" s="69"/>
      <c r="G138" s="69">
        <v>25</v>
      </c>
      <c r="H138" s="69">
        <v>30</v>
      </c>
      <c r="I138" s="69"/>
      <c r="J138" s="69">
        <v>37</v>
      </c>
      <c r="K138" s="69">
        <v>38</v>
      </c>
      <c r="L138" s="69"/>
      <c r="M138" s="69"/>
      <c r="N138" s="69"/>
      <c r="O138" s="69"/>
      <c r="P138" s="69"/>
      <c r="Q138" s="69"/>
      <c r="R138" s="69"/>
      <c r="S138" s="69"/>
      <c r="T138" s="69"/>
      <c r="U138" s="69"/>
      <c r="V138" s="69"/>
      <c r="W138" s="69"/>
      <c r="X138" s="69"/>
      <c r="Y138" s="69"/>
      <c r="Z138" s="69"/>
      <c r="AA138" s="69"/>
      <c r="AB138" s="19"/>
      <c r="AC138" s="41"/>
      <c r="AD138" s="41"/>
      <c r="AE138" s="41"/>
      <c r="AF138" s="41">
        <f>IF(G138="","",G138)</f>
        <v>25</v>
      </c>
      <c r="AG138" s="41">
        <f>IF(K138="","",K138)</f>
        <v>38</v>
      </c>
      <c r="AH138" s="41" t="str">
        <f>IF(O138="","",O138)</f>
        <v/>
      </c>
      <c r="AI138" s="41" t="str">
        <f>IF(S138="","",S138)</f>
        <v/>
      </c>
      <c r="AJ138" s="41" t="str">
        <f>IF(W138="","",W138)</f>
        <v/>
      </c>
    </row>
    <row r="139" spans="1:36" x14ac:dyDescent="0.3">
      <c r="A139" s="20" t="s">
        <v>443</v>
      </c>
      <c r="B139" s="21" t="s">
        <v>405</v>
      </c>
      <c r="C139" s="22" t="s">
        <v>400</v>
      </c>
      <c r="D139" s="69"/>
      <c r="E139" s="69">
        <v>8</v>
      </c>
      <c r="F139" s="69">
        <v>9</v>
      </c>
      <c r="G139" s="69">
        <v>11</v>
      </c>
      <c r="H139" s="69">
        <v>14</v>
      </c>
      <c r="I139" s="69">
        <v>14</v>
      </c>
      <c r="J139" s="69">
        <v>15</v>
      </c>
      <c r="K139" s="69">
        <v>15</v>
      </c>
      <c r="L139" s="69"/>
      <c r="M139" s="69"/>
      <c r="N139" s="69"/>
      <c r="O139" s="69"/>
      <c r="P139" s="69"/>
      <c r="Q139" s="69"/>
      <c r="R139" s="69"/>
      <c r="S139" s="69"/>
      <c r="T139" s="69"/>
      <c r="U139" s="69"/>
      <c r="V139" s="69"/>
      <c r="W139" s="69"/>
      <c r="X139" s="69"/>
      <c r="Y139" s="69"/>
      <c r="Z139" s="69"/>
      <c r="AA139" s="69"/>
      <c r="AB139" s="19"/>
      <c r="AC139" s="41"/>
      <c r="AD139" s="41"/>
      <c r="AE139" s="41"/>
      <c r="AF139" s="41">
        <f>IF(G139="","",G139)</f>
        <v>11</v>
      </c>
      <c r="AG139" s="41">
        <f>IF(K139="","",K139)</f>
        <v>15</v>
      </c>
      <c r="AH139" s="41" t="str">
        <f>IF(O139="","",O139)</f>
        <v/>
      </c>
      <c r="AI139" s="41" t="str">
        <f>IF(S139="","",S139)</f>
        <v/>
      </c>
      <c r="AJ139" s="41" t="str">
        <f>IF(W139="","",W139)</f>
        <v/>
      </c>
    </row>
    <row r="140" spans="1:36" x14ac:dyDescent="0.3">
      <c r="A140" s="20" t="s">
        <v>444</v>
      </c>
      <c r="B140" s="21" t="s">
        <v>408</v>
      </c>
      <c r="C140" s="22" t="s">
        <v>400</v>
      </c>
      <c r="D140" s="28"/>
      <c r="E140" s="28">
        <v>0.66500000000000004</v>
      </c>
      <c r="F140" s="28">
        <v>0.8</v>
      </c>
      <c r="G140" s="28">
        <v>0.82</v>
      </c>
      <c r="H140" s="28">
        <v>1.05</v>
      </c>
      <c r="I140" s="28">
        <v>1.1499999999999999</v>
      </c>
      <c r="J140" s="28">
        <v>1.2</v>
      </c>
      <c r="K140" s="28">
        <v>1.46</v>
      </c>
      <c r="L140" s="28"/>
      <c r="M140" s="28"/>
      <c r="N140" s="28"/>
      <c r="O140" s="28">
        <v>1.47</v>
      </c>
      <c r="P140" s="28"/>
      <c r="Q140" s="28"/>
      <c r="R140" s="28"/>
      <c r="S140" s="28"/>
      <c r="T140" s="28"/>
      <c r="U140" s="28"/>
      <c r="V140" s="28"/>
      <c r="W140" s="28"/>
      <c r="X140" s="28"/>
      <c r="Y140" s="28"/>
      <c r="Z140" s="28"/>
      <c r="AA140" s="28"/>
      <c r="AB140" s="19"/>
      <c r="AC140" s="30"/>
      <c r="AD140" s="30"/>
      <c r="AE140" s="30"/>
      <c r="AF140" s="30">
        <f>IF(G140="","",G140)</f>
        <v>0.82</v>
      </c>
      <c r="AG140" s="30">
        <f>IF(K140="","",K140)</f>
        <v>1.46</v>
      </c>
      <c r="AH140" s="30">
        <f>IF(O140="","",O140)</f>
        <v>1.47</v>
      </c>
      <c r="AI140" s="30" t="str">
        <f>IF(S140="","",S140)</f>
        <v/>
      </c>
      <c r="AJ140" s="30" t="str">
        <f>IF(W140="","",W140)</f>
        <v/>
      </c>
    </row>
    <row r="141" spans="1:36" x14ac:dyDescent="0.3">
      <c r="A141" s="20" t="s">
        <v>445</v>
      </c>
      <c r="B141" s="21" t="s">
        <v>405</v>
      </c>
      <c r="C141" s="22" t="s">
        <v>401</v>
      </c>
      <c r="D141" s="69"/>
      <c r="E141" s="69"/>
      <c r="F141" s="69"/>
      <c r="G141" s="69">
        <v>2764</v>
      </c>
      <c r="H141" s="69"/>
      <c r="I141" s="69">
        <v>3144</v>
      </c>
      <c r="J141" s="69"/>
      <c r="K141" s="69"/>
      <c r="L141" s="69"/>
      <c r="M141" s="69"/>
      <c r="N141" s="69"/>
      <c r="O141" s="69"/>
      <c r="P141" s="69"/>
      <c r="Q141" s="69"/>
      <c r="R141" s="69"/>
      <c r="S141" s="69"/>
      <c r="T141" s="69"/>
      <c r="U141" s="69"/>
      <c r="V141" s="69"/>
      <c r="W141" s="69"/>
      <c r="X141" s="69"/>
      <c r="Y141" s="69"/>
      <c r="Z141" s="69"/>
      <c r="AA141" s="69"/>
      <c r="AB141" s="19"/>
      <c r="AC141" s="41"/>
      <c r="AD141" s="41"/>
      <c r="AE141" s="41"/>
      <c r="AF141" s="41">
        <f>IF(G141="","",G141)</f>
        <v>2764</v>
      </c>
      <c r="AG141" s="41" t="str">
        <f>IF(K141="","",K141)</f>
        <v/>
      </c>
      <c r="AH141" s="41" t="str">
        <f>IF(O141="","",O141)</f>
        <v/>
      </c>
      <c r="AI141" s="41" t="str">
        <f>IF(S141="","",S141)</f>
        <v/>
      </c>
      <c r="AJ141" s="41" t="str">
        <f>IF(W141="","",W141)</f>
        <v/>
      </c>
    </row>
    <row r="142" spans="1:36" x14ac:dyDescent="0.3">
      <c r="A142" s="20" t="s">
        <v>446</v>
      </c>
      <c r="B142" s="21" t="s">
        <v>408</v>
      </c>
      <c r="C142" s="22" t="s">
        <v>401</v>
      </c>
      <c r="D142" s="28"/>
      <c r="E142" s="28">
        <v>0.09</v>
      </c>
      <c r="F142" s="28"/>
      <c r="G142" s="28">
        <v>0.11</v>
      </c>
      <c r="H142" s="28"/>
      <c r="I142" s="28">
        <v>0.17</v>
      </c>
      <c r="J142" s="28"/>
      <c r="K142" s="28"/>
      <c r="L142" s="28"/>
      <c r="M142" s="28"/>
      <c r="N142" s="28"/>
      <c r="O142" s="28"/>
      <c r="P142" s="28"/>
      <c r="Q142" s="28"/>
      <c r="R142" s="28"/>
      <c r="S142" s="28"/>
      <c r="T142" s="28"/>
      <c r="U142" s="28"/>
      <c r="V142" s="28"/>
      <c r="W142" s="28"/>
      <c r="X142" s="28"/>
      <c r="Y142" s="28"/>
      <c r="Z142" s="28"/>
      <c r="AA142" s="28"/>
      <c r="AB142" s="19"/>
      <c r="AC142" s="30"/>
      <c r="AD142" s="30"/>
      <c r="AE142" s="30"/>
      <c r="AF142" s="30">
        <f>IF(G142="","",G142)</f>
        <v>0.11</v>
      </c>
      <c r="AG142" s="30" t="str">
        <f>IF(K142="","",K142)</f>
        <v/>
      </c>
      <c r="AH142" s="30" t="str">
        <f>IF(O142="","",O142)</f>
        <v/>
      </c>
      <c r="AI142" s="30" t="str">
        <f>IF(S142="","",S142)</f>
        <v/>
      </c>
      <c r="AJ142" s="30" t="str">
        <f>IF(W142="","",W142)</f>
        <v/>
      </c>
    </row>
    <row r="144" spans="1:36" x14ac:dyDescent="0.3">
      <c r="A144" s="5" t="s">
        <v>447</v>
      </c>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44"/>
      <c r="AC144" s="5"/>
      <c r="AD144" s="5"/>
      <c r="AE144" s="5"/>
      <c r="AF144" s="5"/>
      <c r="AG144" s="5"/>
      <c r="AH144" s="5"/>
      <c r="AI144" s="5"/>
      <c r="AJ144" s="5"/>
    </row>
    <row r="145" spans="1:36" x14ac:dyDescent="0.3">
      <c r="A145" s="17" t="s">
        <v>448</v>
      </c>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45"/>
      <c r="AC145" s="17"/>
      <c r="AD145" s="17"/>
      <c r="AE145" s="17"/>
      <c r="AF145" s="17"/>
      <c r="AG145" s="17"/>
      <c r="AH145" s="17"/>
      <c r="AI145" s="17"/>
      <c r="AJ145" s="17"/>
    </row>
    <row r="146" spans="1:36" x14ac:dyDescent="0.3">
      <c r="AB146" s="19"/>
    </row>
    <row r="147" spans="1:36" x14ac:dyDescent="0.3">
      <c r="A147" s="9" t="s">
        <v>230</v>
      </c>
      <c r="AB147" s="19"/>
    </row>
    <row r="148" spans="1:36" x14ac:dyDescent="0.3">
      <c r="A148" t="s">
        <v>449</v>
      </c>
      <c r="B148" s="17" t="s">
        <v>228</v>
      </c>
      <c r="C148" s="17" t="s">
        <v>450</v>
      </c>
      <c r="D148" s="70">
        <v>1832</v>
      </c>
      <c r="E148" s="70">
        <v>1910</v>
      </c>
      <c r="F148" s="70">
        <v>1967</v>
      </c>
      <c r="G148" s="70">
        <v>1716</v>
      </c>
      <c r="H148" s="70">
        <v>1780</v>
      </c>
      <c r="I148" s="70">
        <v>1872</v>
      </c>
      <c r="J148" s="70">
        <v>1958</v>
      </c>
      <c r="K148" s="70">
        <v>1803</v>
      </c>
      <c r="L148" s="70">
        <v>1849</v>
      </c>
      <c r="M148" s="70">
        <v>1916</v>
      </c>
      <c r="N148" s="70">
        <v>2024</v>
      </c>
      <c r="O148" s="70">
        <v>1788</v>
      </c>
      <c r="P148" s="70">
        <v>1924</v>
      </c>
      <c r="Q148" s="70">
        <v>2038</v>
      </c>
      <c r="R148" s="70">
        <v>2127</v>
      </c>
      <c r="S148" s="70">
        <v>1978</v>
      </c>
      <c r="T148" s="70">
        <v>2009</v>
      </c>
      <c r="U148" s="70">
        <v>2049</v>
      </c>
      <c r="V148" s="70">
        <v>2173</v>
      </c>
      <c r="AB148" s="19"/>
      <c r="AF148" s="70">
        <v>1857</v>
      </c>
      <c r="AG148" s="70">
        <v>1857</v>
      </c>
      <c r="AH148" s="70">
        <v>1985</v>
      </c>
      <c r="AI148" s="70">
        <v>2021</v>
      </c>
      <c r="AJ148" s="70">
        <v>2068</v>
      </c>
    </row>
    <row r="149" spans="1:36" x14ac:dyDescent="0.3">
      <c r="A149" t="s">
        <v>451</v>
      </c>
      <c r="B149" s="17" t="s">
        <v>228</v>
      </c>
      <c r="C149" s="17" t="s">
        <v>452</v>
      </c>
      <c r="D149" s="55" t="str">
        <f t="shared" ref="D149:AA149" si="56">IF(D40="","",IFERROR(D38,""))</f>
        <v/>
      </c>
      <c r="E149" s="55" t="str">
        <f t="shared" si="56"/>
        <v/>
      </c>
      <c r="F149" s="55" t="str">
        <f t="shared" si="56"/>
        <v/>
      </c>
      <c r="G149" s="55" t="str">
        <f t="shared" si="56"/>
        <v/>
      </c>
      <c r="H149" s="55" t="str">
        <f t="shared" si="56"/>
        <v/>
      </c>
      <c r="I149" s="55" t="str">
        <f t="shared" si="56"/>
        <v/>
      </c>
      <c r="J149" s="55" t="str">
        <f t="shared" si="56"/>
        <v/>
      </c>
      <c r="K149" s="55" t="str">
        <f t="shared" si="56"/>
        <v/>
      </c>
      <c r="L149" s="55">
        <f t="shared" si="56"/>
        <v>2010.9090909090908</v>
      </c>
      <c r="M149" s="55">
        <f t="shared" si="56"/>
        <v>2053.2380952380954</v>
      </c>
      <c r="N149" s="55">
        <f t="shared" si="56"/>
        <v>2215.1724137931037</v>
      </c>
      <c r="O149" s="55">
        <f t="shared" si="56"/>
        <v>1999.1452991452993</v>
      </c>
      <c r="P149" s="55">
        <f t="shared" si="56"/>
        <v>2050.7258064516127</v>
      </c>
      <c r="Q149" s="55">
        <f t="shared" si="56"/>
        <v>2157.5968992248063</v>
      </c>
      <c r="R149" s="55">
        <f t="shared" si="56"/>
        <v>2259.9333333333334</v>
      </c>
      <c r="S149" s="55">
        <f t="shared" si="56"/>
        <v>2153.5211267605637</v>
      </c>
      <c r="T149" s="55">
        <f t="shared" si="56"/>
        <v>2212.4137931034484</v>
      </c>
      <c r="U149" s="55">
        <f t="shared" si="56"/>
        <v>2261.7834394904457</v>
      </c>
      <c r="V149" s="55">
        <f t="shared" si="56"/>
        <v>2376.7955801104972</v>
      </c>
      <c r="W149" s="55">
        <f t="shared" si="56"/>
        <v>2224</v>
      </c>
      <c r="X149" s="55" t="str">
        <f t="shared" si="56"/>
        <v/>
      </c>
      <c r="Y149" s="55" t="str">
        <f t="shared" si="56"/>
        <v/>
      </c>
      <c r="Z149" s="55" t="str">
        <f t="shared" si="56"/>
        <v/>
      </c>
      <c r="AA149" s="55" t="str">
        <f t="shared" si="56"/>
        <v/>
      </c>
      <c r="AB149" s="19"/>
      <c r="AC149" s="56" t="str">
        <f t="shared" ref="AC149:AJ149" si="57">IF(AC40="","",IFERROR(AC38,""))</f>
        <v/>
      </c>
      <c r="AD149" s="56" t="str">
        <f t="shared" si="57"/>
        <v/>
      </c>
      <c r="AE149" s="56" t="str">
        <f t="shared" si="57"/>
        <v/>
      </c>
      <c r="AF149" s="56" t="str">
        <f t="shared" si="57"/>
        <v/>
      </c>
      <c r="AG149" s="56" t="str">
        <f t="shared" si="57"/>
        <v/>
      </c>
      <c r="AH149" s="56">
        <f t="shared" si="57"/>
        <v>2072.1510297482837</v>
      </c>
      <c r="AI149" s="56">
        <f t="shared" si="57"/>
        <v>2160.3853211009173</v>
      </c>
      <c r="AJ149" s="56">
        <f t="shared" si="57"/>
        <v>2272.4924012158058</v>
      </c>
    </row>
    <row r="150" spans="1:36" x14ac:dyDescent="0.3">
      <c r="A150" t="s">
        <v>453</v>
      </c>
      <c r="B150" s="17" t="s">
        <v>217</v>
      </c>
      <c r="D150" s="49" t="str">
        <f t="shared" ref="D150:AA150" si="58">IFERROR(D149/D148-1,"")</f>
        <v/>
      </c>
      <c r="E150" s="49" t="str">
        <f t="shared" si="58"/>
        <v/>
      </c>
      <c r="F150" s="49" t="str">
        <f t="shared" si="58"/>
        <v/>
      </c>
      <c r="G150" s="49" t="str">
        <f t="shared" si="58"/>
        <v/>
      </c>
      <c r="H150" s="49" t="str">
        <f t="shared" si="58"/>
        <v/>
      </c>
      <c r="I150" s="49" t="str">
        <f t="shared" si="58"/>
        <v/>
      </c>
      <c r="J150" s="49" t="str">
        <f t="shared" si="58"/>
        <v/>
      </c>
      <c r="K150" s="49" t="str">
        <f t="shared" si="58"/>
        <v/>
      </c>
      <c r="L150" s="49">
        <f t="shared" si="58"/>
        <v>8.7565760361866252E-2</v>
      </c>
      <c r="M150" s="49">
        <f t="shared" si="58"/>
        <v>7.1627398349736637E-2</v>
      </c>
      <c r="N150" s="49">
        <f t="shared" si="58"/>
        <v>9.4452773613193486E-2</v>
      </c>
      <c r="O150" s="49">
        <f t="shared" si="58"/>
        <v>0.11809021204994363</v>
      </c>
      <c r="P150" s="49">
        <f t="shared" si="58"/>
        <v>6.5865803769029396E-2</v>
      </c>
      <c r="Q150" s="49">
        <f t="shared" si="58"/>
        <v>5.8683463800199398E-2</v>
      </c>
      <c r="R150" s="49">
        <f t="shared" si="58"/>
        <v>6.249804105939516E-2</v>
      </c>
      <c r="S150" s="49">
        <f t="shared" si="58"/>
        <v>8.873666671413738E-2</v>
      </c>
      <c r="T150" s="49">
        <f t="shared" si="58"/>
        <v>0.10125126585537503</v>
      </c>
      <c r="U150" s="49">
        <f t="shared" si="58"/>
        <v>0.1038474570475576</v>
      </c>
      <c r="V150" s="49">
        <f t="shared" si="58"/>
        <v>9.378535670064303E-2</v>
      </c>
      <c r="W150" s="49" t="str">
        <f t="shared" si="58"/>
        <v/>
      </c>
      <c r="X150" s="49" t="str">
        <f t="shared" si="58"/>
        <v/>
      </c>
      <c r="Y150" s="49" t="str">
        <f t="shared" si="58"/>
        <v/>
      </c>
      <c r="Z150" s="49" t="str">
        <f t="shared" si="58"/>
        <v/>
      </c>
      <c r="AA150" s="49" t="str">
        <f t="shared" si="58"/>
        <v/>
      </c>
      <c r="AB150" s="19"/>
      <c r="AC150" s="52" t="str">
        <f t="shared" ref="AC150:AJ150" si="59">IFERROR(AC149/AC148-1,"")</f>
        <v/>
      </c>
      <c r="AD150" s="52" t="str">
        <f t="shared" si="59"/>
        <v/>
      </c>
      <c r="AE150" s="52" t="str">
        <f t="shared" si="59"/>
        <v/>
      </c>
      <c r="AF150" s="52" t="str">
        <f t="shared" si="59"/>
        <v/>
      </c>
      <c r="AG150" s="52" t="str">
        <f t="shared" si="59"/>
        <v/>
      </c>
      <c r="AH150" s="52">
        <f t="shared" si="59"/>
        <v>4.3904800880747441E-2</v>
      </c>
      <c r="AI150" s="52">
        <f t="shared" si="59"/>
        <v>6.8968491390854592E-2</v>
      </c>
      <c r="AJ150" s="52">
        <f t="shared" si="59"/>
        <v>9.8884139852904118E-2</v>
      </c>
    </row>
    <row r="151" spans="1:36" x14ac:dyDescent="0.3">
      <c r="AB151" s="19"/>
    </row>
    <row r="152" spans="1:36" x14ac:dyDescent="0.3">
      <c r="A152" s="9" t="s">
        <v>231</v>
      </c>
      <c r="AB152" s="19"/>
    </row>
    <row r="153" spans="1:36" x14ac:dyDescent="0.3">
      <c r="A153" t="s">
        <v>449</v>
      </c>
      <c r="B153" s="17" t="s">
        <v>228</v>
      </c>
      <c r="C153" s="17" t="s">
        <v>450</v>
      </c>
      <c r="D153" s="70">
        <v>3153</v>
      </c>
      <c r="E153" s="70">
        <v>3242</v>
      </c>
      <c r="F153" s="70">
        <v>3558</v>
      </c>
      <c r="G153" s="70">
        <v>3616</v>
      </c>
      <c r="H153" s="70">
        <v>3732</v>
      </c>
      <c r="I153" s="70">
        <v>3940</v>
      </c>
      <c r="J153" s="70">
        <v>3959</v>
      </c>
      <c r="K153" s="70">
        <v>4266</v>
      </c>
      <c r="L153" s="70">
        <v>4058</v>
      </c>
      <c r="M153" s="70">
        <v>4061</v>
      </c>
      <c r="N153" s="70">
        <v>4681</v>
      </c>
      <c r="O153" s="70">
        <v>4546</v>
      </c>
      <c r="P153" s="70">
        <v>4237</v>
      </c>
      <c r="Q153" s="70">
        <v>4464</v>
      </c>
      <c r="R153" s="70">
        <v>4901</v>
      </c>
      <c r="S153" s="70">
        <v>4738</v>
      </c>
      <c r="T153" s="70">
        <v>4504</v>
      </c>
      <c r="U153" s="70">
        <v>4651</v>
      </c>
      <c r="V153" s="70">
        <v>4794</v>
      </c>
      <c r="AB153" s="19"/>
      <c r="AF153" s="70">
        <v>3400</v>
      </c>
      <c r="AG153" s="70">
        <v>3973</v>
      </c>
      <c r="AH153" s="70">
        <v>4361</v>
      </c>
      <c r="AI153" s="70">
        <v>4609</v>
      </c>
      <c r="AJ153" s="70">
        <v>4652</v>
      </c>
    </row>
    <row r="154" spans="1:36" x14ac:dyDescent="0.3">
      <c r="A154" t="s">
        <v>451</v>
      </c>
      <c r="B154" s="17" t="s">
        <v>228</v>
      </c>
      <c r="C154" s="17" t="s">
        <v>454</v>
      </c>
      <c r="D154" s="55" t="str">
        <f t="shared" ref="D154:AA154" si="60">IF(D98="","",IFERROR(D96,""))</f>
        <v/>
      </c>
      <c r="E154" s="55" t="str">
        <f t="shared" si="60"/>
        <v/>
      </c>
      <c r="F154" s="55" t="str">
        <f t="shared" si="60"/>
        <v/>
      </c>
      <c r="G154" s="55" t="str">
        <f t="shared" si="60"/>
        <v/>
      </c>
      <c r="H154" s="55" t="str">
        <f t="shared" si="60"/>
        <v/>
      </c>
      <c r="I154" s="55" t="str">
        <f t="shared" si="60"/>
        <v/>
      </c>
      <c r="J154" s="55" t="str">
        <f t="shared" si="60"/>
        <v/>
      </c>
      <c r="K154" s="55" t="str">
        <f t="shared" si="60"/>
        <v/>
      </c>
      <c r="L154" s="55">
        <f t="shared" si="60"/>
        <v>4505.333333333333</v>
      </c>
      <c r="M154" s="55">
        <f t="shared" si="60"/>
        <v>4920</v>
      </c>
      <c r="N154" s="55">
        <f t="shared" si="60"/>
        <v>4983.333333333333</v>
      </c>
      <c r="O154" s="55">
        <f t="shared" si="60"/>
        <v>4866.666666666667</v>
      </c>
      <c r="P154" s="55">
        <f t="shared" si="60"/>
        <v>4553.5294117647063</v>
      </c>
      <c r="Q154" s="55">
        <f t="shared" si="60"/>
        <v>4796.1111111111113</v>
      </c>
      <c r="R154" s="55">
        <f t="shared" si="60"/>
        <v>5380.4761904761899</v>
      </c>
      <c r="S154" s="55">
        <f t="shared" si="60"/>
        <v>4938.0952380952376</v>
      </c>
      <c r="T154" s="55">
        <f t="shared" si="60"/>
        <v>4820</v>
      </c>
      <c r="U154" s="55">
        <f t="shared" si="60"/>
        <v>4916.666666666667</v>
      </c>
      <c r="V154" s="55">
        <f t="shared" si="60"/>
        <v>4920</v>
      </c>
      <c r="W154" s="55">
        <f t="shared" si="60"/>
        <v>4940.7407407407418</v>
      </c>
      <c r="X154" s="55" t="str">
        <f t="shared" si="60"/>
        <v/>
      </c>
      <c r="Y154" s="55" t="str">
        <f t="shared" si="60"/>
        <v/>
      </c>
      <c r="Z154" s="55" t="str">
        <f t="shared" si="60"/>
        <v/>
      </c>
      <c r="AA154" s="55" t="str">
        <f t="shared" si="60"/>
        <v/>
      </c>
      <c r="AB154" s="19"/>
      <c r="AC154" s="56" t="str">
        <f t="shared" ref="AC154:AJ154" si="61">IF(AC98="","",IFERROR(AC96,""))</f>
        <v/>
      </c>
      <c r="AD154" s="56" t="str">
        <f t="shared" si="61"/>
        <v/>
      </c>
      <c r="AE154" s="56" t="str">
        <f t="shared" si="61"/>
        <v/>
      </c>
      <c r="AF154" s="56" t="str">
        <f t="shared" si="61"/>
        <v/>
      </c>
      <c r="AG154" s="56" t="str">
        <f t="shared" si="61"/>
        <v/>
      </c>
      <c r="AH154" s="56">
        <f t="shared" si="61"/>
        <v>4836.4285714285716</v>
      </c>
      <c r="AI154" s="56">
        <f t="shared" si="61"/>
        <v>4940.6493506493507</v>
      </c>
      <c r="AJ154" s="56">
        <f t="shared" si="61"/>
        <v>4904.9504950495048</v>
      </c>
    </row>
    <row r="155" spans="1:36" x14ac:dyDescent="0.3">
      <c r="A155" t="s">
        <v>453</v>
      </c>
      <c r="B155" s="17" t="s">
        <v>217</v>
      </c>
      <c r="D155" s="49" t="str">
        <f t="shared" ref="D155:AA155" si="62">IFERROR(D154/D153-1,"")</f>
        <v/>
      </c>
      <c r="E155" s="49" t="str">
        <f t="shared" si="62"/>
        <v/>
      </c>
      <c r="F155" s="49" t="str">
        <f t="shared" si="62"/>
        <v/>
      </c>
      <c r="G155" s="49" t="str">
        <f t="shared" si="62"/>
        <v/>
      </c>
      <c r="H155" s="49" t="str">
        <f t="shared" si="62"/>
        <v/>
      </c>
      <c r="I155" s="49" t="str">
        <f t="shared" si="62"/>
        <v/>
      </c>
      <c r="J155" s="49" t="str">
        <f t="shared" si="62"/>
        <v/>
      </c>
      <c r="K155" s="49" t="str">
        <f t="shared" si="62"/>
        <v/>
      </c>
      <c r="L155" s="49">
        <f t="shared" si="62"/>
        <v>0.11023492689337933</v>
      </c>
      <c r="M155" s="49">
        <f t="shared" si="62"/>
        <v>0.21152425510957884</v>
      </c>
      <c r="N155" s="49">
        <f t="shared" si="62"/>
        <v>6.4587338887702073E-2</v>
      </c>
      <c r="O155" s="49">
        <f t="shared" si="62"/>
        <v>7.053820208241679E-2</v>
      </c>
      <c r="P155" s="49">
        <f t="shared" si="62"/>
        <v>7.4706021185911409E-2</v>
      </c>
      <c r="Q155" s="49">
        <f t="shared" si="62"/>
        <v>7.4397650338510646E-2</v>
      </c>
      <c r="R155" s="49">
        <f t="shared" si="62"/>
        <v>9.7832317991469075E-2</v>
      </c>
      <c r="S155" s="49">
        <f t="shared" si="62"/>
        <v>4.223200466341015E-2</v>
      </c>
      <c r="T155" s="49">
        <f t="shared" si="62"/>
        <v>7.0159857904085188E-2</v>
      </c>
      <c r="U155" s="49">
        <f t="shared" si="62"/>
        <v>5.7120332544972507E-2</v>
      </c>
      <c r="V155" s="49">
        <f t="shared" si="62"/>
        <v>2.6282853566958808E-2</v>
      </c>
      <c r="W155" s="49" t="str">
        <f t="shared" si="62"/>
        <v/>
      </c>
      <c r="X155" s="49" t="str">
        <f t="shared" si="62"/>
        <v/>
      </c>
      <c r="Y155" s="49" t="str">
        <f t="shared" si="62"/>
        <v/>
      </c>
      <c r="Z155" s="49" t="str">
        <f t="shared" si="62"/>
        <v/>
      </c>
      <c r="AA155" s="49" t="str">
        <f t="shared" si="62"/>
        <v/>
      </c>
      <c r="AB155" s="19"/>
      <c r="AC155" s="52" t="str">
        <f t="shared" ref="AC155:AJ155" si="63">IFERROR(AC154/AC153-1,"")</f>
        <v/>
      </c>
      <c r="AD155" s="52" t="str">
        <f t="shared" si="63"/>
        <v/>
      </c>
      <c r="AE155" s="52" t="str">
        <f t="shared" si="63"/>
        <v/>
      </c>
      <c r="AF155" s="52" t="str">
        <f t="shared" si="63"/>
        <v/>
      </c>
      <c r="AG155" s="52" t="str">
        <f t="shared" si="63"/>
        <v/>
      </c>
      <c r="AH155" s="52">
        <f t="shared" si="63"/>
        <v>0.1090182461427589</v>
      </c>
      <c r="AI155" s="52">
        <f t="shared" si="63"/>
        <v>7.1956899685257314E-2</v>
      </c>
      <c r="AJ155" s="52">
        <f t="shared" si="63"/>
        <v>5.437456901322113E-2</v>
      </c>
    </row>
  </sheetData>
  <pageMargins left="0.75" right="0.75" top="1" bottom="1" header="0.5" footer="0.5"/>
  <pageSetup orientation="portrait"/>
  <ignoredErrors>
    <ignoredError sqref="AF7:AJ14 AF16:AJ19 AF21:AJ27" formulaRange="1"/>
    <ignoredError sqref="AF15:AJ15 AF20:AJ20" formula="1" formulaRange="1"/>
  </ignoredErrors>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N129"/>
  <sheetViews>
    <sheetView showGridLines="0" tabSelected="1" workbookViewId="0">
      <pane xSplit="3" ySplit="3" topLeftCell="AB40" activePane="bottomRight" state="frozen"/>
      <selection pane="topRight"/>
      <selection pane="bottomLeft"/>
      <selection pane="bottomRight" activeCell="AN49" sqref="AN49"/>
    </sheetView>
  </sheetViews>
  <sheetFormatPr defaultRowHeight="14.4" outlineLevelRow="1" outlineLevelCol="1" x14ac:dyDescent="0.3"/>
  <cols>
    <col min="1" max="1" width="58" customWidth="1"/>
    <col min="2" max="2" width="10" customWidth="1"/>
    <col min="3" max="3" width="22" customWidth="1"/>
    <col min="4" max="27" width="11" hidden="1" customWidth="1" outlineLevel="1"/>
    <col min="28" max="28" width="3" customWidth="1" collapsed="1"/>
    <col min="29" max="33" width="12" hidden="1" customWidth="1" outlineLevel="1"/>
    <col min="34" max="34" width="12" customWidth="1" collapsed="1"/>
    <col min="35" max="40" width="12" customWidth="1"/>
  </cols>
  <sheetData>
    <row r="1" spans="1:4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9"/>
      <c r="AC1" s="1" t="s">
        <v>27</v>
      </c>
      <c r="AD1" s="1" t="s">
        <v>28</v>
      </c>
      <c r="AE1" s="1" t="s">
        <v>29</v>
      </c>
      <c r="AF1" s="1" t="s">
        <v>30</v>
      </c>
      <c r="AG1" s="1" t="s">
        <v>31</v>
      </c>
      <c r="AH1" s="1" t="s">
        <v>32</v>
      </c>
      <c r="AI1" s="1" t="s">
        <v>33</v>
      </c>
      <c r="AJ1" s="1" t="s">
        <v>34</v>
      </c>
      <c r="AK1" s="1" t="s">
        <v>207</v>
      </c>
      <c r="AL1" s="1" t="s">
        <v>208</v>
      </c>
      <c r="AM1" s="1" t="s">
        <v>209</v>
      </c>
      <c r="AN1" s="1" t="s">
        <v>210</v>
      </c>
    </row>
    <row r="2" spans="1:40" x14ac:dyDescent="0.3">
      <c r="A2" s="9" t="s">
        <v>35</v>
      </c>
      <c r="D2" s="47">
        <f>DATE(2021,6,30)</f>
        <v>44377</v>
      </c>
      <c r="E2" s="47">
        <f t="shared" ref="E2:AA2" si="0">EOMONTH(D2,-3)</f>
        <v>44286</v>
      </c>
      <c r="F2" s="47">
        <f t="shared" si="0"/>
        <v>44196</v>
      </c>
      <c r="G2" s="47">
        <f t="shared" si="0"/>
        <v>44104</v>
      </c>
      <c r="H2" s="47">
        <f t="shared" si="0"/>
        <v>44012</v>
      </c>
      <c r="I2" s="47">
        <f t="shared" si="0"/>
        <v>43921</v>
      </c>
      <c r="J2" s="47">
        <f t="shared" si="0"/>
        <v>43830</v>
      </c>
      <c r="K2" s="47">
        <f t="shared" si="0"/>
        <v>43738</v>
      </c>
      <c r="L2" s="47">
        <f t="shared" si="0"/>
        <v>43646</v>
      </c>
      <c r="M2" s="47">
        <f t="shared" si="0"/>
        <v>43555</v>
      </c>
      <c r="N2" s="47">
        <f t="shared" si="0"/>
        <v>43465</v>
      </c>
      <c r="O2" s="47">
        <f t="shared" si="0"/>
        <v>43373</v>
      </c>
      <c r="P2" s="47">
        <f t="shared" si="0"/>
        <v>43281</v>
      </c>
      <c r="Q2" s="47">
        <f t="shared" si="0"/>
        <v>43190</v>
      </c>
      <c r="R2" s="47">
        <f t="shared" si="0"/>
        <v>43100</v>
      </c>
      <c r="S2" s="47">
        <f t="shared" si="0"/>
        <v>43008</v>
      </c>
      <c r="T2" s="47">
        <f t="shared" si="0"/>
        <v>42916</v>
      </c>
      <c r="U2" s="47">
        <f t="shared" si="0"/>
        <v>42825</v>
      </c>
      <c r="V2" s="47">
        <f t="shared" si="0"/>
        <v>42735</v>
      </c>
      <c r="W2" s="47">
        <f t="shared" si="0"/>
        <v>42643</v>
      </c>
      <c r="X2" s="47">
        <f t="shared" si="0"/>
        <v>42551</v>
      </c>
      <c r="Y2" s="47">
        <f t="shared" si="0"/>
        <v>42460</v>
      </c>
      <c r="Z2" s="47">
        <f t="shared" si="0"/>
        <v>42369</v>
      </c>
      <c r="AA2" s="47">
        <f t="shared" si="0"/>
        <v>42277</v>
      </c>
      <c r="AB2" s="19"/>
      <c r="AC2" s="47">
        <f>DATE(2019,3,31)</f>
        <v>43555</v>
      </c>
      <c r="AD2" s="47">
        <f>DATE(2020,3,31)</f>
        <v>43921</v>
      </c>
      <c r="AE2" s="47">
        <f>DATE(2021,3,31)</f>
        <v>44286</v>
      </c>
      <c r="AF2" s="47">
        <f>DATE(2022,3,31)</f>
        <v>44651</v>
      </c>
      <c r="AG2" s="47">
        <f>DATE(2023,3,31)</f>
        <v>45016</v>
      </c>
      <c r="AH2" s="47">
        <f>DATE(2024,3,31)</f>
        <v>45382</v>
      </c>
      <c r="AI2" s="47">
        <f>DATE(2025,3,31)</f>
        <v>45747</v>
      </c>
      <c r="AJ2" s="47">
        <f>DATE(2026,3,31)</f>
        <v>46112</v>
      </c>
      <c r="AK2" s="47">
        <f>DATE(2027,3,31)</f>
        <v>46477</v>
      </c>
      <c r="AL2" s="47">
        <f>DATE(2028,3,31)</f>
        <v>46843</v>
      </c>
      <c r="AM2" s="47">
        <f>DATE(2029,3,31)</f>
        <v>47208</v>
      </c>
      <c r="AN2" s="47">
        <f>DATE(2030,3,31)</f>
        <v>47573</v>
      </c>
    </row>
    <row r="3" spans="1:40" x14ac:dyDescent="0.3">
      <c r="A3" s="17" t="s">
        <v>455</v>
      </c>
      <c r="AB3" s="19"/>
    </row>
    <row r="4" spans="1:40" x14ac:dyDescent="0.3">
      <c r="A4" s="5" t="s">
        <v>456</v>
      </c>
      <c r="B4" s="5"/>
      <c r="C4" s="5"/>
      <c r="D4" s="5"/>
      <c r="E4" s="5"/>
      <c r="F4" s="5"/>
      <c r="G4" s="5"/>
      <c r="H4" s="5"/>
      <c r="I4" s="5"/>
      <c r="J4" s="5"/>
      <c r="K4" s="5"/>
      <c r="L4" s="5"/>
      <c r="M4" s="5"/>
      <c r="N4" s="5"/>
      <c r="O4" s="5"/>
      <c r="P4" s="5"/>
      <c r="Q4" s="5"/>
      <c r="R4" s="5"/>
      <c r="S4" s="5"/>
      <c r="T4" s="5"/>
      <c r="U4" s="5"/>
      <c r="V4" s="5"/>
      <c r="W4" s="5"/>
      <c r="X4" s="5"/>
      <c r="Y4" s="5"/>
      <c r="Z4" s="5"/>
      <c r="AA4" s="5"/>
      <c r="AB4" s="44"/>
      <c r="AC4" s="5"/>
      <c r="AD4" s="5"/>
      <c r="AE4" s="5"/>
      <c r="AF4" s="5"/>
      <c r="AG4" s="5"/>
      <c r="AH4" s="5"/>
      <c r="AI4" s="5"/>
      <c r="AJ4" s="5"/>
      <c r="AK4" s="5"/>
      <c r="AL4" s="5"/>
      <c r="AM4" s="5"/>
      <c r="AN4" s="5"/>
    </row>
    <row r="5" spans="1:40" x14ac:dyDescent="0.3">
      <c r="A5" s="17" t="s">
        <v>457</v>
      </c>
      <c r="B5" s="17"/>
      <c r="C5" s="17"/>
      <c r="D5" s="17"/>
      <c r="E5" s="17"/>
      <c r="F5" s="17"/>
      <c r="G5" s="17"/>
      <c r="H5" s="17"/>
      <c r="I5" s="17"/>
      <c r="J5" s="17"/>
      <c r="K5" s="17"/>
      <c r="L5" s="17"/>
      <c r="M5" s="17"/>
      <c r="N5" s="17"/>
      <c r="O5" s="17"/>
      <c r="P5" s="17"/>
      <c r="Q5" s="17"/>
      <c r="R5" s="17"/>
      <c r="S5" s="17"/>
      <c r="T5" s="17"/>
      <c r="U5" s="17"/>
      <c r="V5" s="17"/>
      <c r="W5" s="17"/>
      <c r="X5" s="17"/>
      <c r="Y5" s="17"/>
      <c r="Z5" s="17"/>
      <c r="AA5" s="17"/>
      <c r="AB5" s="45"/>
      <c r="AC5" s="17"/>
      <c r="AD5" s="17"/>
      <c r="AE5" s="17"/>
      <c r="AF5" s="17"/>
      <c r="AG5" s="17"/>
      <c r="AH5" s="17"/>
      <c r="AI5" s="17"/>
      <c r="AJ5" s="17"/>
      <c r="AK5" s="17"/>
      <c r="AL5" s="17"/>
      <c r="AM5" s="17"/>
      <c r="AN5" s="17"/>
    </row>
    <row r="6" spans="1:40" outlineLevel="1" x14ac:dyDescent="0.3">
      <c r="A6" s="20" t="s">
        <v>38</v>
      </c>
      <c r="B6" s="17" t="s">
        <v>214</v>
      </c>
      <c r="D6" s="55">
        <f>IF('Raw Data - financials'!D5="","",'Raw Data - financials'!D5)</f>
        <v>8169.91</v>
      </c>
      <c r="E6" s="55">
        <f>IF('Raw Data - financials'!E5="","",'Raw Data - financials'!E5)</f>
        <v>8852.64</v>
      </c>
      <c r="F6" s="55">
        <f>IF('Raw Data - financials'!F5="","",'Raw Data - financials'!F5)</f>
        <v>10983.6</v>
      </c>
      <c r="G6" s="55">
        <f>IF('Raw Data - financials'!G5="","",'Raw Data - financials'!G5)</f>
        <v>9733.2000000000007</v>
      </c>
      <c r="H6" s="55">
        <f>IF('Raw Data - financials'!H5="","",'Raw Data - financials'!H5)</f>
        <v>11484.21</v>
      </c>
      <c r="I6" s="55">
        <f>IF('Raw Data - financials'!I5="","",'Raw Data - financials'!I5)</f>
        <v>12308.29</v>
      </c>
      <c r="J6" s="55">
        <f>IF('Raw Data - financials'!J5="","",'Raw Data - financials'!J5)</f>
        <v>14628.26</v>
      </c>
      <c r="K6" s="55">
        <f>IF('Raw Data - financials'!K5="","",'Raw Data - financials'!K5)</f>
        <v>13017.24</v>
      </c>
      <c r="L6" s="55">
        <f>IF('Raw Data - financials'!L5="","",'Raw Data - financials'!L5)</f>
        <v>14218.24</v>
      </c>
      <c r="M6" s="55">
        <f>IF('Raw Data - financials'!M5="","",'Raw Data - financials'!M5)</f>
        <v>15070.24</v>
      </c>
      <c r="N6" s="55">
        <f>IF('Raw Data - financials'!N5="","",'Raw Data - financials'!N5)</f>
        <v>17887.98</v>
      </c>
      <c r="O6" s="55">
        <f>IF('Raw Data - financials'!O5="","",'Raw Data - financials'!O5)</f>
        <v>16679.8</v>
      </c>
      <c r="P6" s="55">
        <f>IF('Raw Data - financials'!P5="","",'Raw Data - financials'!P5)</f>
        <v>17461.099999999999</v>
      </c>
      <c r="Q6" s="55">
        <f>IF('Raw Data - financials'!Q5="","",'Raw Data - financials'!Q5)</f>
        <v>18747.400000000001</v>
      </c>
      <c r="R6" s="55">
        <f>IF('Raw Data - financials'!R5="","",'Raw Data - financials'!R5)</f>
        <v>22672.1</v>
      </c>
      <c r="S6" s="55">
        <f>IF('Raw Data - financials'!S5="","",'Raw Data - financials'!S5)</f>
        <v>20617.599999999999</v>
      </c>
      <c r="T6" s="55">
        <f>IF('Raw Data - financials'!T5="","",'Raw Data - financials'!T5)</f>
        <v>21549.4</v>
      </c>
      <c r="U6" s="55">
        <f>IF('Raw Data - financials'!U5="","",'Raw Data - financials'!U5)</f>
        <v>23459.8</v>
      </c>
      <c r="V6" s="55">
        <f>IF('Raw Data - financials'!V5="","",'Raw Data - financials'!V5)</f>
        <v>28732.6</v>
      </c>
      <c r="W6" s="55">
        <f>IF('Raw Data - financials'!W5="","",'Raw Data - financials'!W5)</f>
        <v>26481.7</v>
      </c>
      <c r="AB6" s="19"/>
      <c r="AC6" s="56">
        <f>IF('Raw Data - financials'!AC5="","",'Raw Data - financials'!AC5)</f>
        <v>11113.94</v>
      </c>
      <c r="AD6" s="56">
        <f>IF('Raw Data - financials'!AD5="","",'Raw Data - financials'!AD5)</f>
        <v>17675.330000000002</v>
      </c>
      <c r="AE6" s="56">
        <f>IF('Raw Data - financials'!AE5="","",'Raw Data - financials'!AE5)</f>
        <v>24408.959999999999</v>
      </c>
      <c r="AF6" s="56">
        <f>IF('Raw Data - financials'!AF5="","",'Raw Data - financials'!AF5)</f>
        <v>37739.35</v>
      </c>
      <c r="AG6" s="56">
        <f>IF('Raw Data - financials'!AG5="","",'Raw Data - financials'!AG5)</f>
        <v>51438</v>
      </c>
      <c r="AH6" s="56">
        <f>IF('Raw Data - financials'!AH5="","",'Raw Data - financials'!AH5)</f>
        <v>63856.26</v>
      </c>
      <c r="AI6" s="56">
        <f>IF('Raw Data - financials'!AI5="","",'Raw Data - financials'!AI5)</f>
        <v>79498.2</v>
      </c>
      <c r="AJ6" s="56">
        <f>IF('Raw Data - financials'!AJ5="","",'Raw Data - financials'!AJ5)</f>
        <v>100223.5</v>
      </c>
      <c r="AK6" s="56">
        <f>IF(Projections!AK118="","",Projections!AK118)</f>
        <v>131751.30830328233</v>
      </c>
      <c r="AL6" s="56">
        <f>IF(Projections!AL118="","",Projections!AL118)</f>
        <v>173081.96381576173</v>
      </c>
      <c r="AM6" s="56">
        <f>IF(Projections!AM118="","",Projections!AM118)</f>
        <v>227383.51597326077</v>
      </c>
      <c r="AN6" s="56">
        <f>IF(Projections!AN118="","",Projections!AN118)</f>
        <v>298728.43916474486</v>
      </c>
    </row>
    <row r="7" spans="1:40" outlineLevel="1" x14ac:dyDescent="0.3">
      <c r="A7" s="20" t="s">
        <v>40</v>
      </c>
      <c r="B7" s="17" t="s">
        <v>214</v>
      </c>
      <c r="D7" s="55">
        <f>IF(Projections!D119="","",Projections!D119)</f>
        <v>47.22</v>
      </c>
      <c r="E7" s="55">
        <f>IF(Projections!E119="","",Projections!E119)</f>
        <v>51.98</v>
      </c>
      <c r="F7" s="55">
        <f>IF(Projections!F119="","",Projections!F119)</f>
        <v>59.13</v>
      </c>
      <c r="G7" s="55">
        <f>IF(Projections!G119="","",Projections!G119)</f>
        <v>111.39</v>
      </c>
      <c r="H7" s="55">
        <f>IF(Projections!H119="","",Projections!H119)</f>
        <v>83.63</v>
      </c>
      <c r="I7" s="55">
        <f>IF(Projections!I119="","",Projections!I119)</f>
        <v>64.760000000000005</v>
      </c>
      <c r="J7" s="55">
        <f>IF(Projections!J119="","",Projections!J119)</f>
        <v>56.36</v>
      </c>
      <c r="K7" s="55">
        <f>IF(Projections!K119="","",Projections!K119)</f>
        <v>97.38</v>
      </c>
      <c r="L7" s="55">
        <f>IF(Projections!L119="","",Projections!L119)</f>
        <v>67.209999999999994</v>
      </c>
      <c r="M7" s="55">
        <f>IF(Projections!M119="","",Projections!M119)</f>
        <v>85.73</v>
      </c>
      <c r="N7" s="55">
        <f>IF(Projections!N119="","",Projections!N119)</f>
        <v>75.84</v>
      </c>
      <c r="O7" s="55">
        <f>IF(Projections!O119="","",Projections!O119)</f>
        <v>70.63</v>
      </c>
      <c r="P7" s="55">
        <f>IF(Projections!P119="","",Projections!P119)</f>
        <v>73.3</v>
      </c>
      <c r="Q7" s="55">
        <f>IF(Projections!Q119="","",Projections!Q119)</f>
        <v>54.5</v>
      </c>
      <c r="R7" s="55">
        <f>IF(Projections!R119="","",Projections!R119)</f>
        <v>55.3</v>
      </c>
      <c r="S7" s="55">
        <f>IF(Projections!S119="","",Projections!S119)</f>
        <v>89.5</v>
      </c>
      <c r="T7" s="55">
        <f>IF(Projections!T119="","",Projections!T119)</f>
        <v>93.3</v>
      </c>
      <c r="U7" s="55">
        <f>IF(Projections!U119="","",Projections!U119)</f>
        <v>80.3</v>
      </c>
      <c r="V7" s="55">
        <f>IF(Projections!V119="","",Projections!V119)</f>
        <v>62.6</v>
      </c>
      <c r="W7" s="55">
        <f>IF(Projections!W119="","",Projections!W119)</f>
        <v>91.5</v>
      </c>
      <c r="AB7" s="19"/>
      <c r="AC7" s="56">
        <f>IF(Projections!AC119="","",Projections!AC119)</f>
        <v>49.88</v>
      </c>
      <c r="AD7" s="56">
        <f>IF(Projections!AD119="","",Projections!AD119)</f>
        <v>103.17</v>
      </c>
      <c r="AE7" s="56">
        <f>IF(Projections!AE119="","",Projections!AE119)</f>
        <v>117.41</v>
      </c>
      <c r="AF7" s="56">
        <f>IF(Projections!AF119="","",Projections!AF119)</f>
        <v>269.72000000000003</v>
      </c>
      <c r="AG7" s="56">
        <f>IF(Projections!AG119="","",Projections!AG119)</f>
        <v>302.13</v>
      </c>
      <c r="AH7" s="56">
        <f>IF(Projections!AH119="","",Projections!AH119)</f>
        <v>299.42</v>
      </c>
      <c r="AI7" s="56">
        <f>IF(Projections!AI119="","",Projections!AI119)</f>
        <v>272.60000000000002</v>
      </c>
      <c r="AJ7" s="56">
        <f>IF(Projections!AJ119="","",Projections!AJ119)</f>
        <v>327.7</v>
      </c>
      <c r="AK7" s="56">
        <f>IF(Projections!AK119="","",Projections!AK119)</f>
        <v>434.7793174008317</v>
      </c>
      <c r="AL7" s="56">
        <f>IF(Projections!AL119="","",Projections!AL119)</f>
        <v>571.17048059201375</v>
      </c>
      <c r="AM7" s="56">
        <f>IF(Projections!AM119="","",Projections!AM119)</f>
        <v>750.36560271176052</v>
      </c>
      <c r="AN7" s="56">
        <f>IF(Projections!AN119="","",Projections!AN119)</f>
        <v>985.80384924365808</v>
      </c>
    </row>
    <row r="8" spans="1:40" x14ac:dyDescent="0.3">
      <c r="A8" s="72" t="s">
        <v>41</v>
      </c>
      <c r="B8" s="17" t="s">
        <v>214</v>
      </c>
      <c r="D8" s="55">
        <f t="shared" ref="D8:W8" si="1">IFERROR(D6+D7,"")</f>
        <v>8217.1299999999992</v>
      </c>
      <c r="E8" s="55">
        <f t="shared" si="1"/>
        <v>8904.619999999999</v>
      </c>
      <c r="F8" s="55">
        <f t="shared" si="1"/>
        <v>11042.73</v>
      </c>
      <c r="G8" s="55">
        <f t="shared" si="1"/>
        <v>9844.59</v>
      </c>
      <c r="H8" s="55">
        <f t="shared" si="1"/>
        <v>11567.839999999998</v>
      </c>
      <c r="I8" s="55">
        <f t="shared" si="1"/>
        <v>12373.050000000001</v>
      </c>
      <c r="J8" s="55">
        <f t="shared" si="1"/>
        <v>14684.62</v>
      </c>
      <c r="K8" s="55">
        <f t="shared" si="1"/>
        <v>13114.619999999999</v>
      </c>
      <c r="L8" s="55">
        <f t="shared" si="1"/>
        <v>14285.449999999999</v>
      </c>
      <c r="M8" s="55">
        <f t="shared" si="1"/>
        <v>15155.97</v>
      </c>
      <c r="N8" s="55">
        <f t="shared" si="1"/>
        <v>17963.82</v>
      </c>
      <c r="O8" s="55">
        <f t="shared" si="1"/>
        <v>16750.43</v>
      </c>
      <c r="P8" s="55">
        <f t="shared" si="1"/>
        <v>17534.399999999998</v>
      </c>
      <c r="Q8" s="55">
        <f t="shared" si="1"/>
        <v>18801.900000000001</v>
      </c>
      <c r="R8" s="55">
        <f t="shared" si="1"/>
        <v>22727.399999999998</v>
      </c>
      <c r="S8" s="55">
        <f t="shared" si="1"/>
        <v>20707.099999999999</v>
      </c>
      <c r="T8" s="55">
        <f t="shared" si="1"/>
        <v>21642.7</v>
      </c>
      <c r="U8" s="55">
        <f t="shared" si="1"/>
        <v>23540.1</v>
      </c>
      <c r="V8" s="55">
        <f t="shared" si="1"/>
        <v>28795.199999999997</v>
      </c>
      <c r="W8" s="55">
        <f t="shared" si="1"/>
        <v>26573.200000000001</v>
      </c>
      <c r="AB8" s="19"/>
      <c r="AC8" s="56">
        <f t="shared" ref="AC8:AN8" si="2">IFERROR(AC6+AC7,"")</f>
        <v>11163.82</v>
      </c>
      <c r="AD8" s="56">
        <f t="shared" si="2"/>
        <v>17778.5</v>
      </c>
      <c r="AE8" s="56">
        <f t="shared" si="2"/>
        <v>24526.37</v>
      </c>
      <c r="AF8" s="56">
        <f t="shared" si="2"/>
        <v>38009.07</v>
      </c>
      <c r="AG8" s="56">
        <f t="shared" si="2"/>
        <v>51740.13</v>
      </c>
      <c r="AH8" s="56">
        <f t="shared" si="2"/>
        <v>64155.68</v>
      </c>
      <c r="AI8" s="56">
        <f t="shared" si="2"/>
        <v>79770.8</v>
      </c>
      <c r="AJ8" s="56">
        <f t="shared" si="2"/>
        <v>100551.2</v>
      </c>
      <c r="AK8" s="56">
        <f t="shared" si="2"/>
        <v>132186.08762068316</v>
      </c>
      <c r="AL8" s="56">
        <f t="shared" si="2"/>
        <v>173653.13429635373</v>
      </c>
      <c r="AM8" s="56">
        <f t="shared" si="2"/>
        <v>228133.88157597254</v>
      </c>
      <c r="AN8" s="56">
        <f t="shared" si="2"/>
        <v>299714.24301398854</v>
      </c>
    </row>
    <row r="9" spans="1:40" x14ac:dyDescent="0.3">
      <c r="AB9" s="19"/>
    </row>
    <row r="10" spans="1:40" x14ac:dyDescent="0.3">
      <c r="A10" s="9" t="s">
        <v>42</v>
      </c>
      <c r="B10" s="9"/>
      <c r="C10" s="9"/>
      <c r="D10" s="9"/>
      <c r="E10" s="9"/>
      <c r="F10" s="9"/>
      <c r="G10" s="9"/>
      <c r="H10" s="9"/>
      <c r="I10" s="9"/>
      <c r="J10" s="9"/>
      <c r="K10" s="9"/>
      <c r="L10" s="9"/>
      <c r="M10" s="9"/>
      <c r="N10" s="9"/>
      <c r="O10" s="9"/>
      <c r="P10" s="9"/>
      <c r="Q10" s="9"/>
      <c r="R10" s="9"/>
      <c r="S10" s="9"/>
      <c r="T10" s="9"/>
      <c r="U10" s="9"/>
      <c r="V10" s="9"/>
      <c r="W10" s="9"/>
      <c r="X10" s="9"/>
      <c r="Y10" s="9"/>
      <c r="Z10" s="9"/>
      <c r="AA10" s="9"/>
      <c r="AB10" s="46"/>
      <c r="AC10" s="9"/>
      <c r="AD10" s="9"/>
      <c r="AE10" s="9"/>
      <c r="AF10" s="9"/>
      <c r="AG10" s="9"/>
      <c r="AH10" s="9"/>
      <c r="AI10" s="9"/>
      <c r="AJ10" s="9"/>
      <c r="AK10" s="9"/>
      <c r="AL10" s="9"/>
      <c r="AM10" s="9"/>
      <c r="AN10" s="9"/>
    </row>
    <row r="11" spans="1:40" outlineLevel="1" x14ac:dyDescent="0.3">
      <c r="A11" s="20" t="s">
        <v>43</v>
      </c>
      <c r="B11" s="17" t="s">
        <v>214</v>
      </c>
      <c r="D11" s="55">
        <f>IF('Raw Data - financials'!D10="","",'Raw Data - financials'!D10)</f>
        <v>229.37</v>
      </c>
      <c r="E11" s="55">
        <f>IF('Raw Data - financials'!E10="","",'Raw Data - financials'!E10)</f>
        <v>179.32</v>
      </c>
      <c r="F11" s="55">
        <f>IF('Raw Data - financials'!F10="","",'Raw Data - financials'!F10)</f>
        <v>176.56</v>
      </c>
      <c r="G11" s="55">
        <f>IF('Raw Data - financials'!G10="","",'Raw Data - financials'!G10)</f>
        <v>257.87</v>
      </c>
      <c r="H11" s="55">
        <f>IF('Raw Data - financials'!H10="","",'Raw Data - financials'!H10)</f>
        <v>232.97</v>
      </c>
      <c r="I11" s="55">
        <f>IF('Raw Data - financials'!I10="","",'Raw Data - financials'!I10)</f>
        <v>222.51</v>
      </c>
      <c r="J11" s="55">
        <f>IF('Raw Data - financials'!J10="","",'Raw Data - financials'!J10)</f>
        <v>166.08</v>
      </c>
      <c r="K11" s="55">
        <f>IF('Raw Data - financials'!K10="","",'Raw Data - financials'!K10)</f>
        <v>972.77</v>
      </c>
      <c r="L11" s="55">
        <f>IF('Raw Data - financials'!L10="","",'Raw Data - financials'!L10)</f>
        <v>186</v>
      </c>
      <c r="M11" s="55">
        <f>IF('Raw Data - financials'!M10="","",'Raw Data - financials'!M10)</f>
        <v>155.06</v>
      </c>
      <c r="N11" s="55">
        <f>IF('Raw Data - financials'!N10="","",'Raw Data - financials'!N10)</f>
        <v>235.19</v>
      </c>
      <c r="O11" s="55">
        <f>IF('Raw Data - financials'!O10="","",'Raw Data - financials'!O10)</f>
        <v>74.87</v>
      </c>
      <c r="P11" s="55">
        <f>IF('Raw Data - financials'!P10="","",'Raw Data - financials'!P10)</f>
        <v>25.9</v>
      </c>
      <c r="Q11" s="55">
        <f>IF('Raw Data - financials'!Q10="","",'Raw Data - financials'!Q10)</f>
        <v>14.5</v>
      </c>
      <c r="R11" s="55">
        <f>IF('Raw Data - financials'!R10="","",'Raw Data - financials'!R10)</f>
        <v>27.8</v>
      </c>
      <c r="S11" s="55">
        <f>IF('Raw Data - financials'!S10="","",'Raw Data - financials'!S10)</f>
        <v>12.8</v>
      </c>
      <c r="T11" s="55">
        <f>IF('Raw Data - financials'!T10="","",'Raw Data - financials'!T10)</f>
        <v>33.299999999999997</v>
      </c>
      <c r="U11" s="55">
        <f>IF('Raw Data - financials'!U10="","",'Raw Data - financials'!U10)</f>
        <v>3.4</v>
      </c>
      <c r="V11" s="55">
        <f>IF('Raw Data - financials'!V10="","",'Raw Data - financials'!V10)</f>
        <v>22.1</v>
      </c>
      <c r="W11" s="55">
        <f>IF('Raw Data - financials'!W10="","",'Raw Data - financials'!W10)</f>
        <v>87.3</v>
      </c>
      <c r="AB11" s="19"/>
      <c r="AC11" s="56">
        <f>IF('Raw Data - financials'!AC10="","",'Raw Data - financials'!AC10)</f>
        <v>2.41</v>
      </c>
      <c r="AD11" s="56">
        <f>IF('Raw Data - financials'!AD10="","",'Raw Data - financials'!AD10)</f>
        <v>173.43</v>
      </c>
      <c r="AE11" s="56">
        <f>IF('Raw Data - financials'!AE10="","",'Raw Data - financials'!AE10)</f>
        <v>382.41</v>
      </c>
      <c r="AF11" s="56">
        <f>IF('Raw Data - financials'!AF10="","",'Raw Data - financials'!AF10)</f>
        <v>843.12</v>
      </c>
      <c r="AG11" s="56">
        <f>IF('Raw Data - financials'!AG10="","",'Raw Data - financials'!AG10)</f>
        <v>1594.33</v>
      </c>
      <c r="AH11" s="56">
        <f>IF('Raw Data - financials'!AH10="","",'Raw Data - financials'!AH10)</f>
        <v>651.13</v>
      </c>
      <c r="AI11" s="56">
        <f>IF('Raw Data - financials'!AI10="","",'Raw Data - financials'!AI10)</f>
        <v>81</v>
      </c>
      <c r="AJ11" s="56">
        <f>IF('Raw Data - financials'!AJ10="","",'Raw Data - financials'!AJ10)</f>
        <v>146.1</v>
      </c>
      <c r="AK11" s="56">
        <f>IF(Projections!AK122="","",Projections!AK122)</f>
        <v>83003.324231067876</v>
      </c>
      <c r="AL11" s="56">
        <f>IF(Projections!AL122="","",Projections!AL122)</f>
        <v>109041.63720392989</v>
      </c>
      <c r="AM11" s="56">
        <f>IF(Projections!AM122="","",Projections!AM122)</f>
        <v>143251.61506315428</v>
      </c>
      <c r="AN11" s="56">
        <f>IF(Projections!AN122="","",Projections!AN122)</f>
        <v>188198.91667378927</v>
      </c>
    </row>
    <row r="12" spans="1:40" outlineLevel="1" x14ac:dyDescent="0.3">
      <c r="A12" s="20" t="s">
        <v>44</v>
      </c>
      <c r="B12" s="17" t="s">
        <v>214</v>
      </c>
      <c r="D12" s="55">
        <f>IF('Raw Data - financials'!D11="","",'Raw Data - financials'!D11)</f>
        <v>5509.42</v>
      </c>
      <c r="E12" s="55">
        <f>IF('Raw Data - financials'!E11="","",'Raw Data - financials'!E11)</f>
        <v>4848.33</v>
      </c>
      <c r="F12" s="55">
        <f>IF('Raw Data - financials'!F11="","",'Raw Data - financials'!F11)</f>
        <v>6902.15</v>
      </c>
      <c r="G12" s="55">
        <f>IF('Raw Data - financials'!G11="","",'Raw Data - financials'!G11)</f>
        <v>6643.6</v>
      </c>
      <c r="H12" s="55">
        <f>IF('Raw Data - financials'!H11="","",'Raw Data - financials'!H11)</f>
        <v>7415.45</v>
      </c>
      <c r="I12" s="55">
        <f>IF('Raw Data - financials'!I11="","",'Raw Data - financials'!I11)</f>
        <v>5858.02</v>
      </c>
      <c r="J12" s="55">
        <f>IF('Raw Data - financials'!J11="","",'Raw Data - financials'!J11)</f>
        <v>9188.98</v>
      </c>
      <c r="K12" s="55">
        <f>IF('Raw Data - financials'!K11="","",'Raw Data - financials'!K11)</f>
        <v>6017.46</v>
      </c>
      <c r="L12" s="55">
        <f>IF('Raw Data - financials'!L11="","",'Raw Data - financials'!L11)</f>
        <v>9781.98</v>
      </c>
      <c r="M12" s="55">
        <f>IF('Raw Data - financials'!M11="","",'Raw Data - financials'!M11)</f>
        <v>5530.25</v>
      </c>
      <c r="N12" s="55">
        <f>IF('Raw Data - financials'!N11="","",'Raw Data - financials'!N11)</f>
        <v>12322.52</v>
      </c>
      <c r="O12" s="55">
        <f>IF('Raw Data - financials'!O11="","",'Raw Data - financials'!O11)</f>
        <v>10182.01</v>
      </c>
      <c r="P12" s="55">
        <f>IF('Raw Data - financials'!P11="","",'Raw Data - financials'!P11)</f>
        <v>11718</v>
      </c>
      <c r="Q12" s="55">
        <f>IF('Raw Data - financials'!Q11="","",'Raw Data - financials'!Q11)</f>
        <v>10860.8</v>
      </c>
      <c r="R12" s="55">
        <f>IF('Raw Data - financials'!R11="","",'Raw Data - financials'!R11)</f>
        <v>12849.6</v>
      </c>
      <c r="S12" s="55">
        <f>IF('Raw Data - financials'!S11="","",'Raw Data - financials'!S11)</f>
        <v>11402.3</v>
      </c>
      <c r="T12" s="55">
        <f>IF('Raw Data - financials'!T11="","",'Raw Data - financials'!T11)</f>
        <v>14444.5</v>
      </c>
      <c r="U12" s="55">
        <f>IF('Raw Data - financials'!U11="","",'Raw Data - financials'!U11)</f>
        <v>11965.3</v>
      </c>
      <c r="V12" s="55">
        <f>IF('Raw Data - financials'!V11="","",'Raw Data - financials'!V11)</f>
        <v>15047.7</v>
      </c>
      <c r="W12" s="55">
        <f>IF('Raw Data - financials'!W11="","",'Raw Data - financials'!W11)</f>
        <v>15728.3</v>
      </c>
      <c r="AB12" s="19"/>
      <c r="AC12" s="56">
        <f>IF('Raw Data - financials'!AC11="","",'Raw Data - financials'!AC11)</f>
        <v>7852.43</v>
      </c>
      <c r="AD12" s="56">
        <f>IF('Raw Data - financials'!AD11="","",'Raw Data - financials'!AD11)</f>
        <v>11787.46</v>
      </c>
      <c r="AE12" s="56">
        <f>IF('Raw Data - financials'!AE11="","",'Raw Data - financials'!AE11)</f>
        <v>14956.06</v>
      </c>
      <c r="AF12" s="56">
        <f>IF('Raw Data - financials'!AF11="","",'Raw Data - financials'!AF11)</f>
        <v>24078.31</v>
      </c>
      <c r="AG12" s="56">
        <f>IF('Raw Data - financials'!AG11="","",'Raw Data - financials'!AG11)</f>
        <v>28479.91</v>
      </c>
      <c r="AH12" s="56">
        <f>IF('Raw Data - financials'!AH11="","",'Raw Data - financials'!AH11)</f>
        <v>37816.75</v>
      </c>
      <c r="AI12" s="56">
        <f>IF('Raw Data - financials'!AI11="","",'Raw Data - financials'!AI11)</f>
        <v>46830.8</v>
      </c>
      <c r="AJ12" s="56">
        <f>IF('Raw Data - financials'!AJ11="","",'Raw Data - financials'!AJ11)</f>
        <v>57185.8</v>
      </c>
      <c r="AK12" s="56">
        <v>0</v>
      </c>
      <c r="AL12" s="56">
        <v>0</v>
      </c>
      <c r="AM12" s="56">
        <v>0</v>
      </c>
      <c r="AN12" s="56">
        <v>0</v>
      </c>
    </row>
    <row r="13" spans="1:40" outlineLevel="1" x14ac:dyDescent="0.3">
      <c r="A13" s="20" t="s">
        <v>45</v>
      </c>
      <c r="B13" s="17" t="s">
        <v>214</v>
      </c>
      <c r="D13" s="55">
        <f>IF('Raw Data - financials'!D12="","",'Raw Data - financials'!D12)</f>
        <v>-885.47</v>
      </c>
      <c r="E13" s="55">
        <f>IF('Raw Data - financials'!E12="","",'Raw Data - financials'!E12)</f>
        <v>42.57</v>
      </c>
      <c r="F13" s="55">
        <f>IF('Raw Data - financials'!F12="","",'Raw Data - financials'!F12)</f>
        <v>-1182.69</v>
      </c>
      <c r="G13" s="55">
        <f>IF('Raw Data - financials'!G12="","",'Raw Data - financials'!G12)</f>
        <v>-1420.88</v>
      </c>
      <c r="H13" s="55">
        <f>IF('Raw Data - financials'!H12="","",'Raw Data - financials'!H12)</f>
        <v>-1263</v>
      </c>
      <c r="I13" s="55">
        <f>IF('Raw Data - financials'!I12="","",'Raw Data - financials'!I12)</f>
        <v>650.38</v>
      </c>
      <c r="J13" s="55">
        <f>IF('Raw Data - financials'!J12="","",'Raw Data - financials'!J12)</f>
        <v>-1073.5</v>
      </c>
      <c r="K13" s="55">
        <f>IF('Raw Data - financials'!K12="","",'Raw Data - financials'!K12)</f>
        <v>268.69</v>
      </c>
      <c r="L13" s="55">
        <f>IF('Raw Data - financials'!L12="","",'Raw Data - financials'!L12)</f>
        <v>-1935.99</v>
      </c>
      <c r="M13" s="55">
        <f>IF('Raw Data - financials'!M12="","",'Raw Data - financials'!M12)</f>
        <v>2888.69</v>
      </c>
      <c r="N13" s="55">
        <f>IF('Raw Data - financials'!N12="","",'Raw Data - financials'!N12)</f>
        <v>-2277.21</v>
      </c>
      <c r="O13" s="55">
        <f>IF('Raw Data - financials'!O12="","",'Raw Data - financials'!O12)</f>
        <v>-679.51</v>
      </c>
      <c r="P13" s="55">
        <f>IF('Raw Data - financials'!P12="","",'Raw Data - financials'!P12)</f>
        <v>-1842.6</v>
      </c>
      <c r="Q13" s="55">
        <f>IF('Raw Data - financials'!Q12="","",'Raw Data - financials'!Q12)</f>
        <v>-338.1</v>
      </c>
      <c r="R13" s="55">
        <f>IF('Raw Data - financials'!R12="","",'Raw Data - financials'!R12)</f>
        <v>-116.7</v>
      </c>
      <c r="S13" s="55">
        <f>IF('Raw Data - financials'!S12="","",'Raw Data - financials'!S12)</f>
        <v>112.3</v>
      </c>
      <c r="T13" s="55">
        <f>IF('Raw Data - financials'!T12="","",'Raw Data - financials'!T12)</f>
        <v>-2543.5</v>
      </c>
      <c r="U13" s="55">
        <f>IF('Raw Data - financials'!U12="","",'Raw Data - financials'!U12)</f>
        <v>955.7</v>
      </c>
      <c r="V13" s="55">
        <f>IF('Raw Data - financials'!V12="","",'Raw Data - financials'!V12)</f>
        <v>688</v>
      </c>
      <c r="W13" s="55">
        <f>IF('Raw Data - financials'!W12="","",'Raw Data - financials'!W12)</f>
        <v>-1366.8</v>
      </c>
      <c r="AB13" s="19"/>
      <c r="AC13" s="56">
        <f>IF('Raw Data - financials'!AC12="","",'Raw Data - financials'!AC12)</f>
        <v>-1252.07</v>
      </c>
      <c r="AD13" s="56">
        <f>IF('Raw Data - financials'!AD12="","",'Raw Data - financials'!AD12)</f>
        <v>-1818.84</v>
      </c>
      <c r="AE13" s="56">
        <f>IF('Raw Data - financials'!AE12="","",'Raw Data - financials'!AE12)</f>
        <v>-460.22</v>
      </c>
      <c r="AF13" s="56">
        <f>IF('Raw Data - financials'!AF12="","",'Raw Data - financials'!AF12)</f>
        <v>-3621.28</v>
      </c>
      <c r="AG13" s="56">
        <f>IF('Raw Data - financials'!AG12="","",'Raw Data - financials'!AG12)</f>
        <v>-1417.43</v>
      </c>
      <c r="AH13" s="56">
        <f>IF('Raw Data - financials'!AH12="","",'Raw Data - financials'!AH12)</f>
        <v>-2004.02</v>
      </c>
      <c r="AI13" s="56">
        <f>IF('Raw Data - financials'!AI12="","",'Raw Data - financials'!AI12)</f>
        <v>-2185.1999999999998</v>
      </c>
      <c r="AJ13" s="56">
        <f>IF('Raw Data - financials'!AJ12="","",'Raw Data - financials'!AJ12)</f>
        <v>-2266.6</v>
      </c>
      <c r="AK13" s="56">
        <v>0</v>
      </c>
      <c r="AL13" s="56">
        <v>0</v>
      </c>
      <c r="AM13" s="56">
        <v>0</v>
      </c>
      <c r="AN13" s="56">
        <v>0</v>
      </c>
    </row>
    <row r="14" spans="1:40" outlineLevel="1" x14ac:dyDescent="0.3">
      <c r="A14" s="20" t="s">
        <v>46</v>
      </c>
      <c r="B14" s="17" t="s">
        <v>214</v>
      </c>
      <c r="D14" s="55">
        <f>IF(Projections!D124="","",Projections!D124)</f>
        <v>726.05</v>
      </c>
      <c r="E14" s="55">
        <f>IF(Projections!E124="","",Projections!E124)</f>
        <v>694.01</v>
      </c>
      <c r="F14" s="55">
        <f>IF(Projections!F124="","",Projections!F124)</f>
        <v>933.21</v>
      </c>
      <c r="G14" s="55">
        <f>IF(Projections!G124="","",Projections!G124)</f>
        <v>908</v>
      </c>
      <c r="H14" s="55">
        <f>IF(Projections!H124="","",Projections!H124)</f>
        <v>1147.0899999999999</v>
      </c>
      <c r="I14" s="55">
        <f>IF(Projections!I124="","",Projections!I124)</f>
        <v>1217.6099999999999</v>
      </c>
      <c r="J14" s="55">
        <f>IF(Projections!J124="","",Projections!J124)</f>
        <v>1279.1600000000001</v>
      </c>
      <c r="K14" s="55">
        <f>IF(Projections!K124="","",Projections!K124)</f>
        <v>1273.31</v>
      </c>
      <c r="L14" s="55">
        <f>IF(Projections!L124="","",Projections!L124)</f>
        <v>1385.76</v>
      </c>
      <c r="M14" s="55">
        <f>IF(Projections!M124="","",Projections!M124)</f>
        <v>1363.2</v>
      </c>
      <c r="N14" s="55">
        <f>IF(Projections!N124="","",Projections!N124)</f>
        <v>1479.3</v>
      </c>
      <c r="O14" s="55">
        <f>IF(Projections!O124="","",Projections!O124)</f>
        <v>1420.75</v>
      </c>
      <c r="P14" s="55">
        <f>IF(Projections!P124="","",Projections!P124)</f>
        <v>1558.6</v>
      </c>
      <c r="Q14" s="55">
        <f>IF(Projections!Q124="","",Projections!Q124)</f>
        <v>1614.9</v>
      </c>
      <c r="R14" s="55">
        <f>IF(Projections!R124="","",Projections!R124)</f>
        <v>1746</v>
      </c>
      <c r="S14" s="55">
        <f>IF(Projections!S124="","",Projections!S124)</f>
        <v>1741.2</v>
      </c>
      <c r="T14" s="55">
        <f>IF(Projections!T124="","",Projections!T124)</f>
        <v>1820.2</v>
      </c>
      <c r="U14" s="55">
        <f>IF(Projections!U124="","",Projections!U124)</f>
        <v>1827.7</v>
      </c>
      <c r="V14" s="55">
        <f>IF(Projections!V124="","",Projections!V124)</f>
        <v>2029</v>
      </c>
      <c r="W14" s="55">
        <f>IF(Projections!W124="","",Projections!W124)</f>
        <v>2038.4</v>
      </c>
      <c r="AB14" s="19"/>
      <c r="AC14" s="56">
        <f>IF(Projections!AC124="","",Projections!AC124)</f>
        <v>1172.96</v>
      </c>
      <c r="AD14" s="56">
        <f>IF(Projections!AD124="","",Projections!AD124)</f>
        <v>1956.13</v>
      </c>
      <c r="AE14" s="56">
        <f>IF(Projections!AE124="","",Projections!AE124)</f>
        <v>2836.47</v>
      </c>
      <c r="AF14" s="56">
        <f>IF(Projections!AF124="","",Projections!AF124)</f>
        <v>3259.39</v>
      </c>
      <c r="AG14" s="56">
        <f>IF(Projections!AG124="","",Projections!AG124)</f>
        <v>4917.17</v>
      </c>
      <c r="AH14" s="56">
        <f>IF(Projections!AH124="","",Projections!AH124)</f>
        <v>5649.01</v>
      </c>
      <c r="AI14" s="56">
        <f>IF(Projections!AI124="","",Projections!AI124)</f>
        <v>6660.7</v>
      </c>
      <c r="AJ14" s="56">
        <f>IF(Projections!AJ124="","",Projections!AJ124)</f>
        <v>7715.3</v>
      </c>
      <c r="AK14" s="56">
        <f>IF(Projections!AK124="","",Projections!AK124)</f>
        <v>15810.15699639388</v>
      </c>
      <c r="AL14" s="56">
        <f>IF(Projections!AL124="","",Projections!AL124)</f>
        <v>20769.835657891406</v>
      </c>
      <c r="AM14" s="56">
        <f>IF(Projections!AM124="","",Projections!AM124)</f>
        <v>27286.021916791291</v>
      </c>
      <c r="AN14" s="56">
        <f>IF(Projections!AN124="","",Projections!AN124)</f>
        <v>35847.412699769382</v>
      </c>
    </row>
    <row r="15" spans="1:40" outlineLevel="1" x14ac:dyDescent="0.3">
      <c r="A15" s="20" t="s">
        <v>47</v>
      </c>
      <c r="B15" s="17" t="s">
        <v>214</v>
      </c>
      <c r="D15" s="55">
        <f>IF(Projections!D126="","",Projections!D126)</f>
        <v>90.14</v>
      </c>
      <c r="E15" s="55">
        <f>IF(Projections!E126="","",Projections!E126)</f>
        <v>113.49</v>
      </c>
      <c r="F15" s="55">
        <f>IF(Projections!F126="","",Projections!F126)</f>
        <v>127.9</v>
      </c>
      <c r="G15" s="55">
        <f>IF(Projections!G126="","",Projections!G126)</f>
        <v>133.58000000000001</v>
      </c>
      <c r="H15" s="55">
        <f>IF(Projections!H126="","",Projections!H126)</f>
        <v>150.63</v>
      </c>
      <c r="I15" s="55">
        <f>IF(Projections!I126="","",Projections!I126)</f>
        <v>203.56</v>
      </c>
      <c r="J15" s="55">
        <f>IF(Projections!J126="","",Projections!J126)</f>
        <v>204.25</v>
      </c>
      <c r="K15" s="55">
        <f>IF(Projections!K126="","",Projections!K126)</f>
        <v>187.61</v>
      </c>
      <c r="L15" s="55">
        <f>IF(Projections!L126="","",Projections!L126)</f>
        <v>185.48</v>
      </c>
      <c r="M15" s="55">
        <f>IF(Projections!M126="","",Projections!M126)</f>
        <v>213.09</v>
      </c>
      <c r="N15" s="55">
        <f>IF(Projections!N126="","",Projections!N126)</f>
        <v>218.41</v>
      </c>
      <c r="O15" s="55">
        <f>IF(Projections!O126="","",Projections!O126)</f>
        <v>211.34</v>
      </c>
      <c r="P15" s="55">
        <f>IF(Projections!P126="","",Projections!P126)</f>
        <v>213.1</v>
      </c>
      <c r="Q15" s="55">
        <f>IF(Projections!Q126="","",Projections!Q126)</f>
        <v>242.3</v>
      </c>
      <c r="R15" s="55">
        <f>IF(Projections!R126="","",Projections!R126)</f>
        <v>319.3</v>
      </c>
      <c r="S15" s="55">
        <f>IF(Projections!S126="","",Projections!S126)</f>
        <v>298.5</v>
      </c>
      <c r="T15" s="55">
        <f>IF(Projections!T126="","",Projections!T126)</f>
        <v>301.60000000000002</v>
      </c>
      <c r="U15" s="55">
        <f>IF(Projections!U126="","",Projections!U126)</f>
        <v>314.7</v>
      </c>
      <c r="V15" s="55">
        <f>IF(Projections!V126="","",Projections!V126)</f>
        <v>291.60000000000002</v>
      </c>
      <c r="W15" s="55">
        <f>IF(Projections!W126="","",Projections!W126)</f>
        <v>263.3</v>
      </c>
      <c r="AB15" s="19"/>
      <c r="AC15" s="56">
        <f>IF(Projections!AC126="","",Projections!AC126)</f>
        <v>263.42</v>
      </c>
      <c r="AD15" s="56">
        <f>IF(Projections!AD126="","",Projections!AD126)</f>
        <v>442.93</v>
      </c>
      <c r="AE15" s="56">
        <f>IF(Projections!AE126="","",Projections!AE126)</f>
        <v>307.01</v>
      </c>
      <c r="AF15" s="56">
        <f>IF(Projections!AF126="","",Projections!AF126)</f>
        <v>465.11</v>
      </c>
      <c r="AG15" s="56">
        <f>IF(Projections!AG126="","",Projections!AG126)</f>
        <v>746.05</v>
      </c>
      <c r="AH15" s="56">
        <f>IF(Projections!AH126="","",Projections!AH126)</f>
        <v>828.32</v>
      </c>
      <c r="AI15" s="56">
        <f>IF(Projections!AI126="","",Projections!AI126)</f>
        <v>1073.2</v>
      </c>
      <c r="AJ15" s="56">
        <f>IF(Projections!AJ126="","",Projections!AJ126)</f>
        <v>1171.2</v>
      </c>
      <c r="AK15" s="56">
        <f>IF(Projections!AK126="","",Projections!AK126)</f>
        <v>1541.4903071484034</v>
      </c>
      <c r="AL15" s="56">
        <f>IF(Projections!AL126="","",Projections!AL126)</f>
        <v>2025.0589766444123</v>
      </c>
      <c r="AM15" s="56">
        <f>IF(Projections!AM126="","",Projections!AM126)</f>
        <v>2660.387136887151</v>
      </c>
      <c r="AN15" s="56">
        <f>IF(Projections!AN126="","",Projections!AN126)</f>
        <v>3495.1227382275151</v>
      </c>
    </row>
    <row r="16" spans="1:40" outlineLevel="1" x14ac:dyDescent="0.3">
      <c r="A16" s="20" t="s">
        <v>48</v>
      </c>
      <c r="B16" s="17" t="s">
        <v>214</v>
      </c>
      <c r="D16" s="55">
        <f>IF(Projections!D127="","",Projections!D127)</f>
        <v>194.97</v>
      </c>
      <c r="E16" s="55">
        <f>IF(Projections!E127="","",Projections!E127)</f>
        <v>213.08</v>
      </c>
      <c r="F16" s="55">
        <f>IF(Projections!F127="","",Projections!F127)</f>
        <v>251.24</v>
      </c>
      <c r="G16" s="55">
        <f>IF(Projections!G127="","",Projections!G127)</f>
        <v>304.83999999999997</v>
      </c>
      <c r="H16" s="55">
        <f>IF(Projections!H127="","",Projections!H127)</f>
        <v>310.12</v>
      </c>
      <c r="I16" s="55">
        <f>IF(Projections!I127="","",Projections!I127)</f>
        <v>385.02</v>
      </c>
      <c r="J16" s="55">
        <f>IF(Projections!J127="","",Projections!J127)</f>
        <v>507</v>
      </c>
      <c r="K16" s="55">
        <f>IF(Projections!K127="","",Projections!K127)</f>
        <v>530.41999999999996</v>
      </c>
      <c r="L16" s="55">
        <f>IF(Projections!L127="","",Projections!L127)</f>
        <v>519.20000000000005</v>
      </c>
      <c r="M16" s="55">
        <f>IF(Projections!M127="","",Projections!M127)</f>
        <v>546.36</v>
      </c>
      <c r="N16" s="55">
        <f>IF(Projections!N127="","",Projections!N127)</f>
        <v>580.28</v>
      </c>
      <c r="O16" s="55">
        <f>IF(Projections!O127="","",Projections!O127)</f>
        <v>596.49</v>
      </c>
      <c r="P16" s="55">
        <f>IF(Projections!P127="","",Projections!P127)</f>
        <v>600.6</v>
      </c>
      <c r="Q16" s="55">
        <f>IF(Projections!Q127="","",Projections!Q127)</f>
        <v>636.20000000000005</v>
      </c>
      <c r="R16" s="55">
        <f>IF(Projections!R127="","",Projections!R127)</f>
        <v>698.2</v>
      </c>
      <c r="S16" s="55">
        <f>IF(Projections!S127="","",Projections!S127)</f>
        <v>729</v>
      </c>
      <c r="T16" s="55">
        <f>IF(Projections!T127="","",Projections!T127)</f>
        <v>761.4</v>
      </c>
      <c r="U16" s="55">
        <f>IF(Projections!U127="","",Projections!U127)</f>
        <v>790.9</v>
      </c>
      <c r="V16" s="55">
        <f>IF(Projections!V127="","",Projections!V127)</f>
        <v>808.8</v>
      </c>
      <c r="W16" s="55">
        <f>IF(Projections!W127="","",Projections!W127)</f>
        <v>842.2</v>
      </c>
      <c r="AB16" s="19"/>
      <c r="AC16" s="56">
        <f>IF(Projections!AC127="","",Projections!AC127)</f>
        <v>308.76</v>
      </c>
      <c r="AD16" s="56">
        <f>IF(Projections!AD127="","",Projections!AD127)</f>
        <v>595.09</v>
      </c>
      <c r="AE16" s="56">
        <f>IF(Projections!AE127="","",Projections!AE127)</f>
        <v>671.28</v>
      </c>
      <c r="AF16" s="56">
        <f>IF(Projections!AF127="","",Projections!AF127)</f>
        <v>964.13</v>
      </c>
      <c r="AG16" s="56">
        <f>IF(Projections!AG127="","",Projections!AG127)</f>
        <v>1732.56</v>
      </c>
      <c r="AH16" s="56">
        <f>IF(Projections!AH127="","",Projections!AH127)</f>
        <v>2242.33</v>
      </c>
      <c r="AI16" s="56">
        <f>IF(Projections!AI127="","",Projections!AI127)</f>
        <v>2664</v>
      </c>
      <c r="AJ16" s="56">
        <f>IF(Projections!AJ127="","",Projections!AJ127)</f>
        <v>3203.3</v>
      </c>
      <c r="AK16" s="56">
        <f>IF(Projections!AK127="","",Projections!AK127)</f>
        <v>4216.041865705035</v>
      </c>
      <c r="AL16" s="56">
        <f>IF(Projections!AL127="","",Projections!AL127)</f>
        <v>5538.6228421043752</v>
      </c>
      <c r="AM16" s="56">
        <f>IF(Projections!AM127="","",Projections!AM127)</f>
        <v>7276.2725111443451</v>
      </c>
      <c r="AN16" s="56">
        <f>IF(Projections!AN127="","",Projections!AN127)</f>
        <v>9559.3100532718363</v>
      </c>
    </row>
    <row r="17" spans="1:40" outlineLevel="1" x14ac:dyDescent="0.3">
      <c r="A17" s="20" t="s">
        <v>49</v>
      </c>
      <c r="B17" s="17" t="s">
        <v>214</v>
      </c>
      <c r="D17" s="55">
        <f>IF(Projections!D128="","",Projections!D128)</f>
        <v>2321.16</v>
      </c>
      <c r="E17" s="55">
        <f>IF(Projections!E128="","",Projections!E128)</f>
        <v>2800.17</v>
      </c>
      <c r="F17" s="55">
        <f>IF(Projections!F128="","",Projections!F128)</f>
        <v>3464.6</v>
      </c>
      <c r="G17" s="55">
        <f>IF(Projections!G128="","",Projections!G128)</f>
        <v>2959.42</v>
      </c>
      <c r="H17" s="55">
        <f>IF(Projections!H128="","",Projections!H128)</f>
        <v>3491.18</v>
      </c>
      <c r="I17" s="55">
        <f>IF(Projections!I128="","",Projections!I128)</f>
        <v>3748.4</v>
      </c>
      <c r="J17" s="55">
        <f>IF(Projections!J128="","",Projections!J128)</f>
        <v>4285.9399999999996</v>
      </c>
      <c r="K17" s="55">
        <f>IF(Projections!K128="","",Projections!K128)</f>
        <v>3778.07</v>
      </c>
      <c r="L17" s="55">
        <f>IF(Projections!L128="","",Projections!L128)</f>
        <v>4065.83</v>
      </c>
      <c r="M17" s="55">
        <f>IF(Projections!M128="","",Projections!M128)</f>
        <v>4326.75</v>
      </c>
      <c r="N17" s="55">
        <f>IF(Projections!N128="","",Projections!N128)</f>
        <v>5140.4399999999996</v>
      </c>
      <c r="O17" s="55">
        <f>IF(Projections!O128="","",Projections!O128)</f>
        <v>4748.8599999999997</v>
      </c>
      <c r="P17" s="55">
        <f>IF(Projections!P128="","",Projections!P128)</f>
        <v>5040</v>
      </c>
      <c r="Q17" s="55">
        <f>IF(Projections!Q128="","",Projections!Q128)</f>
        <v>5558.7</v>
      </c>
      <c r="R17" s="55">
        <f>IF(Projections!R128="","",Projections!R128)</f>
        <v>6757.6</v>
      </c>
      <c r="S17" s="55">
        <f>IF(Projections!S128="","",Projections!S128)</f>
        <v>6015.5</v>
      </c>
      <c r="T17" s="55">
        <f>IF(Projections!T128="","",Projections!T128)</f>
        <v>6388.1</v>
      </c>
      <c r="U17" s="55">
        <f>IF(Projections!U128="","",Projections!U128)</f>
        <v>7118.2</v>
      </c>
      <c r="V17" s="55">
        <f>IF(Projections!V128="","",Projections!V128)</f>
        <v>8648.2000000000007</v>
      </c>
      <c r="W17" s="55">
        <f>IF(Projections!W128="","",Projections!W128)</f>
        <v>7765.3</v>
      </c>
      <c r="AB17" s="19"/>
      <c r="AC17" s="56">
        <f>IF(Projections!AC128="","",Projections!AC128)</f>
        <v>3133.11</v>
      </c>
      <c r="AD17" s="56">
        <f>IF(Projections!AD128="","",Projections!AD128)</f>
        <v>4766.6000000000004</v>
      </c>
      <c r="AE17" s="56">
        <f>IF(Projections!AE128="","",Projections!AE128)</f>
        <v>5079.9799999999996</v>
      </c>
      <c r="AF17" s="56">
        <f>IF(Projections!AF128="","",Projections!AF128)</f>
        <v>11547.23</v>
      </c>
      <c r="AG17" s="56">
        <f>IF(Projections!AG128="","",Projections!AG128)</f>
        <v>15303.59</v>
      </c>
      <c r="AH17" s="56">
        <f>IF(Projections!AH128="","",Projections!AH128)</f>
        <v>18281.89</v>
      </c>
      <c r="AI17" s="56">
        <f>IF(Projections!AI128="","",Projections!AI128)</f>
        <v>23371.8</v>
      </c>
      <c r="AJ17" s="56">
        <f>IF(Projections!AJ128="","",Projections!AJ128)</f>
        <v>29919.8</v>
      </c>
      <c r="AK17" s="56">
        <f>IF(Projections!AK128="","",Projections!AK128)</f>
        <v>22474.994563857519</v>
      </c>
      <c r="AL17" s="56">
        <f>IF(Projections!AL128="","",Projections!AL128)</f>
        <v>29558.62183318859</v>
      </c>
      <c r="AM17" s="56">
        <f>IF(Projections!AM128="","",Projections!AM128)</f>
        <v>38876.311550315826</v>
      </c>
      <c r="AN17" s="56">
        <f>IF(Projections!AN128="","",Projections!AN128)</f>
        <v>51133.133776220886</v>
      </c>
    </row>
    <row r="18" spans="1:40" x14ac:dyDescent="0.3">
      <c r="A18" s="72" t="s">
        <v>50</v>
      </c>
      <c r="B18" s="17" t="s">
        <v>214</v>
      </c>
      <c r="D18" s="73">
        <f t="shared" ref="D18:W18" si="3">IFERROR(D11+D12+D13+D14+D15+D16+D17,"")</f>
        <v>8185.64</v>
      </c>
      <c r="E18" s="73">
        <f t="shared" si="3"/>
        <v>8890.9699999999993</v>
      </c>
      <c r="F18" s="73">
        <f t="shared" si="3"/>
        <v>10672.97</v>
      </c>
      <c r="G18" s="73">
        <f t="shared" si="3"/>
        <v>9786.43</v>
      </c>
      <c r="H18" s="73">
        <f t="shared" si="3"/>
        <v>11484.44</v>
      </c>
      <c r="I18" s="73">
        <f t="shared" si="3"/>
        <v>12285.5</v>
      </c>
      <c r="J18" s="73">
        <f t="shared" si="3"/>
        <v>14557.91</v>
      </c>
      <c r="K18" s="73">
        <f t="shared" si="3"/>
        <v>13028.33</v>
      </c>
      <c r="L18" s="73">
        <f t="shared" si="3"/>
        <v>14188.26</v>
      </c>
      <c r="M18" s="73">
        <f t="shared" si="3"/>
        <v>15023.400000000001</v>
      </c>
      <c r="N18" s="73">
        <f t="shared" si="3"/>
        <v>17698.93</v>
      </c>
      <c r="O18" s="73">
        <f t="shared" si="3"/>
        <v>16554.810000000001</v>
      </c>
      <c r="P18" s="73">
        <f t="shared" si="3"/>
        <v>17313.599999999999</v>
      </c>
      <c r="Q18" s="73">
        <f t="shared" si="3"/>
        <v>18589.3</v>
      </c>
      <c r="R18" s="73">
        <f t="shared" si="3"/>
        <v>22281.8</v>
      </c>
      <c r="S18" s="73">
        <f t="shared" si="3"/>
        <v>20311.599999999999</v>
      </c>
      <c r="T18" s="73">
        <f t="shared" si="3"/>
        <v>21205.599999999999</v>
      </c>
      <c r="U18" s="73">
        <f t="shared" si="3"/>
        <v>22975.9</v>
      </c>
      <c r="V18" s="73">
        <f t="shared" si="3"/>
        <v>27535.4</v>
      </c>
      <c r="W18" s="73">
        <f t="shared" si="3"/>
        <v>25358</v>
      </c>
      <c r="AB18" s="19"/>
      <c r="AC18" s="60">
        <f t="shared" ref="AC18:AN18" si="4">IFERROR(AC11+AC12+AC13+AC14+AC15+AC16+AC17,"")</f>
        <v>11481.02</v>
      </c>
      <c r="AD18" s="60">
        <f t="shared" si="4"/>
        <v>17902.800000000003</v>
      </c>
      <c r="AE18" s="60">
        <f t="shared" si="4"/>
        <v>23772.989999999998</v>
      </c>
      <c r="AF18" s="60">
        <f t="shared" si="4"/>
        <v>37536.01</v>
      </c>
      <c r="AG18" s="60">
        <f t="shared" si="4"/>
        <v>51356.179999999993</v>
      </c>
      <c r="AH18" s="60">
        <f t="shared" si="4"/>
        <v>63465.41</v>
      </c>
      <c r="AI18" s="60">
        <f t="shared" si="4"/>
        <v>78496.3</v>
      </c>
      <c r="AJ18" s="60">
        <f t="shared" si="4"/>
        <v>97074.900000000009</v>
      </c>
      <c r="AK18" s="60">
        <f t="shared" si="4"/>
        <v>127046.00796417271</v>
      </c>
      <c r="AL18" s="60">
        <f t="shared" si="4"/>
        <v>166933.7765137587</v>
      </c>
      <c r="AM18" s="60">
        <f t="shared" si="4"/>
        <v>219350.6081782929</v>
      </c>
      <c r="AN18" s="60">
        <f t="shared" si="4"/>
        <v>288233.89594127884</v>
      </c>
    </row>
    <row r="19" spans="1:40" x14ac:dyDescent="0.3">
      <c r="AB19" s="19"/>
    </row>
    <row r="20" spans="1:40" x14ac:dyDescent="0.3">
      <c r="A20" s="72" t="s">
        <v>51</v>
      </c>
      <c r="B20" s="17" t="s">
        <v>214</v>
      </c>
      <c r="D20" s="73">
        <f t="shared" ref="D20:W20" si="5">IFERROR(D8-D18,"")</f>
        <v>31.489999999998872</v>
      </c>
      <c r="E20" s="73">
        <f t="shared" si="5"/>
        <v>13.649999999999636</v>
      </c>
      <c r="F20" s="73">
        <f t="shared" si="5"/>
        <v>369.76000000000022</v>
      </c>
      <c r="G20" s="73">
        <f t="shared" si="5"/>
        <v>58.159999999999854</v>
      </c>
      <c r="H20" s="73">
        <f t="shared" si="5"/>
        <v>83.399999999997817</v>
      </c>
      <c r="I20" s="73">
        <f t="shared" si="5"/>
        <v>87.550000000001091</v>
      </c>
      <c r="J20" s="73">
        <f t="shared" si="5"/>
        <v>126.71000000000095</v>
      </c>
      <c r="K20" s="73">
        <f t="shared" si="5"/>
        <v>86.289999999999054</v>
      </c>
      <c r="L20" s="73">
        <f t="shared" si="5"/>
        <v>97.18999999999869</v>
      </c>
      <c r="M20" s="73">
        <f t="shared" si="5"/>
        <v>132.56999999999789</v>
      </c>
      <c r="N20" s="73">
        <f t="shared" si="5"/>
        <v>264.88999999999942</v>
      </c>
      <c r="O20" s="73">
        <f t="shared" si="5"/>
        <v>195.61999999999898</v>
      </c>
      <c r="P20" s="73">
        <f t="shared" si="5"/>
        <v>220.79999999999927</v>
      </c>
      <c r="Q20" s="73">
        <f t="shared" si="5"/>
        <v>212.60000000000218</v>
      </c>
      <c r="R20" s="73">
        <f t="shared" si="5"/>
        <v>445.59999999999854</v>
      </c>
      <c r="S20" s="73">
        <f t="shared" si="5"/>
        <v>395.5</v>
      </c>
      <c r="T20" s="73">
        <f t="shared" si="5"/>
        <v>437.10000000000218</v>
      </c>
      <c r="U20" s="73">
        <f t="shared" si="5"/>
        <v>564.19999999999709</v>
      </c>
      <c r="V20" s="73">
        <f t="shared" si="5"/>
        <v>1259.7999999999956</v>
      </c>
      <c r="W20" s="73">
        <f t="shared" si="5"/>
        <v>1215.2000000000007</v>
      </c>
      <c r="AB20" s="19"/>
      <c r="AC20" s="60">
        <f t="shared" ref="AC20:AN20" si="6">IFERROR(AC8-AC18,"")</f>
        <v>-317.20000000000073</v>
      </c>
      <c r="AD20" s="60">
        <f t="shared" si="6"/>
        <v>-124.30000000000291</v>
      </c>
      <c r="AE20" s="60">
        <f t="shared" si="6"/>
        <v>753.38000000000102</v>
      </c>
      <c r="AF20" s="60">
        <f t="shared" si="6"/>
        <v>473.05999999999767</v>
      </c>
      <c r="AG20" s="60">
        <f t="shared" si="6"/>
        <v>383.95000000000437</v>
      </c>
      <c r="AH20" s="60">
        <f t="shared" si="6"/>
        <v>690.2699999999968</v>
      </c>
      <c r="AI20" s="60">
        <f t="shared" si="6"/>
        <v>1274.5</v>
      </c>
      <c r="AJ20" s="60">
        <f t="shared" si="6"/>
        <v>3476.2999999999884</v>
      </c>
      <c r="AK20" s="60">
        <f t="shared" si="6"/>
        <v>5140.0796565104538</v>
      </c>
      <c r="AL20" s="60">
        <f t="shared" si="6"/>
        <v>6719.3577825950342</v>
      </c>
      <c r="AM20" s="60">
        <f t="shared" si="6"/>
        <v>8783.2733976796444</v>
      </c>
      <c r="AN20" s="60">
        <f t="shared" si="6"/>
        <v>11480.347072709701</v>
      </c>
    </row>
    <row r="21" spans="1:40" outlineLevel="1" x14ac:dyDescent="0.3">
      <c r="A21" s="20" t="s">
        <v>52</v>
      </c>
      <c r="B21" s="17" t="s">
        <v>214</v>
      </c>
      <c r="D21" s="55">
        <f>IF('Raw Data - financials'!D20="","",'Raw Data - financials'!D20)</f>
        <v>0</v>
      </c>
      <c r="E21" s="55">
        <f>IF('Raw Data - financials'!E20="","",'Raw Data - financials'!E20)</f>
        <v>0</v>
      </c>
      <c r="F21" s="55">
        <f>IF('Raw Data - financials'!F20="","",'Raw Data - financials'!F20)</f>
        <v>0</v>
      </c>
      <c r="G21" s="55">
        <f>IF('Raw Data - financials'!G20="","",'Raw Data - financials'!G20)</f>
        <v>0</v>
      </c>
      <c r="H21" s="55">
        <f>IF('Raw Data - financials'!H20="","",'Raw Data - financials'!H20)</f>
        <v>0</v>
      </c>
      <c r="I21" s="55">
        <f>IF('Raw Data - financials'!I20="","",'Raw Data - financials'!I20)</f>
        <v>0</v>
      </c>
      <c r="J21" s="55">
        <f>IF('Raw Data - financials'!J20="","",'Raw Data - financials'!J20)</f>
        <v>0</v>
      </c>
      <c r="K21" s="55">
        <f>IF('Raw Data - financials'!K20="","",'Raw Data - financials'!K20)</f>
        <v>0</v>
      </c>
      <c r="L21" s="55">
        <f>IF('Raw Data - financials'!L20="","",'Raw Data - financials'!L20)</f>
        <v>0</v>
      </c>
      <c r="M21" s="55">
        <f>IF('Raw Data - financials'!M20="","",'Raw Data - financials'!M20)</f>
        <v>0</v>
      </c>
      <c r="N21" s="55">
        <f>IF('Raw Data - financials'!N20="","",'Raw Data - financials'!N20)</f>
        <v>0</v>
      </c>
      <c r="O21" s="55">
        <f>IF('Raw Data - financials'!O20="","",'Raw Data - financials'!O20)</f>
        <v>0</v>
      </c>
      <c r="P21" s="55">
        <f>IF('Raw Data - financials'!P20="","",'Raw Data - financials'!P20)</f>
        <v>0</v>
      </c>
      <c r="Q21" s="55">
        <f>IF('Raw Data - financials'!Q20="","",'Raw Data - financials'!Q20)</f>
        <v>0</v>
      </c>
      <c r="R21" s="55">
        <f>IF('Raw Data - financials'!R20="","",'Raw Data - financials'!R20)</f>
        <v>0</v>
      </c>
      <c r="S21" s="55">
        <f>IF('Raw Data - financials'!S20="","",'Raw Data - financials'!S20)</f>
        <v>0</v>
      </c>
      <c r="T21" s="55">
        <f>IF('Raw Data - financials'!T20="","",'Raw Data - financials'!T20)</f>
        <v>0</v>
      </c>
      <c r="U21" s="55">
        <f>IF('Raw Data - financials'!U20="","",'Raw Data - financials'!U20)</f>
        <v>10.4</v>
      </c>
      <c r="V21" s="55">
        <f>IF('Raw Data - financials'!V20="","",'Raw Data - financials'!V20)</f>
        <v>163.6</v>
      </c>
      <c r="W21" s="55">
        <f>IF('Raw Data - financials'!W20="","",'Raw Data - financials'!W20)</f>
        <v>0</v>
      </c>
      <c r="AB21" s="19"/>
      <c r="AC21" s="56">
        <f>IF('Raw Data - financials'!AC20="","",'Raw Data - financials'!AC20)</f>
        <v>0</v>
      </c>
      <c r="AD21" s="56">
        <f>IF('Raw Data - financials'!AD20="","",'Raw Data - financials'!AD20)</f>
        <v>0</v>
      </c>
      <c r="AE21" s="56">
        <f>IF('Raw Data - financials'!AE20="","",'Raw Data - financials'!AE20)</f>
        <v>0</v>
      </c>
      <c r="AF21" s="56">
        <f>IF('Raw Data - financials'!AF20="","",'Raw Data - financials'!AF20)</f>
        <v>0</v>
      </c>
      <c r="AG21" s="56">
        <f>IF('Raw Data - financials'!AG20="","",'Raw Data - financials'!AG20)</f>
        <v>0</v>
      </c>
      <c r="AH21" s="56">
        <f>IF('Raw Data - financials'!AH20="","",'Raw Data - financials'!AH20)</f>
        <v>0</v>
      </c>
      <c r="AI21" s="56">
        <f>IF('Raw Data - financials'!AI20="","",'Raw Data - financials'!AI20)</f>
        <v>0</v>
      </c>
      <c r="AJ21" s="56">
        <f>IF('Raw Data - financials'!AJ20="","",'Raw Data - financials'!AJ20)</f>
        <v>174</v>
      </c>
      <c r="AK21" s="56">
        <v>0</v>
      </c>
      <c r="AL21" s="56">
        <v>0</v>
      </c>
      <c r="AM21" s="56">
        <v>0</v>
      </c>
      <c r="AN21" s="56">
        <v>0</v>
      </c>
    </row>
    <row r="22" spans="1:40" x14ac:dyDescent="0.3">
      <c r="A22" s="72" t="s">
        <v>53</v>
      </c>
      <c r="B22" s="17" t="s">
        <v>214</v>
      </c>
      <c r="D22" s="73">
        <f t="shared" ref="D22:W22" si="7">IFERROR(D20-D21,"")</f>
        <v>31.489999999998872</v>
      </c>
      <c r="E22" s="73">
        <f t="shared" si="7"/>
        <v>13.649999999999636</v>
      </c>
      <c r="F22" s="73">
        <f t="shared" si="7"/>
        <v>369.76000000000022</v>
      </c>
      <c r="G22" s="73">
        <f t="shared" si="7"/>
        <v>58.159999999999854</v>
      </c>
      <c r="H22" s="73">
        <f t="shared" si="7"/>
        <v>83.399999999997817</v>
      </c>
      <c r="I22" s="73">
        <f t="shared" si="7"/>
        <v>87.550000000001091</v>
      </c>
      <c r="J22" s="73">
        <f t="shared" si="7"/>
        <v>126.71000000000095</v>
      </c>
      <c r="K22" s="73">
        <f t="shared" si="7"/>
        <v>86.289999999999054</v>
      </c>
      <c r="L22" s="73">
        <f t="shared" si="7"/>
        <v>97.18999999999869</v>
      </c>
      <c r="M22" s="73">
        <f t="shared" si="7"/>
        <v>132.56999999999789</v>
      </c>
      <c r="N22" s="73">
        <f t="shared" si="7"/>
        <v>264.88999999999942</v>
      </c>
      <c r="O22" s="73">
        <f t="shared" si="7"/>
        <v>195.61999999999898</v>
      </c>
      <c r="P22" s="73">
        <f t="shared" si="7"/>
        <v>220.79999999999927</v>
      </c>
      <c r="Q22" s="73">
        <f t="shared" si="7"/>
        <v>212.60000000000218</v>
      </c>
      <c r="R22" s="73">
        <f t="shared" si="7"/>
        <v>445.59999999999854</v>
      </c>
      <c r="S22" s="73">
        <f t="shared" si="7"/>
        <v>395.5</v>
      </c>
      <c r="T22" s="73">
        <f t="shared" si="7"/>
        <v>437.10000000000218</v>
      </c>
      <c r="U22" s="73">
        <f t="shared" si="7"/>
        <v>553.79999999999711</v>
      </c>
      <c r="V22" s="73">
        <f t="shared" si="7"/>
        <v>1096.1999999999957</v>
      </c>
      <c r="W22" s="73">
        <f t="shared" si="7"/>
        <v>1215.2000000000007</v>
      </c>
      <c r="AB22" s="19"/>
      <c r="AC22" s="60">
        <f t="shared" ref="AC22:AN22" si="8">IFERROR(AC20-AC21,"")</f>
        <v>-317.20000000000073</v>
      </c>
      <c r="AD22" s="60">
        <f t="shared" si="8"/>
        <v>-124.30000000000291</v>
      </c>
      <c r="AE22" s="60">
        <f t="shared" si="8"/>
        <v>753.38000000000102</v>
      </c>
      <c r="AF22" s="60">
        <f t="shared" si="8"/>
        <v>473.05999999999767</v>
      </c>
      <c r="AG22" s="60">
        <f t="shared" si="8"/>
        <v>383.95000000000437</v>
      </c>
      <c r="AH22" s="60">
        <f t="shared" si="8"/>
        <v>690.2699999999968</v>
      </c>
      <c r="AI22" s="60">
        <f t="shared" si="8"/>
        <v>1274.5</v>
      </c>
      <c r="AJ22" s="60">
        <f t="shared" si="8"/>
        <v>3302.2999999999884</v>
      </c>
      <c r="AK22" s="60">
        <f t="shared" si="8"/>
        <v>5140.0796565104538</v>
      </c>
      <c r="AL22" s="60">
        <f t="shared" si="8"/>
        <v>6719.3577825950342</v>
      </c>
      <c r="AM22" s="60">
        <f t="shared" si="8"/>
        <v>8783.2733976796444</v>
      </c>
      <c r="AN22" s="60">
        <f t="shared" si="8"/>
        <v>11480.347072709701</v>
      </c>
    </row>
    <row r="23" spans="1:40" x14ac:dyDescent="0.3">
      <c r="AB23" s="19"/>
    </row>
    <row r="24" spans="1:40" x14ac:dyDescent="0.3">
      <c r="A24" s="9" t="s">
        <v>54</v>
      </c>
      <c r="B24" s="9"/>
      <c r="C24" s="9"/>
      <c r="D24" s="9"/>
      <c r="E24" s="9"/>
      <c r="F24" s="9"/>
      <c r="G24" s="9"/>
      <c r="H24" s="9"/>
      <c r="I24" s="9"/>
      <c r="J24" s="9"/>
      <c r="K24" s="9"/>
      <c r="L24" s="9"/>
      <c r="M24" s="9"/>
      <c r="N24" s="9"/>
      <c r="O24" s="9"/>
      <c r="P24" s="9"/>
      <c r="Q24" s="9"/>
      <c r="R24" s="9"/>
      <c r="S24" s="9"/>
      <c r="T24" s="9"/>
      <c r="U24" s="9"/>
      <c r="V24" s="9"/>
      <c r="W24" s="9"/>
      <c r="X24" s="9"/>
      <c r="Y24" s="9"/>
      <c r="Z24" s="9"/>
      <c r="AA24" s="9"/>
      <c r="AB24" s="46"/>
      <c r="AC24" s="9"/>
      <c r="AD24" s="9"/>
      <c r="AE24" s="9"/>
      <c r="AF24" s="9"/>
      <c r="AG24" s="9"/>
      <c r="AH24" s="9"/>
      <c r="AI24" s="9"/>
      <c r="AJ24" s="9"/>
      <c r="AK24" s="9"/>
      <c r="AL24" s="9"/>
      <c r="AM24" s="9"/>
      <c r="AN24" s="9"/>
    </row>
    <row r="25" spans="1:40" outlineLevel="1" x14ac:dyDescent="0.3">
      <c r="A25" s="20" t="s">
        <v>55</v>
      </c>
      <c r="B25" s="17" t="s">
        <v>214</v>
      </c>
      <c r="D25" s="55">
        <f>IF('Raw Data - financials'!D24="","",'Raw Data - financials'!D24)</f>
        <v>133.63999999999999</v>
      </c>
      <c r="E25" s="55">
        <f>IF('Raw Data - financials'!E24="","",'Raw Data - financials'!E24)</f>
        <v>3.66</v>
      </c>
      <c r="F25" s="55">
        <f>IF('Raw Data - financials'!F24="","",'Raw Data - financials'!F24)</f>
        <v>144.35</v>
      </c>
      <c r="G25" s="55">
        <f>IF('Raw Data - financials'!G24="","",'Raw Data - financials'!G24)</f>
        <v>141.28</v>
      </c>
      <c r="H25" s="55">
        <f>IF('Raw Data - financials'!H24="","",'Raw Data - financials'!H24)</f>
        <v>113.25</v>
      </c>
      <c r="I25" s="55">
        <f>IF('Raw Data - financials'!I24="","",'Raw Data - financials'!I24)</f>
        <v>215.91</v>
      </c>
      <c r="J25" s="55">
        <f>IF('Raw Data - financials'!J24="","",'Raw Data - financials'!J24)</f>
        <v>270.99</v>
      </c>
      <c r="K25" s="55">
        <f>IF('Raw Data - financials'!K24="","",'Raw Data - financials'!K24)</f>
        <v>260.95999999999998</v>
      </c>
      <c r="L25" s="55">
        <f>IF('Raw Data - financials'!L24="","",'Raw Data - financials'!L24)</f>
        <v>236.23</v>
      </c>
      <c r="M25" s="55">
        <f>IF('Raw Data - financials'!M24="","",'Raw Data - financials'!M24)</f>
        <v>215.86</v>
      </c>
      <c r="N25" s="55">
        <f>IF('Raw Data - financials'!N24="","",'Raw Data - financials'!N24)</f>
        <v>308.98</v>
      </c>
      <c r="O25" s="55">
        <f>IF('Raw Data - financials'!O24="","",'Raw Data - financials'!O24)</f>
        <v>306.27999999999997</v>
      </c>
      <c r="P25" s="55">
        <f>IF('Raw Data - financials'!P24="","",'Raw Data - financials'!P24)</f>
        <v>420.3</v>
      </c>
      <c r="Q25" s="55">
        <f>IF('Raw Data - financials'!Q24="","",'Raw Data - financials'!Q24)</f>
        <v>211.2</v>
      </c>
      <c r="R25" s="55">
        <f>IF('Raw Data - financials'!R24="","",'Raw Data - financials'!R24)</f>
        <v>319.89999999999998</v>
      </c>
      <c r="S25" s="55">
        <f>IF('Raw Data - financials'!S24="","",'Raw Data - financials'!S24)</f>
        <v>-536.4</v>
      </c>
      <c r="T25" s="55">
        <f>IF('Raw Data - financials'!T24="","",'Raw Data - financials'!T24)</f>
        <v>177.3</v>
      </c>
      <c r="U25" s="55">
        <f>IF('Raw Data - financials'!U24="","",'Raw Data - financials'!U24)</f>
        <v>209.2</v>
      </c>
      <c r="V25" s="55">
        <f>IF('Raw Data - financials'!V24="","",'Raw Data - financials'!V24)</f>
        <v>279.2</v>
      </c>
      <c r="W25" s="55">
        <f>IF('Raw Data - financials'!W24="","",'Raw Data - financials'!W24)</f>
        <v>709.2</v>
      </c>
      <c r="AB25" s="19"/>
      <c r="AC25" s="56">
        <f>IF('Raw Data - financials'!AC24="","",'Raw Data - financials'!AC24)</f>
        <v>0</v>
      </c>
      <c r="AD25" s="56">
        <f>IF('Raw Data - financials'!AD24="","",'Raw Data - financials'!AD24)</f>
        <v>45.37</v>
      </c>
      <c r="AE25" s="56">
        <f>IF('Raw Data - financials'!AE24="","",'Raw Data - financials'!AE24)</f>
        <v>400.78</v>
      </c>
      <c r="AF25" s="56">
        <f>IF('Raw Data - financials'!AF24="","",'Raw Data - financials'!AF24)</f>
        <v>422.93</v>
      </c>
      <c r="AG25" s="56">
        <f>IF('Raw Data - financials'!AG24="","",'Raw Data - financials'!AG24)</f>
        <v>861.11</v>
      </c>
      <c r="AH25" s="56">
        <f>IF('Raw Data - financials'!AH24="","",'Raw Data - financials'!AH24)</f>
        <v>1067.3499999999999</v>
      </c>
      <c r="AI25" s="56">
        <f>IF('Raw Data - financials'!AI24="","",'Raw Data - financials'!AI24)</f>
        <v>415</v>
      </c>
      <c r="AJ25" s="56">
        <f>IF('Raw Data - financials'!AJ24="","",'Raw Data - financials'!AJ24)</f>
        <v>1374.9</v>
      </c>
      <c r="AK25" s="56">
        <f>IF(Projections!AK131="","",Projections!AK131)</f>
        <v>1965.5664606495932</v>
      </c>
      <c r="AL25" s="56">
        <f>IF(Projections!AL131="","",Projections!AL131)</f>
        <v>2569.4824160643498</v>
      </c>
      <c r="AM25" s="56">
        <f>IF(Projections!AM131="","",Projections!AM131)</f>
        <v>3358.7237472726983</v>
      </c>
      <c r="AN25" s="56">
        <f>IF(Projections!AN131="","",Projections!AN131)</f>
        <v>4390.0847206041735</v>
      </c>
    </row>
    <row r="26" spans="1:40" outlineLevel="1" x14ac:dyDescent="0.3">
      <c r="A26" s="20" t="s">
        <v>56</v>
      </c>
      <c r="B26" s="17" t="s">
        <v>214</v>
      </c>
      <c r="D26" s="55">
        <f>IF('Raw Data - financials'!D25="","",'Raw Data - financials'!D25)</f>
        <v>0</v>
      </c>
      <c r="E26" s="55">
        <f>IF('Raw Data - financials'!E25="","",'Raw Data - financials'!E25)</f>
        <v>0</v>
      </c>
      <c r="F26" s="55">
        <f>IF('Raw Data - financials'!F25="","",'Raw Data - financials'!F25)</f>
        <v>0</v>
      </c>
      <c r="G26" s="55">
        <f>IF('Raw Data - financials'!G25="","",'Raw Data - financials'!G25)</f>
        <v>23.46</v>
      </c>
      <c r="H26" s="55">
        <f>IF('Raw Data - financials'!H25="","",'Raw Data - financials'!H25)</f>
        <v>0</v>
      </c>
      <c r="I26" s="55">
        <f>IF('Raw Data - financials'!I25="","",'Raw Data - financials'!I25)</f>
        <v>0</v>
      </c>
      <c r="J26" s="55">
        <f>IF('Raw Data - financials'!J25="","",'Raw Data - financials'!J25)</f>
        <v>0</v>
      </c>
      <c r="K26" s="55">
        <f>IF('Raw Data - financials'!K25="","",'Raw Data - financials'!K25)</f>
        <v>0</v>
      </c>
      <c r="L26" s="55">
        <f>IF('Raw Data - financials'!L25="","",'Raw Data - financials'!L25)</f>
        <v>0</v>
      </c>
      <c r="M26" s="55">
        <f>IF('Raw Data - financials'!M25="","",'Raw Data - financials'!M25)</f>
        <v>0</v>
      </c>
      <c r="N26" s="55">
        <f>IF('Raw Data - financials'!N25="","",'Raw Data - financials'!N25)</f>
        <v>0</v>
      </c>
      <c r="O26" s="55">
        <f>IF('Raw Data - financials'!O25="","",'Raw Data - financials'!O25)</f>
        <v>0</v>
      </c>
      <c r="P26" s="55">
        <f>IF('Raw Data - financials'!P25="","",'Raw Data - financials'!P25)</f>
        <v>0</v>
      </c>
      <c r="Q26" s="55">
        <f>IF('Raw Data - financials'!Q25="","",'Raw Data - financials'!Q25)</f>
        <v>0</v>
      </c>
      <c r="R26" s="55">
        <f>IF('Raw Data - financials'!R25="","",'Raw Data - financials'!R25)</f>
        <v>0</v>
      </c>
      <c r="S26" s="55">
        <f>IF('Raw Data - financials'!S25="","",'Raw Data - financials'!S25)</f>
        <v>0</v>
      </c>
      <c r="T26" s="55">
        <f>IF('Raw Data - financials'!T25="","",'Raw Data - financials'!T25)</f>
        <v>0</v>
      </c>
      <c r="U26" s="55">
        <f>IF('Raw Data - financials'!U25="","",'Raw Data - financials'!U25)</f>
        <v>0</v>
      </c>
      <c r="V26" s="55">
        <f>IF('Raw Data - financials'!V25="","",'Raw Data - financials'!V25)</f>
        <v>0</v>
      </c>
      <c r="W26" s="55">
        <f>IF('Raw Data - financials'!W25="","",'Raw Data - financials'!W25)</f>
        <v>0</v>
      </c>
      <c r="AB26" s="19"/>
      <c r="AC26" s="56">
        <f>IF('Raw Data - financials'!AC25="","",'Raw Data - financials'!AC25)</f>
        <v>0</v>
      </c>
      <c r="AD26" s="56">
        <f>IF('Raw Data - financials'!AD25="","",'Raw Data - financials'!AD25)</f>
        <v>0</v>
      </c>
      <c r="AE26" s="56">
        <f>IF('Raw Data - financials'!AE25="","",'Raw Data - financials'!AE25)</f>
        <v>0</v>
      </c>
      <c r="AF26" s="56">
        <f>IF('Raw Data - financials'!AF25="","",'Raw Data - financials'!AF25)</f>
        <v>23.46</v>
      </c>
      <c r="AG26" s="56">
        <f>IF('Raw Data - financials'!AG25="","",'Raw Data - financials'!AG25)</f>
        <v>0</v>
      </c>
      <c r="AH26" s="56">
        <f>IF('Raw Data - financials'!AH25="","",'Raw Data - financials'!AH25)</f>
        <v>0</v>
      </c>
      <c r="AI26" s="56">
        <f>IF('Raw Data - financials'!AI25="","",'Raw Data - financials'!AI25)</f>
        <v>0</v>
      </c>
      <c r="AJ26" s="56">
        <f>IF('Raw Data - financials'!AJ25="","",'Raw Data - financials'!AJ25)</f>
        <v>0</v>
      </c>
      <c r="AK26" s="56">
        <v>0</v>
      </c>
      <c r="AL26" s="56">
        <v>0</v>
      </c>
      <c r="AM26" s="56">
        <v>0</v>
      </c>
      <c r="AN26" s="56">
        <v>0</v>
      </c>
    </row>
    <row r="27" spans="1:40" outlineLevel="1" x14ac:dyDescent="0.3">
      <c r="A27" s="20" t="s">
        <v>57</v>
      </c>
      <c r="B27" s="17" t="s">
        <v>214</v>
      </c>
      <c r="D27" s="55">
        <f>IF('Raw Data - financials'!D26="","",'Raw Data - financials'!D26)</f>
        <v>-137.37</v>
      </c>
      <c r="E27" s="55">
        <f>IF('Raw Data - financials'!E26="","",'Raw Data - financials'!E26)</f>
        <v>-1.73</v>
      </c>
      <c r="F27" s="55">
        <f>IF('Raw Data - financials'!F26="","",'Raw Data - financials'!F26)</f>
        <v>-64.739999999999995</v>
      </c>
      <c r="G27" s="55">
        <f>IF('Raw Data - financials'!G26="","",'Raw Data - financials'!G26)</f>
        <v>-124.27</v>
      </c>
      <c r="H27" s="55">
        <f>IF('Raw Data - financials'!H26="","",'Raw Data - financials'!H26)</f>
        <v>-86.72</v>
      </c>
      <c r="I27" s="55">
        <f>IF('Raw Data - financials'!I26="","",'Raw Data - financials'!I26)</f>
        <v>-184.91</v>
      </c>
      <c r="J27" s="55">
        <f>IF('Raw Data - financials'!J26="","",'Raw Data - financials'!J26)</f>
        <v>-236.32</v>
      </c>
      <c r="K27" s="55">
        <f>IF('Raw Data - financials'!K26="","",'Raw Data - financials'!K26)</f>
        <v>-217.42</v>
      </c>
      <c r="L27" s="55">
        <f>IF('Raw Data - financials'!L26="","",'Raw Data - financials'!L26)</f>
        <v>-203.6</v>
      </c>
      <c r="M27" s="55">
        <f>IF('Raw Data - financials'!M26="","",'Raw Data - financials'!M26)</f>
        <v>-176.18</v>
      </c>
      <c r="N27" s="55">
        <f>IF('Raw Data - financials'!N26="","",'Raw Data - financials'!N26)</f>
        <v>-226.43</v>
      </c>
      <c r="O27" s="55">
        <f>IF('Raw Data - financials'!O26="","",'Raw Data - financials'!O26)</f>
        <v>-208.03</v>
      </c>
      <c r="P27" s="55">
        <f>IF('Raw Data - financials'!P26="","",'Raw Data - financials'!P26)</f>
        <v>-341.9</v>
      </c>
      <c r="Q27" s="55">
        <f>IF('Raw Data - financials'!Q26="","",'Raw Data - financials'!Q26)</f>
        <v>-133</v>
      </c>
      <c r="R27" s="55">
        <f>IF('Raw Data - financials'!R26="","",'Raw Data - financials'!R26)</f>
        <v>-144</v>
      </c>
      <c r="S27" s="55">
        <f>IF('Raw Data - financials'!S26="","",'Raw Data - financials'!S26)</f>
        <v>741.4</v>
      </c>
      <c r="T27" s="55">
        <f>IF('Raw Data - financials'!T26="","",'Raw Data - financials'!T26)</f>
        <v>15.1</v>
      </c>
      <c r="U27" s="55">
        <f>IF('Raw Data - financials'!U26="","",'Raw Data - financials'!U26)</f>
        <v>14.8</v>
      </c>
      <c r="V27" s="55">
        <f>IF('Raw Data - financials'!V26="","",'Raw Data - financials'!V26)</f>
        <v>139.6</v>
      </c>
      <c r="W27" s="55">
        <f>IF('Raw Data - financials'!W26="","",'Raw Data - financials'!W26)</f>
        <v>-281.5</v>
      </c>
      <c r="AB27" s="19"/>
      <c r="AC27" s="56">
        <f>IF('Raw Data - financials'!AC26="","",'Raw Data - financials'!AC26)</f>
        <v>-71.81</v>
      </c>
      <c r="AD27" s="56">
        <f>IF('Raw Data - financials'!AD26="","",'Raw Data - financials'!AD26)</f>
        <v>-6.27</v>
      </c>
      <c r="AE27" s="56">
        <f>IF('Raw Data - financials'!AE26="","",'Raw Data - financials'!AE26)</f>
        <v>-266.85000000000002</v>
      </c>
      <c r="AF27" s="56">
        <f>IF('Raw Data - financials'!AF26="","",'Raw Data - financials'!AF26)</f>
        <v>-328.11</v>
      </c>
      <c r="AG27" s="56">
        <f>IF('Raw Data - financials'!AG26="","",'Raw Data - financials'!AG26)</f>
        <v>-725.37</v>
      </c>
      <c r="AH27" s="56">
        <f>IF('Raw Data - financials'!AH26="","",'Raw Data - financials'!AH26)</f>
        <v>-814.24</v>
      </c>
      <c r="AI27" s="56">
        <f>IF('Raw Data - financials'!AI26="","",'Raw Data - financials'!AI26)</f>
        <v>122.5</v>
      </c>
      <c r="AJ27" s="56">
        <f>IF('Raw Data - financials'!AJ26="","",'Raw Data - financials'!AJ26)</f>
        <v>-112</v>
      </c>
      <c r="AK27" s="56">
        <v>0</v>
      </c>
      <c r="AL27" s="56">
        <v>0</v>
      </c>
      <c r="AM27" s="56">
        <v>0</v>
      </c>
      <c r="AN27" s="56">
        <v>0</v>
      </c>
    </row>
    <row r="28" spans="1:40" outlineLevel="1" x14ac:dyDescent="0.3">
      <c r="A28" s="20" t="s">
        <v>58</v>
      </c>
      <c r="B28" s="17" t="s">
        <v>214</v>
      </c>
      <c r="D28" s="55">
        <f>IF('Raw Data - financials'!D27="","",'Raw Data - financials'!D27)</f>
        <v>0</v>
      </c>
      <c r="E28" s="55">
        <f>IF('Raw Data - financials'!E27="","",'Raw Data - financials'!E27)</f>
        <v>0</v>
      </c>
      <c r="F28" s="55">
        <f>IF('Raw Data - financials'!F27="","",'Raw Data - financials'!F27)</f>
        <v>0</v>
      </c>
      <c r="G28" s="55">
        <f>IF('Raw Data - financials'!G27="","",'Raw Data - financials'!G27)</f>
        <v>-58.1</v>
      </c>
      <c r="H28" s="55">
        <f>IF('Raw Data - financials'!H27="","",'Raw Data - financials'!H27)</f>
        <v>0</v>
      </c>
      <c r="I28" s="55">
        <f>IF('Raw Data - financials'!I27="","",'Raw Data - financials'!I27)</f>
        <v>0</v>
      </c>
      <c r="J28" s="55">
        <f>IF('Raw Data - financials'!J27="","",'Raw Data - financials'!J27)</f>
        <v>0</v>
      </c>
      <c r="K28" s="55">
        <f>IF('Raw Data - financials'!K27="","",'Raw Data - financials'!K27)</f>
        <v>0</v>
      </c>
      <c r="L28" s="55">
        <f>IF('Raw Data - financials'!L27="","",'Raw Data - financials'!L27)</f>
        <v>0</v>
      </c>
      <c r="M28" s="55">
        <f>IF('Raw Data - financials'!M27="","",'Raw Data - financials'!M27)</f>
        <v>0</v>
      </c>
      <c r="N28" s="55">
        <f>IF('Raw Data - financials'!N27="","",'Raw Data - financials'!N27)</f>
        <v>0</v>
      </c>
      <c r="O28" s="55">
        <f>IF('Raw Data - financials'!O27="","",'Raw Data - financials'!O27)</f>
        <v>0</v>
      </c>
      <c r="P28" s="55">
        <f>IF('Raw Data - financials'!P27="","",'Raw Data - financials'!P27)</f>
        <v>0</v>
      </c>
      <c r="Q28" s="55">
        <f>IF('Raw Data - financials'!Q27="","",'Raw Data - financials'!Q27)</f>
        <v>0</v>
      </c>
      <c r="R28" s="55">
        <f>IF('Raw Data - financials'!R27="","",'Raw Data - financials'!R27)</f>
        <v>0</v>
      </c>
      <c r="S28" s="55">
        <f>IF('Raw Data - financials'!S27="","",'Raw Data - financials'!S27)</f>
        <v>0</v>
      </c>
      <c r="T28" s="55">
        <f>IF('Raw Data - financials'!T27="","",'Raw Data - financials'!T27)</f>
        <v>0</v>
      </c>
      <c r="U28" s="55">
        <f>IF('Raw Data - financials'!U27="","",'Raw Data - financials'!U27)</f>
        <v>0</v>
      </c>
      <c r="V28" s="55">
        <f>IF('Raw Data - financials'!V27="","",'Raw Data - financials'!V27)</f>
        <v>0</v>
      </c>
      <c r="W28" s="55">
        <f>IF('Raw Data - financials'!W27="","",'Raw Data - financials'!W27)</f>
        <v>0</v>
      </c>
      <c r="AB28" s="19"/>
      <c r="AC28" s="56">
        <f>IF('Raw Data - financials'!AC27="","",'Raw Data - financials'!AC27)</f>
        <v>0</v>
      </c>
      <c r="AD28" s="56">
        <f>IF('Raw Data - financials'!AD27="","",'Raw Data - financials'!AD27)</f>
        <v>0</v>
      </c>
      <c r="AE28" s="56">
        <f>IF('Raw Data - financials'!AE27="","",'Raw Data - financials'!AE27)</f>
        <v>0</v>
      </c>
      <c r="AF28" s="56">
        <f>IF('Raw Data - financials'!AF27="","",'Raw Data - financials'!AF27)</f>
        <v>-58.1</v>
      </c>
      <c r="AG28" s="56">
        <f>IF('Raw Data - financials'!AG27="","",'Raw Data - financials'!AG27)</f>
        <v>0</v>
      </c>
      <c r="AH28" s="56">
        <f>IF('Raw Data - financials'!AH27="","",'Raw Data - financials'!AH27)</f>
        <v>0</v>
      </c>
      <c r="AI28" s="56">
        <f>IF('Raw Data - financials'!AI27="","",'Raw Data - financials'!AI27)</f>
        <v>0</v>
      </c>
      <c r="AJ28" s="56">
        <f>IF('Raw Data - financials'!AJ27="","",'Raw Data - financials'!AJ27)</f>
        <v>0</v>
      </c>
      <c r="AK28" s="56">
        <v>0</v>
      </c>
      <c r="AL28" s="56">
        <v>0</v>
      </c>
      <c r="AM28" s="56">
        <v>0</v>
      </c>
      <c r="AN28" s="56">
        <v>0</v>
      </c>
    </row>
    <row r="29" spans="1:40" x14ac:dyDescent="0.3">
      <c r="A29" s="72" t="s">
        <v>59</v>
      </c>
      <c r="B29" s="17" t="s">
        <v>214</v>
      </c>
      <c r="D29" s="73">
        <f t="shared" ref="D29:W29" si="9">IFERROR(D25+D26+D27+D28,"")</f>
        <v>-3.7300000000000182</v>
      </c>
      <c r="E29" s="73">
        <f t="shared" si="9"/>
        <v>1.9300000000000002</v>
      </c>
      <c r="F29" s="73">
        <f t="shared" si="9"/>
        <v>79.61</v>
      </c>
      <c r="G29" s="73">
        <f t="shared" si="9"/>
        <v>-17.629999999999988</v>
      </c>
      <c r="H29" s="73">
        <f t="shared" si="9"/>
        <v>26.53</v>
      </c>
      <c r="I29" s="73">
        <f t="shared" si="9"/>
        <v>31</v>
      </c>
      <c r="J29" s="73">
        <f t="shared" si="9"/>
        <v>34.670000000000016</v>
      </c>
      <c r="K29" s="73">
        <f t="shared" si="9"/>
        <v>43.539999999999992</v>
      </c>
      <c r="L29" s="73">
        <f t="shared" si="9"/>
        <v>32.629999999999995</v>
      </c>
      <c r="M29" s="73">
        <f t="shared" si="9"/>
        <v>39.680000000000007</v>
      </c>
      <c r="N29" s="73">
        <f t="shared" si="9"/>
        <v>82.550000000000011</v>
      </c>
      <c r="O29" s="73">
        <f t="shared" si="9"/>
        <v>98.249999999999972</v>
      </c>
      <c r="P29" s="73">
        <f t="shared" si="9"/>
        <v>78.400000000000034</v>
      </c>
      <c r="Q29" s="73">
        <f t="shared" si="9"/>
        <v>78.199999999999989</v>
      </c>
      <c r="R29" s="73">
        <f t="shared" si="9"/>
        <v>175.89999999999998</v>
      </c>
      <c r="S29" s="73">
        <f t="shared" si="9"/>
        <v>205</v>
      </c>
      <c r="T29" s="73">
        <f t="shared" si="9"/>
        <v>192.4</v>
      </c>
      <c r="U29" s="73">
        <f t="shared" si="9"/>
        <v>224</v>
      </c>
      <c r="V29" s="73">
        <f t="shared" si="9"/>
        <v>418.79999999999995</v>
      </c>
      <c r="W29" s="73">
        <f t="shared" si="9"/>
        <v>427.70000000000005</v>
      </c>
      <c r="AB29" s="19"/>
      <c r="AC29" s="60">
        <f t="shared" ref="AC29:AN29" si="10">IFERROR(AC25+AC26+AC27+AC28,"")</f>
        <v>-71.81</v>
      </c>
      <c r="AD29" s="60">
        <f t="shared" si="10"/>
        <v>39.099999999999994</v>
      </c>
      <c r="AE29" s="60">
        <f t="shared" si="10"/>
        <v>133.92999999999995</v>
      </c>
      <c r="AF29" s="60">
        <f t="shared" si="10"/>
        <v>60.179999999999971</v>
      </c>
      <c r="AG29" s="60">
        <f t="shared" si="10"/>
        <v>135.74</v>
      </c>
      <c r="AH29" s="60">
        <f t="shared" si="10"/>
        <v>253.1099999999999</v>
      </c>
      <c r="AI29" s="60">
        <f t="shared" si="10"/>
        <v>537.5</v>
      </c>
      <c r="AJ29" s="60">
        <f t="shared" si="10"/>
        <v>1262.9000000000001</v>
      </c>
      <c r="AK29" s="60">
        <f t="shared" si="10"/>
        <v>1965.5664606495932</v>
      </c>
      <c r="AL29" s="60">
        <f t="shared" si="10"/>
        <v>2569.4824160643498</v>
      </c>
      <c r="AM29" s="60">
        <f t="shared" si="10"/>
        <v>3358.7237472726983</v>
      </c>
      <c r="AN29" s="60">
        <f t="shared" si="10"/>
        <v>4390.0847206041735</v>
      </c>
    </row>
    <row r="30" spans="1:40" x14ac:dyDescent="0.3">
      <c r="AB30" s="19"/>
    </row>
    <row r="31" spans="1:40" x14ac:dyDescent="0.3">
      <c r="A31" s="72" t="s">
        <v>458</v>
      </c>
      <c r="B31" s="17" t="s">
        <v>214</v>
      </c>
      <c r="D31" s="73">
        <f t="shared" ref="D31:W31" si="11">IFERROR(D22-D29,"")</f>
        <v>35.21999999999889</v>
      </c>
      <c r="E31" s="73">
        <f t="shared" si="11"/>
        <v>11.719999999999636</v>
      </c>
      <c r="F31" s="73">
        <f t="shared" si="11"/>
        <v>290.1500000000002</v>
      </c>
      <c r="G31" s="73">
        <f t="shared" si="11"/>
        <v>75.78999999999985</v>
      </c>
      <c r="H31" s="73">
        <f t="shared" si="11"/>
        <v>56.869999999997816</v>
      </c>
      <c r="I31" s="73">
        <f t="shared" si="11"/>
        <v>56.550000000001091</v>
      </c>
      <c r="J31" s="73">
        <f t="shared" si="11"/>
        <v>92.04000000000093</v>
      </c>
      <c r="K31" s="73">
        <f t="shared" si="11"/>
        <v>42.749999999999062</v>
      </c>
      <c r="L31" s="73">
        <f t="shared" si="11"/>
        <v>64.559999999998695</v>
      </c>
      <c r="M31" s="73">
        <f t="shared" si="11"/>
        <v>92.889999999997883</v>
      </c>
      <c r="N31" s="73">
        <f t="shared" si="11"/>
        <v>182.33999999999941</v>
      </c>
      <c r="O31" s="73">
        <f t="shared" si="11"/>
        <v>97.36999999999901</v>
      </c>
      <c r="P31" s="73">
        <f t="shared" si="11"/>
        <v>142.39999999999924</v>
      </c>
      <c r="Q31" s="73">
        <f t="shared" si="11"/>
        <v>134.40000000000219</v>
      </c>
      <c r="R31" s="73">
        <f t="shared" si="11"/>
        <v>269.69999999999857</v>
      </c>
      <c r="S31" s="73">
        <f t="shared" si="11"/>
        <v>190.5</v>
      </c>
      <c r="T31" s="73">
        <f t="shared" si="11"/>
        <v>244.70000000000218</v>
      </c>
      <c r="U31" s="73">
        <f t="shared" si="11"/>
        <v>329.79999999999711</v>
      </c>
      <c r="V31" s="73">
        <f t="shared" si="11"/>
        <v>677.39999999999577</v>
      </c>
      <c r="W31" s="73">
        <f t="shared" si="11"/>
        <v>787.50000000000068</v>
      </c>
      <c r="AB31" s="19"/>
      <c r="AC31" s="60">
        <f t="shared" ref="AC31:AN31" si="12">IFERROR(AC22-AC29,"")</f>
        <v>-245.39000000000073</v>
      </c>
      <c r="AD31" s="60">
        <f t="shared" si="12"/>
        <v>-163.4000000000029</v>
      </c>
      <c r="AE31" s="60">
        <f t="shared" si="12"/>
        <v>619.45000000000107</v>
      </c>
      <c r="AF31" s="60">
        <f t="shared" si="12"/>
        <v>412.87999999999772</v>
      </c>
      <c r="AG31" s="60">
        <f t="shared" si="12"/>
        <v>248.21000000000436</v>
      </c>
      <c r="AH31" s="60">
        <f t="shared" si="12"/>
        <v>437.1599999999969</v>
      </c>
      <c r="AI31" s="60">
        <f t="shared" si="12"/>
        <v>737</v>
      </c>
      <c r="AJ31" s="60">
        <f t="shared" si="12"/>
        <v>2039.3999999999883</v>
      </c>
      <c r="AK31" s="60">
        <f t="shared" si="12"/>
        <v>3174.5131958608608</v>
      </c>
      <c r="AL31" s="60">
        <f t="shared" si="12"/>
        <v>4149.8753665306849</v>
      </c>
      <c r="AM31" s="60">
        <f t="shared" si="12"/>
        <v>5424.5496504069461</v>
      </c>
      <c r="AN31" s="60">
        <f t="shared" si="12"/>
        <v>7090.2623521055275</v>
      </c>
    </row>
    <row r="32" spans="1:40" outlineLevel="1" x14ac:dyDescent="0.3">
      <c r="A32" s="20" t="s">
        <v>227</v>
      </c>
      <c r="B32" s="17" t="s">
        <v>228</v>
      </c>
      <c r="D32" s="54">
        <f>IF(Projections!D133="","",Projections!D133)</f>
        <v>7.0000000000000007E-2</v>
      </c>
      <c r="E32" s="54">
        <f>IF(Projections!E133="","",Projections!E133)</f>
        <v>0.03</v>
      </c>
      <c r="F32" s="54">
        <f>IF(Projections!F133="","",Projections!F133)</f>
        <v>0.6</v>
      </c>
      <c r="G32" s="54">
        <f>IF(Projections!G133="","",Projections!G133)</f>
        <v>0.18</v>
      </c>
      <c r="H32" s="54">
        <f>IF(Projections!H133="","",Projections!H133)</f>
        <v>0</v>
      </c>
      <c r="I32" s="54">
        <f>IF(Projections!I133="","",Projections!I133)</f>
        <v>0.01</v>
      </c>
      <c r="J32" s="54">
        <f>IF(Projections!J133="","",Projections!J133)</f>
        <v>0.03</v>
      </c>
      <c r="K32" s="54">
        <f>IF(Projections!K133="","",Projections!K133)</f>
        <v>0.01</v>
      </c>
      <c r="L32" s="54">
        <f>IF(Projections!L133="","",Projections!L133)</f>
        <v>0.02</v>
      </c>
      <c r="M32" s="54">
        <f>IF(Projections!M133="","",Projections!M133)</f>
        <v>0.02</v>
      </c>
      <c r="N32" s="54">
        <f>IF(Projections!N133="","",Projections!N133)</f>
        <v>0.06</v>
      </c>
      <c r="O32" s="54">
        <f>IF(Projections!O133="","",Projections!O133)</f>
        <v>0.02</v>
      </c>
      <c r="P32" s="54">
        <f>IF(Projections!P133="","",Projections!P133)</f>
        <v>0.03</v>
      </c>
      <c r="Q32" s="54">
        <f>IF(Projections!Q133="","",Projections!Q133)</f>
        <v>0.04</v>
      </c>
      <c r="R32" s="54">
        <f>IF(Projections!R133="","",Projections!R133)</f>
        <v>0.09</v>
      </c>
      <c r="S32" s="54">
        <f>IF(Projections!S133="","",Projections!S133)</f>
        <v>7.0000000000000007E-2</v>
      </c>
      <c r="T32" s="54">
        <f>IF(Projections!T133="","",Projections!T133)</f>
        <v>0.08</v>
      </c>
      <c r="U32" s="54">
        <f>IF(Projections!U133="","",Projections!U133)</f>
        <v>0.12</v>
      </c>
      <c r="V32" s="54">
        <f>IF(Projections!V133="","",Projections!V133)</f>
        <v>0.22</v>
      </c>
      <c r="W32" s="54">
        <f>IF(Projections!W133="","",Projections!W133)</f>
        <v>0.27</v>
      </c>
      <c r="AB32" s="19"/>
      <c r="AC32" s="13">
        <f>IF(Projections!AC133="","",Projections!AC133)</f>
        <v>-17.7</v>
      </c>
      <c r="AD32" s="13">
        <f>IF(Projections!AD133="","",Projections!AD133)</f>
        <v>-11.63</v>
      </c>
      <c r="AE32" s="13">
        <f>IF(Projections!AE133="","",Projections!AE133)</f>
        <v>40.07</v>
      </c>
      <c r="AF32" s="13">
        <f>IF(Projections!AF133="","",Projections!AF133)</f>
        <v>0.87</v>
      </c>
      <c r="AG32" s="13">
        <f>IF(Projections!AG133="","",Projections!AG133)</f>
        <v>7.0000000000000007E-2</v>
      </c>
      <c r="AH32" s="13">
        <f>IF(Projections!AH133="","",Projections!AH133)</f>
        <v>0.11</v>
      </c>
      <c r="AI32" s="13">
        <f>IF(Projections!AI133="","",Projections!AI133)</f>
        <v>0.23</v>
      </c>
      <c r="AJ32" s="13">
        <f>IF(Projections!AJ133="","",Projections!AJ133)</f>
        <v>0.7</v>
      </c>
      <c r="AK32" s="13">
        <f>IF(Projections!AK133="","",Projections!AK133)</f>
        <v>1.114255246002404</v>
      </c>
      <c r="AL32" s="13">
        <f>IF(Projections!AL133="","",Projections!AL133)</f>
        <v>1.4566077102599884</v>
      </c>
      <c r="AM32" s="13">
        <f>IF(Projections!AM133="","",Projections!AM133)</f>
        <v>1.9040188313116713</v>
      </c>
      <c r="AN32" s="13">
        <f>IF(Projections!AN133="","",Projections!AN133)</f>
        <v>2.488684574273599</v>
      </c>
    </row>
    <row r="33" spans="1:40" x14ac:dyDescent="0.3">
      <c r="AB33" s="19"/>
    </row>
    <row r="34" spans="1:40" x14ac:dyDescent="0.3">
      <c r="A34" s="5" t="s">
        <v>459</v>
      </c>
      <c r="B34" s="5"/>
      <c r="C34" s="5"/>
      <c r="D34" s="5"/>
      <c r="E34" s="5"/>
      <c r="F34" s="5"/>
      <c r="G34" s="5"/>
      <c r="H34" s="5"/>
      <c r="I34" s="5"/>
      <c r="J34" s="5"/>
      <c r="K34" s="5"/>
      <c r="L34" s="5"/>
      <c r="M34" s="5"/>
      <c r="N34" s="5"/>
      <c r="O34" s="5"/>
      <c r="P34" s="5"/>
      <c r="Q34" s="5"/>
      <c r="R34" s="5"/>
      <c r="S34" s="5"/>
      <c r="T34" s="5"/>
      <c r="U34" s="5"/>
      <c r="V34" s="5"/>
      <c r="W34" s="5"/>
      <c r="X34" s="5"/>
      <c r="Y34" s="5"/>
      <c r="Z34" s="5"/>
      <c r="AA34" s="5"/>
      <c r="AB34" s="44"/>
      <c r="AC34" s="5"/>
      <c r="AD34" s="5"/>
      <c r="AE34" s="5"/>
      <c r="AF34" s="5"/>
      <c r="AG34" s="5"/>
      <c r="AH34" s="5"/>
      <c r="AI34" s="5"/>
      <c r="AJ34" s="5"/>
      <c r="AK34" s="5"/>
      <c r="AL34" s="5"/>
      <c r="AM34" s="5"/>
      <c r="AN34" s="5"/>
    </row>
    <row r="35" spans="1:40" x14ac:dyDescent="0.3">
      <c r="A35" s="17" t="s">
        <v>460</v>
      </c>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45"/>
      <c r="AC35" s="17"/>
      <c r="AD35" s="17"/>
      <c r="AE35" s="17"/>
      <c r="AF35" s="17"/>
      <c r="AG35" s="17"/>
      <c r="AH35" s="17"/>
      <c r="AI35" s="17"/>
      <c r="AJ35" s="17"/>
      <c r="AK35" s="17"/>
      <c r="AL35" s="17"/>
      <c r="AM35" s="17"/>
      <c r="AN35" s="17"/>
    </row>
    <row r="36" spans="1:40" x14ac:dyDescent="0.3">
      <c r="A36" s="9" t="s">
        <v>73</v>
      </c>
      <c r="B36" s="9"/>
      <c r="C36" s="9"/>
      <c r="D36" s="9"/>
      <c r="E36" s="9"/>
      <c r="F36" s="9"/>
      <c r="G36" s="9"/>
      <c r="H36" s="9"/>
      <c r="I36" s="9"/>
      <c r="J36" s="9"/>
      <c r="K36" s="9"/>
      <c r="L36" s="9"/>
      <c r="M36" s="9"/>
      <c r="N36" s="9"/>
      <c r="O36" s="9"/>
      <c r="P36" s="9"/>
      <c r="Q36" s="9"/>
      <c r="R36" s="9"/>
      <c r="S36" s="9"/>
      <c r="T36" s="9"/>
      <c r="U36" s="9"/>
      <c r="V36" s="9"/>
      <c r="W36" s="9"/>
      <c r="X36" s="9"/>
      <c r="Y36" s="9"/>
      <c r="Z36" s="9"/>
      <c r="AA36" s="9"/>
      <c r="AB36" s="46"/>
      <c r="AC36" s="9"/>
      <c r="AD36" s="9"/>
      <c r="AE36" s="9"/>
      <c r="AF36" s="9"/>
      <c r="AG36" s="9"/>
      <c r="AH36" s="9"/>
      <c r="AI36" s="9"/>
      <c r="AJ36" s="9"/>
      <c r="AK36" s="9"/>
      <c r="AL36" s="9"/>
      <c r="AM36" s="9"/>
      <c r="AN36" s="9"/>
    </row>
    <row r="37" spans="1:40" x14ac:dyDescent="0.3">
      <c r="A37" s="9" t="s">
        <v>74</v>
      </c>
      <c r="B37" s="9"/>
      <c r="C37" s="9"/>
      <c r="D37" s="9"/>
      <c r="E37" s="9"/>
      <c r="F37" s="9"/>
      <c r="G37" s="9"/>
      <c r="H37" s="9"/>
      <c r="I37" s="9"/>
      <c r="J37" s="9"/>
      <c r="K37" s="9"/>
      <c r="L37" s="9"/>
      <c r="M37" s="9"/>
      <c r="N37" s="9"/>
      <c r="O37" s="9"/>
      <c r="P37" s="9"/>
      <c r="Q37" s="9"/>
      <c r="R37" s="9"/>
      <c r="S37" s="9"/>
      <c r="T37" s="9"/>
      <c r="U37" s="9"/>
      <c r="V37" s="9"/>
      <c r="W37" s="9"/>
      <c r="X37" s="9"/>
      <c r="Y37" s="9"/>
      <c r="Z37" s="9"/>
      <c r="AA37" s="9"/>
      <c r="AB37" s="46"/>
      <c r="AC37" s="9"/>
      <c r="AD37" s="9"/>
      <c r="AE37" s="9"/>
      <c r="AF37" s="9"/>
      <c r="AG37" s="9"/>
      <c r="AH37" s="9"/>
      <c r="AI37" s="9"/>
      <c r="AJ37" s="9"/>
      <c r="AK37" s="9"/>
      <c r="AL37" s="9"/>
      <c r="AM37" s="9"/>
      <c r="AN37" s="9"/>
    </row>
    <row r="38" spans="1:40" outlineLevel="1" x14ac:dyDescent="0.3">
      <c r="A38" s="20" t="s">
        <v>75</v>
      </c>
      <c r="B38" s="17" t="s">
        <v>214</v>
      </c>
      <c r="E38" s="55" t="str">
        <f>IF('Raw Data - financials'!E49="","",'Raw Data - financials'!E49)</f>
        <v/>
      </c>
      <c r="G38" s="55">
        <f>IF('Raw Data - financials'!G49="","",'Raw Data - financials'!G49)</f>
        <v>1244.42</v>
      </c>
      <c r="I38" s="55">
        <f>IF('Raw Data - financials'!I49="","",'Raw Data - financials'!I49)</f>
        <v>1713.47</v>
      </c>
      <c r="K38" s="55">
        <f>IF('Raw Data - financials'!K49="","",'Raw Data - financials'!K49)</f>
        <v>2313.46</v>
      </c>
      <c r="M38" s="55">
        <f>IF('Raw Data - financials'!M49="","",'Raw Data - financials'!M49)</f>
        <v>2315.23</v>
      </c>
      <c r="O38" s="55">
        <f>IF('Raw Data - financials'!O49="","",'Raw Data - financials'!O49)</f>
        <v>2357.7199999999998</v>
      </c>
      <c r="Q38" s="55">
        <f>IF('Raw Data - financials'!Q49="","",'Raw Data - financials'!Q49)</f>
        <v>2351.5</v>
      </c>
      <c r="S38" s="55">
        <f>IF('Raw Data - financials'!S49="","",'Raw Data - financials'!S49)</f>
        <v>2717.2</v>
      </c>
      <c r="U38" s="55">
        <f>IF('Raw Data - financials'!U49="","",'Raw Data - financials'!U49)</f>
        <v>2712.6</v>
      </c>
      <c r="W38" s="55">
        <f>IF('Raw Data - financials'!W49="","",'Raw Data - financials'!W49)</f>
        <v>2999.7</v>
      </c>
      <c r="AB38" s="19"/>
      <c r="AC38" s="56">
        <f>IF('Raw Data - financials'!AC49="","",'Raw Data - financials'!AC49)</f>
        <v>429.05</v>
      </c>
      <c r="AD38" s="56">
        <f>IF('Raw Data - financials'!AD49="","",'Raw Data - financials'!AD49)</f>
        <v>701.49</v>
      </c>
      <c r="AE38" s="56">
        <f>IF('Raw Data - financials'!AE49="","",'Raw Data - financials'!AE49)</f>
        <v>686.52</v>
      </c>
      <c r="AF38" s="56">
        <f>IF('Raw Data - financials'!AF49="","",'Raw Data - financials'!AF49)</f>
        <v>1244.42</v>
      </c>
      <c r="AG38" s="56">
        <f>IF('Raw Data - financials'!AG49="","",'Raw Data - financials'!AG49)</f>
        <v>2313.46</v>
      </c>
      <c r="AH38" s="56">
        <f>IF('Raw Data - financials'!AH49="","",'Raw Data - financials'!AH49)</f>
        <v>2357.7199999999998</v>
      </c>
      <c r="AI38" s="56">
        <f>IF('Raw Data - financials'!AI49="","",'Raw Data - financials'!AI49)</f>
        <v>2717.2</v>
      </c>
      <c r="AJ38" s="56">
        <f>IF('Raw Data - financials'!AJ49="","",'Raw Data - financials'!AJ49)</f>
        <v>2999.7</v>
      </c>
      <c r="AK38" s="56">
        <f>IF(Projections!AK139="","",Projections!AK139)</f>
        <v>2999.7</v>
      </c>
      <c r="AL38" s="56">
        <f>IF(Projections!AL139="","",Projections!AL139)</f>
        <v>2999.7</v>
      </c>
      <c r="AM38" s="56">
        <f>IF(Projections!AM139="","",Projections!AM139)</f>
        <v>2999.7</v>
      </c>
      <c r="AN38" s="56">
        <f>IF(Projections!AN139="","",Projections!AN139)</f>
        <v>2999.7</v>
      </c>
    </row>
    <row r="39" spans="1:40" outlineLevel="1" x14ac:dyDescent="0.3">
      <c r="A39" s="20" t="s">
        <v>76</v>
      </c>
      <c r="B39" s="17" t="s">
        <v>214</v>
      </c>
      <c r="E39" s="55" t="str">
        <f>IF('Raw Data - financials'!E50="","",'Raw Data - financials'!E50)</f>
        <v/>
      </c>
      <c r="G39" s="55">
        <f>IF('Raw Data - financials'!G50="","",'Raw Data - financials'!G50)</f>
        <v>97.64</v>
      </c>
      <c r="I39" s="55">
        <f>IF('Raw Data - financials'!I50="","",'Raw Data - financials'!I50)</f>
        <v>108.64</v>
      </c>
      <c r="K39" s="55">
        <f>IF('Raw Data - financials'!K50="","",'Raw Data - financials'!K50)</f>
        <v>20.22</v>
      </c>
      <c r="M39" s="55">
        <f>IF('Raw Data - financials'!M50="","",'Raw Data - financials'!M50)</f>
        <v>8.52</v>
      </c>
      <c r="O39" s="55">
        <f>IF('Raw Data - financials'!O50="","",'Raw Data - financials'!O50)</f>
        <v>60.77</v>
      </c>
      <c r="Q39" s="55">
        <f>IF('Raw Data - financials'!Q50="","",'Raw Data - financials'!Q50)</f>
        <v>20.6</v>
      </c>
      <c r="S39" s="55">
        <f>IF('Raw Data - financials'!S50="","",'Raw Data - financials'!S50)</f>
        <v>31.7</v>
      </c>
      <c r="U39" s="55">
        <f>IF('Raw Data - financials'!U50="","",'Raw Data - financials'!U50)</f>
        <v>46.9</v>
      </c>
      <c r="W39" s="55">
        <f>IF('Raw Data - financials'!W50="","",'Raw Data - financials'!W50)</f>
        <v>92.5</v>
      </c>
      <c r="AB39" s="19"/>
      <c r="AC39" s="56">
        <f>IF('Raw Data - financials'!AC50="","",'Raw Data - financials'!AC50)</f>
        <v>3.2</v>
      </c>
      <c r="AD39" s="56">
        <f>IF('Raw Data - financials'!AD50="","",'Raw Data - financials'!AD50)</f>
        <v>7.78</v>
      </c>
      <c r="AE39" s="56">
        <f>IF('Raw Data - financials'!AE50="","",'Raw Data - financials'!AE50)</f>
        <v>19.690000000000001</v>
      </c>
      <c r="AF39" s="56">
        <f>IF('Raw Data - financials'!AF50="","",'Raw Data - financials'!AF50)</f>
        <v>97.64</v>
      </c>
      <c r="AG39" s="56">
        <f>IF('Raw Data - financials'!AG50="","",'Raw Data - financials'!AG50)</f>
        <v>20.22</v>
      </c>
      <c r="AH39" s="56">
        <f>IF('Raw Data - financials'!AH50="","",'Raw Data - financials'!AH50)</f>
        <v>60.77</v>
      </c>
      <c r="AI39" s="56">
        <f>IF('Raw Data - financials'!AI50="","",'Raw Data - financials'!AI50)</f>
        <v>31.7</v>
      </c>
      <c r="AJ39" s="56">
        <f>IF('Raw Data - financials'!AJ50="","",'Raw Data - financials'!AJ50)</f>
        <v>92.5</v>
      </c>
      <c r="AK39" s="56">
        <f>IF(Projections!AK140="","",Projections!AK140)</f>
        <v>92.5</v>
      </c>
      <c r="AL39" s="56">
        <f>IF(Projections!AL140="","",Projections!AL140)</f>
        <v>92.5</v>
      </c>
      <c r="AM39" s="56">
        <f>IF(Projections!AM140="","",Projections!AM140)</f>
        <v>92.5</v>
      </c>
      <c r="AN39" s="56">
        <f>IF(Projections!AN140="","",Projections!AN140)</f>
        <v>92.5</v>
      </c>
    </row>
    <row r="40" spans="1:40" outlineLevel="1" x14ac:dyDescent="0.3">
      <c r="A40" s="20" t="s">
        <v>77</v>
      </c>
      <c r="B40" s="17" t="s">
        <v>214</v>
      </c>
      <c r="E40" s="55" t="str">
        <f>IF('Raw Data - financials'!E51="","",'Raw Data - financials'!E51)</f>
        <v/>
      </c>
      <c r="G40" s="55">
        <f>IF('Raw Data - financials'!G51="","",'Raw Data - financials'!G51)</f>
        <v>474.78</v>
      </c>
      <c r="I40" s="55">
        <f>IF('Raw Data - financials'!I51="","",'Raw Data - financials'!I51)</f>
        <v>789.04</v>
      </c>
      <c r="K40" s="55">
        <f>IF('Raw Data - financials'!K51="","",'Raw Data - financials'!K51)</f>
        <v>610.65</v>
      </c>
      <c r="M40" s="55">
        <f>IF('Raw Data - financials'!M51="","",'Raw Data - financials'!M51)</f>
        <v>610.65</v>
      </c>
      <c r="O40" s="55">
        <f>IF('Raw Data - financials'!O51="","",'Raw Data - financials'!O51)</f>
        <v>610.65</v>
      </c>
      <c r="Q40" s="55">
        <f>IF('Raw Data - financials'!Q51="","",'Raw Data - financials'!Q51)</f>
        <v>610.70000000000005</v>
      </c>
      <c r="S40" s="55">
        <f>IF('Raw Data - financials'!S51="","",'Raw Data - financials'!S51)</f>
        <v>975</v>
      </c>
      <c r="U40" s="55">
        <f>IF('Raw Data - financials'!U51="","",'Raw Data - financials'!U51)</f>
        <v>975.1</v>
      </c>
      <c r="W40" s="55">
        <f>IF('Raw Data - financials'!W51="","",'Raw Data - financials'!W51)</f>
        <v>975</v>
      </c>
      <c r="AB40" s="19"/>
      <c r="AC40" s="56">
        <f>IF('Raw Data - financials'!AC51="","",'Raw Data - financials'!AC51)</f>
        <v>1.43</v>
      </c>
      <c r="AD40" s="56">
        <f>IF('Raw Data - financials'!AD51="","",'Raw Data - financials'!AD51)</f>
        <v>1.43</v>
      </c>
      <c r="AE40" s="56">
        <f>IF('Raw Data - financials'!AE51="","",'Raw Data - financials'!AE51)</f>
        <v>5.43</v>
      </c>
      <c r="AF40" s="56">
        <f>IF('Raw Data - financials'!AF51="","",'Raw Data - financials'!AF51)</f>
        <v>474.78</v>
      </c>
      <c r="AG40" s="56">
        <f>IF('Raw Data - financials'!AG51="","",'Raw Data - financials'!AG51)</f>
        <v>610.65</v>
      </c>
      <c r="AH40" s="56">
        <f>IF('Raw Data - financials'!AH51="","",'Raw Data - financials'!AH51)</f>
        <v>610.65</v>
      </c>
      <c r="AI40" s="56">
        <f>IF('Raw Data - financials'!AI51="","",'Raw Data - financials'!AI51)</f>
        <v>975</v>
      </c>
      <c r="AJ40" s="56">
        <f>IF('Raw Data - financials'!AJ51="","",'Raw Data - financials'!AJ51)</f>
        <v>975</v>
      </c>
      <c r="AK40" s="56">
        <f>IF(Projections!AK141="","",Projections!AK141)</f>
        <v>975</v>
      </c>
      <c r="AL40" s="56">
        <f>IF(Projections!AL141="","",Projections!AL141)</f>
        <v>975</v>
      </c>
      <c r="AM40" s="56">
        <f>IF(Projections!AM141="","",Projections!AM141)</f>
        <v>975</v>
      </c>
      <c r="AN40" s="56">
        <f>IF(Projections!AN141="","",Projections!AN141)</f>
        <v>975</v>
      </c>
    </row>
    <row r="41" spans="1:40" outlineLevel="1" x14ac:dyDescent="0.3">
      <c r="A41" s="20" t="s">
        <v>78</v>
      </c>
      <c r="B41" s="17" t="s">
        <v>214</v>
      </c>
      <c r="E41" s="55" t="str">
        <f>IF('Raw Data - financials'!E52="","",'Raw Data - financials'!E52)</f>
        <v/>
      </c>
      <c r="G41" s="55">
        <f>IF('Raw Data - financials'!G52="","",'Raw Data - financials'!G52)</f>
        <v>640.04999999999995</v>
      </c>
      <c r="I41" s="55">
        <f>IF('Raw Data - financials'!I52="","",'Raw Data - financials'!I52)</f>
        <v>664.77</v>
      </c>
      <c r="K41" s="55">
        <f>IF('Raw Data - financials'!K52="","",'Raw Data - financials'!K52)</f>
        <v>944.85</v>
      </c>
      <c r="M41" s="55">
        <f>IF('Raw Data - financials'!M52="","",'Raw Data - financials'!M52)</f>
        <v>1009.09</v>
      </c>
      <c r="O41" s="55">
        <f>IF('Raw Data - financials'!O52="","",'Raw Data - financials'!O52)</f>
        <v>1104.67</v>
      </c>
      <c r="Q41" s="55">
        <f>IF('Raw Data - financials'!Q52="","",'Raw Data - financials'!Q52)</f>
        <v>1063.9000000000001</v>
      </c>
      <c r="S41" s="55">
        <f>IF('Raw Data - financials'!S52="","",'Raw Data - financials'!S52)</f>
        <v>1357.4</v>
      </c>
      <c r="U41" s="55">
        <f>IF('Raw Data - financials'!U52="","",'Raw Data - financials'!U52)</f>
        <v>1244.3</v>
      </c>
      <c r="W41" s="55">
        <f>IF('Raw Data - financials'!W52="","",'Raw Data - financials'!W52)</f>
        <v>1490.1</v>
      </c>
      <c r="AB41" s="19"/>
      <c r="AC41" s="56">
        <f>IF('Raw Data - financials'!AC52="","",'Raw Data - financials'!AC52)</f>
        <v>106.03</v>
      </c>
      <c r="AD41" s="56">
        <f>IF('Raw Data - financials'!AD52="","",'Raw Data - financials'!AD52)</f>
        <v>127.45</v>
      </c>
      <c r="AE41" s="56">
        <f>IF('Raw Data - financials'!AE52="","",'Raw Data - financials'!AE52)</f>
        <v>230.34</v>
      </c>
      <c r="AF41" s="56">
        <f>IF('Raw Data - financials'!AF52="","",'Raw Data - financials'!AF52)</f>
        <v>640.04999999999995</v>
      </c>
      <c r="AG41" s="56">
        <f>IF('Raw Data - financials'!AG52="","",'Raw Data - financials'!AG52)</f>
        <v>944.85</v>
      </c>
      <c r="AH41" s="56">
        <f>IF('Raw Data - financials'!AH52="","",'Raw Data - financials'!AH52)</f>
        <v>1104.67</v>
      </c>
      <c r="AI41" s="56">
        <f>IF('Raw Data - financials'!AI52="","",'Raw Data - financials'!AI52)</f>
        <v>1357.4</v>
      </c>
      <c r="AJ41" s="56">
        <f>IF('Raw Data - financials'!AJ52="","",'Raw Data - financials'!AJ52)</f>
        <v>1490.1</v>
      </c>
      <c r="AK41" s="56">
        <f>IF(Projections!AK142="","",Projections!AK142)</f>
        <v>1490.1</v>
      </c>
      <c r="AL41" s="56">
        <f>IF(Projections!AL142="","",Projections!AL142)</f>
        <v>1490.1</v>
      </c>
      <c r="AM41" s="56">
        <f>IF(Projections!AM142="","",Projections!AM142)</f>
        <v>1490.1</v>
      </c>
      <c r="AN41" s="56">
        <f>IF(Projections!AN142="","",Projections!AN142)</f>
        <v>1490.1</v>
      </c>
    </row>
    <row r="42" spans="1:40" outlineLevel="1" x14ac:dyDescent="0.3">
      <c r="A42" s="20" t="s">
        <v>79</v>
      </c>
      <c r="B42" s="17" t="s">
        <v>214</v>
      </c>
      <c r="E42" s="55" t="str">
        <f>IF('Raw Data - financials'!E53="","",'Raw Data - financials'!E53)</f>
        <v/>
      </c>
      <c r="G42" s="55">
        <f>IF('Raw Data - financials'!G53="","",'Raw Data - financials'!G53)</f>
        <v>2473.2600000000002</v>
      </c>
      <c r="I42" s="55">
        <f>IF('Raw Data - financials'!I53="","",'Raw Data - financials'!I53)</f>
        <v>4069.36</v>
      </c>
      <c r="K42" s="55">
        <f>IF('Raw Data - financials'!K53="","",'Raw Data - financials'!K53)</f>
        <v>3119.21</v>
      </c>
      <c r="M42" s="55">
        <f>IF('Raw Data - financials'!M53="","",'Raw Data - financials'!M53)</f>
        <v>2768.35</v>
      </c>
      <c r="O42" s="55">
        <f>IF('Raw Data - financials'!O53="","",'Raw Data - financials'!O53)</f>
        <v>2608.54</v>
      </c>
      <c r="Q42" s="55">
        <f>IF('Raw Data - financials'!Q53="","",'Raw Data - financials'!Q53)</f>
        <v>2786.2</v>
      </c>
      <c r="S42" s="55">
        <f>IF('Raw Data - financials'!S53="","",'Raw Data - financials'!S53)</f>
        <v>3298.6</v>
      </c>
      <c r="U42" s="55">
        <f>IF('Raw Data - financials'!U53="","",'Raw Data - financials'!U53)</f>
        <v>3865.4</v>
      </c>
      <c r="W42" s="55">
        <f>IF('Raw Data - financials'!W53="","",'Raw Data - financials'!W53)</f>
        <v>4614.7</v>
      </c>
      <c r="AB42" s="19"/>
      <c r="AC42" s="56">
        <f>IF('Raw Data - financials'!AC53="","",'Raw Data - financials'!AC53)</f>
        <v>859.31</v>
      </c>
      <c r="AD42" s="56">
        <f>IF('Raw Data - financials'!AD53="","",'Raw Data - financials'!AD53)</f>
        <v>1439.94</v>
      </c>
      <c r="AE42" s="56">
        <f>IF('Raw Data - financials'!AE53="","",'Raw Data - financials'!AE53)</f>
        <v>1389.34</v>
      </c>
      <c r="AF42" s="56">
        <f>IF('Raw Data - financials'!AF53="","",'Raw Data - financials'!AF53)</f>
        <v>2473.2600000000002</v>
      </c>
      <c r="AG42" s="56">
        <f>IF('Raw Data - financials'!AG53="","",'Raw Data - financials'!AG53)</f>
        <v>3119.21</v>
      </c>
      <c r="AH42" s="56">
        <f>IF('Raw Data - financials'!AH53="","",'Raw Data - financials'!AH53)</f>
        <v>2608.54</v>
      </c>
      <c r="AI42" s="56">
        <f>IF('Raw Data - financials'!AI53="","",'Raw Data - financials'!AI53)</f>
        <v>3298.6</v>
      </c>
      <c r="AJ42" s="56">
        <f>IF('Raw Data - financials'!AJ53="","",'Raw Data - financials'!AJ53)</f>
        <v>4614.7</v>
      </c>
      <c r="AK42" s="56">
        <f>IF(Projections!AK143="","",Projections!AK143)</f>
        <v>4614.7000000000007</v>
      </c>
      <c r="AL42" s="56">
        <f>IF(Projections!AL143="","",Projections!AL143)</f>
        <v>4614.7000000000007</v>
      </c>
      <c r="AM42" s="56">
        <f>IF(Projections!AM143="","",Projections!AM143)</f>
        <v>4614.7000000000007</v>
      </c>
      <c r="AN42" s="56">
        <f>IF(Projections!AN143="","",Projections!AN143)</f>
        <v>4614.7000000000007</v>
      </c>
    </row>
    <row r="43" spans="1:40" outlineLevel="1" x14ac:dyDescent="0.3">
      <c r="A43" s="20" t="s">
        <v>80</v>
      </c>
      <c r="B43" s="17" t="s">
        <v>214</v>
      </c>
      <c r="E43" s="55" t="str">
        <f>IF('Raw Data - financials'!E54="","",'Raw Data - financials'!E54)</f>
        <v/>
      </c>
      <c r="G43" s="55">
        <f>IF('Raw Data - financials'!G54="","",'Raw Data - financials'!G54)</f>
        <v>147.31</v>
      </c>
      <c r="I43" s="55">
        <f>IF('Raw Data - financials'!I54="","",'Raw Data - financials'!I54)</f>
        <v>246.38</v>
      </c>
      <c r="K43" s="55">
        <f>IF('Raw Data - financials'!K54="","",'Raw Data - financials'!K54)</f>
        <v>288.56</v>
      </c>
      <c r="M43" s="55">
        <f>IF('Raw Data - financials'!M54="","",'Raw Data - financials'!M54)</f>
        <v>254.59</v>
      </c>
      <c r="O43" s="55">
        <f>IF('Raw Data - financials'!O54="","",'Raw Data - financials'!O54)</f>
        <v>236.99</v>
      </c>
      <c r="Q43" s="55">
        <f>IF('Raw Data - financials'!Q54="","",'Raw Data - financials'!Q54)</f>
        <v>328.7</v>
      </c>
      <c r="S43" s="55">
        <f>IF('Raw Data - financials'!S54="","",'Raw Data - financials'!S54)</f>
        <v>335.7</v>
      </c>
      <c r="U43" s="55">
        <f>IF('Raw Data - financials'!U54="","",'Raw Data - financials'!U54)</f>
        <v>402.2</v>
      </c>
      <c r="W43" s="55">
        <f>IF('Raw Data - financials'!W54="","",'Raw Data - financials'!W54)</f>
        <v>0</v>
      </c>
      <c r="AB43" s="19"/>
      <c r="AC43" s="56">
        <f>IF('Raw Data - financials'!AC54="","",'Raw Data - financials'!AC54)</f>
        <v>0</v>
      </c>
      <c r="AD43" s="56">
        <f>IF('Raw Data - financials'!AD54="","",'Raw Data - financials'!AD54)</f>
        <v>12.45</v>
      </c>
      <c r="AE43" s="56">
        <f>IF('Raw Data - financials'!AE54="","",'Raw Data - financials'!AE54)</f>
        <v>3.88</v>
      </c>
      <c r="AF43" s="56">
        <f>IF('Raw Data - financials'!AF54="","",'Raw Data - financials'!AF54)</f>
        <v>147.31</v>
      </c>
      <c r="AG43" s="56">
        <f>IF('Raw Data - financials'!AG54="","",'Raw Data - financials'!AG54)</f>
        <v>288.56</v>
      </c>
      <c r="AH43" s="56">
        <f>IF('Raw Data - financials'!AH54="","",'Raw Data - financials'!AH54)</f>
        <v>236.99</v>
      </c>
      <c r="AI43" s="56">
        <f>IF('Raw Data - financials'!AI54="","",'Raw Data - financials'!AI54)</f>
        <v>335.7</v>
      </c>
      <c r="AJ43" s="56">
        <f>IF('Raw Data - financials'!AJ54="","",'Raw Data - financials'!AJ54)</f>
        <v>0</v>
      </c>
      <c r="AK43" s="56">
        <f>IF(Projections!AK144="","",Projections!AK144)</f>
        <v>0</v>
      </c>
      <c r="AL43" s="56">
        <f>IF(Projections!AL144="","",Projections!AL144)</f>
        <v>0</v>
      </c>
      <c r="AM43" s="56">
        <f>IF(Projections!AM144="","",Projections!AM144)</f>
        <v>0</v>
      </c>
      <c r="AN43" s="56">
        <f>IF(Projections!AN144="","",Projections!AN144)</f>
        <v>0</v>
      </c>
    </row>
    <row r="44" spans="1:40" outlineLevel="1" x14ac:dyDescent="0.3">
      <c r="A44" s="20" t="s">
        <v>81</v>
      </c>
      <c r="B44" s="17" t="s">
        <v>214</v>
      </c>
      <c r="E44" s="55" t="str">
        <f>IF('Raw Data - financials'!E55="","",'Raw Data - financials'!E55)</f>
        <v/>
      </c>
      <c r="G44" s="55">
        <f>IF('Raw Data - financials'!G55="","",'Raw Data - financials'!G55)</f>
        <v>0</v>
      </c>
      <c r="I44" s="55">
        <f>IF('Raw Data - financials'!I55="","",'Raw Data - financials'!I55)</f>
        <v>0</v>
      </c>
      <c r="K44" s="55">
        <f>IF('Raw Data - financials'!K55="","",'Raw Data - financials'!K55)</f>
        <v>0</v>
      </c>
      <c r="M44" s="55">
        <f>IF('Raw Data - financials'!M55="","",'Raw Data - financials'!M55)</f>
        <v>0</v>
      </c>
      <c r="O44" s="55">
        <f>IF('Raw Data - financials'!O55="","",'Raw Data - financials'!O55)</f>
        <v>338.23</v>
      </c>
      <c r="Q44" s="55">
        <f>IF('Raw Data - financials'!Q55="","",'Raw Data - financials'!Q55)</f>
        <v>327.60000000000002</v>
      </c>
      <c r="S44" s="55">
        <f>IF('Raw Data - financials'!S55="","",'Raw Data - financials'!S55)</f>
        <v>0</v>
      </c>
      <c r="U44" s="55">
        <f>IF('Raw Data - financials'!U55="","",'Raw Data - financials'!U55)</f>
        <v>0</v>
      </c>
      <c r="W44" s="55">
        <f>IF('Raw Data - financials'!W55="","",'Raw Data - financials'!W55)</f>
        <v>0</v>
      </c>
      <c r="AB44" s="19"/>
      <c r="AC44" s="56">
        <f>IF('Raw Data - financials'!AC55="","",'Raw Data - financials'!AC55)</f>
        <v>0</v>
      </c>
      <c r="AD44" s="56">
        <f>IF('Raw Data - financials'!AD55="","",'Raw Data - financials'!AD55)</f>
        <v>0</v>
      </c>
      <c r="AE44" s="56">
        <f>IF('Raw Data - financials'!AE55="","",'Raw Data - financials'!AE55)</f>
        <v>0</v>
      </c>
      <c r="AF44" s="56">
        <f>IF('Raw Data - financials'!AF55="","",'Raw Data - financials'!AF55)</f>
        <v>0</v>
      </c>
      <c r="AG44" s="56">
        <f>IF('Raw Data - financials'!AG55="","",'Raw Data - financials'!AG55)</f>
        <v>0</v>
      </c>
      <c r="AH44" s="56">
        <f>IF('Raw Data - financials'!AH55="","",'Raw Data - financials'!AH55)</f>
        <v>338.23</v>
      </c>
      <c r="AI44" s="56">
        <f>IF('Raw Data - financials'!AI55="","",'Raw Data - financials'!AI55)</f>
        <v>0</v>
      </c>
      <c r="AJ44" s="56">
        <f>IF('Raw Data - financials'!AJ55="","",'Raw Data - financials'!AJ55)</f>
        <v>0</v>
      </c>
      <c r="AK44" s="56">
        <f>IF(Projections!AK145="","",Projections!AK145)</f>
        <v>0</v>
      </c>
      <c r="AL44" s="56">
        <f>IF(Projections!AL145="","",Projections!AL145)</f>
        <v>0</v>
      </c>
      <c r="AM44" s="56">
        <f>IF(Projections!AM145="","",Projections!AM145)</f>
        <v>0</v>
      </c>
      <c r="AN44" s="56">
        <f>IF(Projections!AN145="","",Projections!AN145)</f>
        <v>0</v>
      </c>
    </row>
    <row r="45" spans="1:40" outlineLevel="1" x14ac:dyDescent="0.3">
      <c r="A45" s="20" t="s">
        <v>82</v>
      </c>
      <c r="B45" s="17" t="s">
        <v>214</v>
      </c>
      <c r="E45" s="55" t="str">
        <f>IF('Raw Data - financials'!E56="","",'Raw Data - financials'!E56)</f>
        <v/>
      </c>
      <c r="G45" s="55">
        <f>IF('Raw Data - financials'!G56="","",'Raw Data - financials'!G56)</f>
        <v>0</v>
      </c>
      <c r="I45" s="55">
        <f>IF('Raw Data - financials'!I56="","",'Raw Data - financials'!I56)</f>
        <v>405.08</v>
      </c>
      <c r="K45" s="55">
        <f>IF('Raw Data - financials'!K56="","",'Raw Data - financials'!K56)</f>
        <v>381.2</v>
      </c>
      <c r="M45" s="55">
        <f>IF('Raw Data - financials'!M56="","",'Raw Data - financials'!M56)</f>
        <v>356</v>
      </c>
      <c r="O45" s="55">
        <f>IF('Raw Data - financials'!O56="","",'Raw Data - financials'!O56)</f>
        <v>4.88</v>
      </c>
      <c r="Q45" s="55">
        <f>IF('Raw Data - financials'!Q56="","",'Raw Data - financials'!Q56)</f>
        <v>4.9000000000000004</v>
      </c>
      <c r="S45" s="55">
        <f>IF('Raw Data - financials'!S56="","",'Raw Data - financials'!S56)</f>
        <v>1.6</v>
      </c>
      <c r="U45" s="55">
        <f>IF('Raw Data - financials'!U56="","",'Raw Data - financials'!U56)</f>
        <v>1.6</v>
      </c>
      <c r="W45" s="55">
        <f>IF('Raw Data - financials'!W56="","",'Raw Data - financials'!W56)</f>
        <v>1.6</v>
      </c>
      <c r="AB45" s="19"/>
      <c r="AC45" s="56">
        <f>IF('Raw Data - financials'!AC56="","",'Raw Data - financials'!AC56)</f>
        <v>32.299999999999997</v>
      </c>
      <c r="AD45" s="56">
        <f>IF('Raw Data - financials'!AD56="","",'Raw Data - financials'!AD56)</f>
        <v>38.03</v>
      </c>
      <c r="AE45" s="56">
        <f>IF('Raw Data - financials'!AE56="","",'Raw Data - financials'!AE56)</f>
        <v>13.19</v>
      </c>
      <c r="AF45" s="56">
        <f>IF('Raw Data - financials'!AF56="","",'Raw Data - financials'!AF56)</f>
        <v>0</v>
      </c>
      <c r="AG45" s="56">
        <f>IF('Raw Data - financials'!AG56="","",'Raw Data - financials'!AG56)</f>
        <v>381.2</v>
      </c>
      <c r="AH45" s="56">
        <f>IF('Raw Data - financials'!AH56="","",'Raw Data - financials'!AH56)</f>
        <v>4.88</v>
      </c>
      <c r="AI45" s="56">
        <f>IF('Raw Data - financials'!AI56="","",'Raw Data - financials'!AI56)</f>
        <v>1.6</v>
      </c>
      <c r="AJ45" s="56">
        <f>IF('Raw Data - financials'!AJ56="","",'Raw Data - financials'!AJ56)</f>
        <v>1.6</v>
      </c>
      <c r="AK45" s="56">
        <f>IF(Projections!AK146="","",Projections!AK146)</f>
        <v>1.6</v>
      </c>
      <c r="AL45" s="56">
        <f>IF(Projections!AL146="","",Projections!AL146)</f>
        <v>1.6</v>
      </c>
      <c r="AM45" s="56">
        <f>IF(Projections!AM146="","",Projections!AM146)</f>
        <v>1.6</v>
      </c>
      <c r="AN45" s="56">
        <f>IF(Projections!AN146="","",Projections!AN146)</f>
        <v>1.6</v>
      </c>
    </row>
    <row r="46" spans="1:40" outlineLevel="1" x14ac:dyDescent="0.3">
      <c r="A46" s="20" t="s">
        <v>83</v>
      </c>
      <c r="B46" s="17" t="s">
        <v>214</v>
      </c>
      <c r="E46" s="55" t="str">
        <f>IF('Raw Data - financials'!E57="","",'Raw Data - financials'!E57)</f>
        <v/>
      </c>
      <c r="G46" s="55">
        <f>IF('Raw Data - financials'!G57="","",'Raw Data - financials'!G57)</f>
        <v>0</v>
      </c>
      <c r="I46" s="55">
        <f>IF('Raw Data - financials'!I57="","",'Raw Data - financials'!I57)</f>
        <v>0</v>
      </c>
      <c r="K46" s="55">
        <f>IF('Raw Data - financials'!K57="","",'Raw Data - financials'!K57)</f>
        <v>0</v>
      </c>
      <c r="M46" s="55">
        <f>IF('Raw Data - financials'!M57="","",'Raw Data - financials'!M57)</f>
        <v>0</v>
      </c>
      <c r="O46" s="55">
        <f>IF('Raw Data - financials'!O57="","",'Raw Data - financials'!O57)</f>
        <v>0</v>
      </c>
      <c r="Q46" s="55">
        <f>IF('Raw Data - financials'!Q57="","",'Raw Data - financials'!Q57)</f>
        <v>0</v>
      </c>
      <c r="S46" s="55">
        <f>IF('Raw Data - financials'!S57="","",'Raw Data - financials'!S57)</f>
        <v>0</v>
      </c>
      <c r="U46" s="55">
        <f>IF('Raw Data - financials'!U57="","",'Raw Data - financials'!U57)</f>
        <v>0</v>
      </c>
      <c r="W46" s="55">
        <f>IF('Raw Data - financials'!W57="","",'Raw Data - financials'!W57)</f>
        <v>0</v>
      </c>
      <c r="AB46" s="19"/>
      <c r="AC46" s="56">
        <f>IF('Raw Data - financials'!AC57="","",'Raw Data - financials'!AC57)</f>
        <v>56.31</v>
      </c>
      <c r="AD46" s="56">
        <f>IF('Raw Data - financials'!AD57="","",'Raw Data - financials'!AD57)</f>
        <v>105.84</v>
      </c>
      <c r="AE46" s="56">
        <f>IF('Raw Data - financials'!AE57="","",'Raw Data - financials'!AE57)</f>
        <v>161.79</v>
      </c>
      <c r="AF46" s="56">
        <f>IF('Raw Data - financials'!AF57="","",'Raw Data - financials'!AF57)</f>
        <v>0</v>
      </c>
      <c r="AG46" s="56">
        <f>IF('Raw Data - financials'!AG57="","",'Raw Data - financials'!AG57)</f>
        <v>0</v>
      </c>
      <c r="AH46" s="56">
        <f>IF('Raw Data - financials'!AH57="","",'Raw Data - financials'!AH57)</f>
        <v>0</v>
      </c>
      <c r="AI46" s="56">
        <f>IF('Raw Data - financials'!AI57="","",'Raw Data - financials'!AI57)</f>
        <v>0</v>
      </c>
      <c r="AJ46" s="56">
        <f>IF('Raw Data - financials'!AJ57="","",'Raw Data - financials'!AJ57)</f>
        <v>0</v>
      </c>
      <c r="AK46" s="56">
        <f>IF(Projections!AK147="","",Projections!AK147)</f>
        <v>0</v>
      </c>
      <c r="AL46" s="56">
        <f>IF(Projections!AL147="","",Projections!AL147)</f>
        <v>0</v>
      </c>
      <c r="AM46" s="56">
        <f>IF(Projections!AM147="","",Projections!AM147)</f>
        <v>0</v>
      </c>
      <c r="AN46" s="56">
        <f>IF(Projections!AN147="","",Projections!AN147)</f>
        <v>0</v>
      </c>
    </row>
    <row r="47" spans="1:40" outlineLevel="1" x14ac:dyDescent="0.3">
      <c r="A47" s="20" t="s">
        <v>84</v>
      </c>
      <c r="B47" s="17" t="s">
        <v>214</v>
      </c>
      <c r="E47" s="55" t="str">
        <f>IF('Raw Data - financials'!E58="","",'Raw Data - financials'!E58)</f>
        <v/>
      </c>
      <c r="G47" s="55">
        <f>IF('Raw Data - financials'!G58="","",'Raw Data - financials'!G58)</f>
        <v>718.79</v>
      </c>
      <c r="I47" s="55">
        <f>IF('Raw Data - financials'!I58="","",'Raw Data - financials'!I58)</f>
        <v>889.82</v>
      </c>
      <c r="K47" s="55">
        <f>IF('Raw Data - financials'!K58="","",'Raw Data - financials'!K58)</f>
        <v>434.5</v>
      </c>
      <c r="M47" s="55">
        <f>IF('Raw Data - financials'!M58="","",'Raw Data - financials'!M58)</f>
        <v>417.87</v>
      </c>
      <c r="O47" s="55">
        <f>IF('Raw Data - financials'!O58="","",'Raw Data - financials'!O58)</f>
        <v>492.36</v>
      </c>
      <c r="Q47" s="55">
        <f>IF('Raw Data - financials'!Q58="","",'Raw Data - financials'!Q58)</f>
        <v>1153.7</v>
      </c>
      <c r="S47" s="55">
        <f>IF('Raw Data - financials'!S58="","",'Raw Data - financials'!S58)</f>
        <v>986.8</v>
      </c>
      <c r="U47" s="55">
        <f>IF('Raw Data - financials'!U58="","",'Raw Data - financials'!U58)</f>
        <v>593.9</v>
      </c>
      <c r="W47" s="55">
        <f>IF('Raw Data - financials'!W58="","",'Raw Data - financials'!W58)</f>
        <v>685.2</v>
      </c>
      <c r="AB47" s="19"/>
      <c r="AC47" s="56">
        <f>IF('Raw Data - financials'!AC58="","",'Raw Data - financials'!AC58)</f>
        <v>0</v>
      </c>
      <c r="AD47" s="56">
        <f>IF('Raw Data - financials'!AD58="","",'Raw Data - financials'!AD58)</f>
        <v>0</v>
      </c>
      <c r="AE47" s="56">
        <f>IF('Raw Data - financials'!AE58="","",'Raw Data - financials'!AE58)</f>
        <v>0</v>
      </c>
      <c r="AF47" s="56">
        <f>IF('Raw Data - financials'!AF58="","",'Raw Data - financials'!AF58)</f>
        <v>718.79</v>
      </c>
      <c r="AG47" s="56">
        <f>IF('Raw Data - financials'!AG58="","",'Raw Data - financials'!AG58)</f>
        <v>434.5</v>
      </c>
      <c r="AH47" s="56">
        <f>IF('Raw Data - financials'!AH58="","",'Raw Data - financials'!AH58)</f>
        <v>492.36</v>
      </c>
      <c r="AI47" s="56">
        <f>IF('Raw Data - financials'!AI58="","",'Raw Data - financials'!AI58)</f>
        <v>986.8</v>
      </c>
      <c r="AJ47" s="56">
        <f>IF('Raw Data - financials'!AJ58="","",'Raw Data - financials'!AJ58)</f>
        <v>685.2</v>
      </c>
      <c r="AK47" s="56">
        <f>IF(Projections!AK149="","",Projections!AK149)</f>
        <v>922.25915812297637</v>
      </c>
      <c r="AL47" s="56">
        <f>IF(Projections!AL149="","",Projections!AL149)</f>
        <v>1211.5737467103322</v>
      </c>
      <c r="AM47" s="56">
        <f>IF(Projections!AM149="","",Projections!AM149)</f>
        <v>1591.6846118128253</v>
      </c>
      <c r="AN47" s="56">
        <f>IF(Projections!AN149="","",Projections!AN149)</f>
        <v>2091.0990741532141</v>
      </c>
    </row>
    <row r="48" spans="1:40" outlineLevel="1" x14ac:dyDescent="0.3">
      <c r="A48" s="20" t="s">
        <v>85</v>
      </c>
      <c r="B48" s="17" t="s">
        <v>214</v>
      </c>
      <c r="E48" s="55" t="str">
        <f>IF('Raw Data - financials'!E59="","",'Raw Data - financials'!E59)</f>
        <v/>
      </c>
      <c r="G48" s="55">
        <f>IF('Raw Data - financials'!G59="","",'Raw Data - financials'!G59)</f>
        <v>1152.18</v>
      </c>
      <c r="I48" s="55">
        <f>IF('Raw Data - financials'!I59="","",'Raw Data - financials'!I59)</f>
        <v>1424.09</v>
      </c>
      <c r="K48" s="55">
        <f>IF('Raw Data - financials'!K59="","",'Raw Data - financials'!K59)</f>
        <v>1877.73</v>
      </c>
      <c r="M48" s="55">
        <f>IF('Raw Data - financials'!M59="","",'Raw Data - financials'!M59)</f>
        <v>2258.39</v>
      </c>
      <c r="O48" s="55">
        <f>IF('Raw Data - financials'!O59="","",'Raw Data - financials'!O59)</f>
        <v>2689.91</v>
      </c>
      <c r="Q48" s="55">
        <f>IF('Raw Data - financials'!Q59="","",'Raw Data - financials'!Q59)</f>
        <v>3173.5</v>
      </c>
      <c r="S48" s="55">
        <f>IF('Raw Data - financials'!S59="","",'Raw Data - financials'!S59)</f>
        <v>2579.5</v>
      </c>
      <c r="U48" s="55">
        <f>IF('Raw Data - financials'!U59="","",'Raw Data - financials'!U59)</f>
        <v>2550.5</v>
      </c>
      <c r="W48" s="55">
        <f>IF('Raw Data - financials'!W59="","",'Raw Data - financials'!W59)</f>
        <v>2687.8</v>
      </c>
      <c r="AB48" s="19"/>
      <c r="AC48" s="56">
        <f>IF('Raw Data - financials'!AC59="","",'Raw Data - financials'!AC59)</f>
        <v>501.48</v>
      </c>
      <c r="AD48" s="56">
        <f>IF('Raw Data - financials'!AD59="","",'Raw Data - financials'!AD59)</f>
        <v>506.11</v>
      </c>
      <c r="AE48" s="56">
        <f>IF('Raw Data - financials'!AE59="","",'Raw Data - financials'!AE59)</f>
        <v>780.41</v>
      </c>
      <c r="AF48" s="56">
        <f>IF('Raw Data - financials'!AF59="","",'Raw Data - financials'!AF59)</f>
        <v>1152.18</v>
      </c>
      <c r="AG48" s="56">
        <f>IF('Raw Data - financials'!AG59="","",'Raw Data - financials'!AG59)</f>
        <v>1877.73</v>
      </c>
      <c r="AH48" s="56">
        <f>IF('Raw Data - financials'!AH59="","",'Raw Data - financials'!AH59)</f>
        <v>2689.91</v>
      </c>
      <c r="AI48" s="56">
        <f>IF('Raw Data - financials'!AI59="","",'Raw Data - financials'!AI59)</f>
        <v>2579.5</v>
      </c>
      <c r="AJ48" s="56">
        <f>IF('Raw Data - financials'!AJ59="","",'Raw Data - financials'!AJ59)</f>
        <v>2687.8</v>
      </c>
      <c r="AK48" s="56">
        <f>IF(Projections!AK151="","",Projections!AK151)</f>
        <v>2687.8</v>
      </c>
      <c r="AL48" s="56">
        <f>IF(Projections!AL151="","",Projections!AL151)</f>
        <v>2687.8</v>
      </c>
      <c r="AM48" s="56">
        <f>IF(Projections!AM151="","",Projections!AM151)</f>
        <v>2687.8</v>
      </c>
      <c r="AN48" s="56">
        <f>IF(Projections!AN151="","",Projections!AN151)</f>
        <v>2687.8</v>
      </c>
    </row>
    <row r="49" spans="1:40" outlineLevel="1" x14ac:dyDescent="0.3">
      <c r="A49" s="20" t="s">
        <v>86</v>
      </c>
      <c r="B49" s="17" t="s">
        <v>214</v>
      </c>
      <c r="E49" s="55" t="str">
        <f>IF('Raw Data - financials'!E60="","",'Raw Data - financials'!E60)</f>
        <v/>
      </c>
      <c r="G49" s="55">
        <f>IF('Raw Data - financials'!G60="","",'Raw Data - financials'!G60)</f>
        <v>138.69999999999999</v>
      </c>
      <c r="I49" s="55">
        <f>IF('Raw Data - financials'!I60="","",'Raw Data - financials'!I60)</f>
        <v>187.28</v>
      </c>
      <c r="K49" s="55">
        <f>IF('Raw Data - financials'!K60="","",'Raw Data - financials'!K60)</f>
        <v>211.82</v>
      </c>
      <c r="M49" s="55">
        <f>IF('Raw Data - financials'!M60="","",'Raw Data - financials'!M60)</f>
        <v>352.36</v>
      </c>
      <c r="O49" s="55">
        <f>IF('Raw Data - financials'!O60="","",'Raw Data - financials'!O60)</f>
        <v>456.72</v>
      </c>
      <c r="Q49" s="55">
        <f>IF('Raw Data - financials'!Q60="","",'Raw Data - financials'!Q60)</f>
        <v>22.8</v>
      </c>
      <c r="S49" s="55">
        <f>IF('Raw Data - financials'!S60="","",'Raw Data - financials'!S60)</f>
        <v>639.5</v>
      </c>
      <c r="U49" s="55">
        <f>IF('Raw Data - financials'!U60="","",'Raw Data - financials'!U60)</f>
        <v>844.4</v>
      </c>
      <c r="W49" s="55">
        <f>IF('Raw Data - financials'!W60="","",'Raw Data - financials'!W60)</f>
        <v>622.6</v>
      </c>
      <c r="AB49" s="19"/>
      <c r="AC49" s="56">
        <f>IF('Raw Data - financials'!AC60="","",'Raw Data - financials'!AC60)</f>
        <v>110.46</v>
      </c>
      <c r="AD49" s="56">
        <f>IF('Raw Data - financials'!AD60="","",'Raw Data - financials'!AD60)</f>
        <v>110.45</v>
      </c>
      <c r="AE49" s="56">
        <f>IF('Raw Data - financials'!AE60="","",'Raw Data - financials'!AE60)</f>
        <v>85.63</v>
      </c>
      <c r="AF49" s="56">
        <f>IF('Raw Data - financials'!AF60="","",'Raw Data - financials'!AF60)</f>
        <v>138.69999999999999</v>
      </c>
      <c r="AG49" s="56">
        <f>IF('Raw Data - financials'!AG60="","",'Raw Data - financials'!AG60)</f>
        <v>211.82</v>
      </c>
      <c r="AH49" s="56">
        <f>IF('Raw Data - financials'!AH60="","",'Raw Data - financials'!AH60)</f>
        <v>456.72</v>
      </c>
      <c r="AI49" s="56">
        <f>IF('Raw Data - financials'!AI60="","",'Raw Data - financials'!AI60)</f>
        <v>639.5</v>
      </c>
      <c r="AJ49" s="56">
        <f>IF('Raw Data - financials'!AJ60="","",'Raw Data - financials'!AJ60)</f>
        <v>622.6</v>
      </c>
      <c r="AK49" s="56">
        <f>IF(Projections!AK152="","",Projections!AK152)</f>
        <v>622.6</v>
      </c>
      <c r="AL49" s="56">
        <f>IF(Projections!AL152="","",Projections!AL152)</f>
        <v>622.6</v>
      </c>
      <c r="AM49" s="56">
        <f>IF(Projections!AM152="","",Projections!AM152)</f>
        <v>622.6</v>
      </c>
      <c r="AN49" s="56">
        <f>IF(Projections!AN152="","",Projections!AN152)</f>
        <v>622.6</v>
      </c>
    </row>
    <row r="50" spans="1:40" outlineLevel="1" x14ac:dyDescent="0.3">
      <c r="A50" s="20" t="s">
        <v>87</v>
      </c>
      <c r="B50" s="17" t="s">
        <v>214</v>
      </c>
      <c r="E50" s="55" t="str">
        <f>IF('Raw Data - financials'!E61="","",'Raw Data - financials'!E61)</f>
        <v/>
      </c>
      <c r="G50" s="55">
        <f>IF('Raw Data - financials'!G61="","",'Raw Data - financials'!G61)</f>
        <v>102.69</v>
      </c>
      <c r="I50" s="55">
        <f>IF('Raw Data - financials'!I61="","",'Raw Data - financials'!I61)</f>
        <v>235.41</v>
      </c>
      <c r="K50" s="55">
        <f>IF('Raw Data - financials'!K61="","",'Raw Data - financials'!K61)</f>
        <v>241.6</v>
      </c>
      <c r="M50" s="55">
        <f>IF('Raw Data - financials'!M61="","",'Raw Data - financials'!M61)</f>
        <v>191.36</v>
      </c>
      <c r="O50" s="55">
        <f>IF('Raw Data - financials'!O61="","",'Raw Data - financials'!O61)</f>
        <v>115.36</v>
      </c>
      <c r="Q50" s="55">
        <f>IF('Raw Data - financials'!Q61="","",'Raw Data - financials'!Q61)</f>
        <v>82.9</v>
      </c>
      <c r="S50" s="55">
        <f>IF('Raw Data - financials'!S61="","",'Raw Data - financials'!S61)</f>
        <v>101.5</v>
      </c>
      <c r="U50" s="55">
        <f>IF('Raw Data - financials'!U61="","",'Raw Data - financials'!U61)</f>
        <v>51.8</v>
      </c>
      <c r="W50" s="55">
        <f>IF('Raw Data - financials'!W61="","",'Raw Data - financials'!W61)</f>
        <v>55.2</v>
      </c>
      <c r="AB50" s="19"/>
      <c r="AC50" s="56">
        <f>IF('Raw Data - financials'!AC61="","",'Raw Data - financials'!AC61)</f>
        <v>16.73</v>
      </c>
      <c r="AD50" s="56">
        <f>IF('Raw Data - financials'!AD61="","",'Raw Data - financials'!AD61)</f>
        <v>38.909999999999997</v>
      </c>
      <c r="AE50" s="56">
        <f>IF('Raw Data - financials'!AE61="","",'Raw Data - financials'!AE61)</f>
        <v>13.53</v>
      </c>
      <c r="AF50" s="56">
        <f>IF('Raw Data - financials'!AF61="","",'Raw Data - financials'!AF61)</f>
        <v>102.69</v>
      </c>
      <c r="AG50" s="56">
        <f>IF('Raw Data - financials'!AG61="","",'Raw Data - financials'!AG61)</f>
        <v>241.6</v>
      </c>
      <c r="AH50" s="56">
        <f>IF('Raw Data - financials'!AH61="","",'Raw Data - financials'!AH61)</f>
        <v>115.36</v>
      </c>
      <c r="AI50" s="56">
        <f>IF('Raw Data - financials'!AI61="","",'Raw Data - financials'!AI61)</f>
        <v>101.5</v>
      </c>
      <c r="AJ50" s="56">
        <f>IF('Raw Data - financials'!AJ61="","",'Raw Data - financials'!AJ61)</f>
        <v>55.2</v>
      </c>
      <c r="AK50" s="56">
        <f>IF(Projections!AK153="","",Projections!AK153)</f>
        <v>131.75130830328234</v>
      </c>
      <c r="AL50" s="56">
        <f>IF(Projections!AL153="","",Projections!AL153)</f>
        <v>173.08196381576172</v>
      </c>
      <c r="AM50" s="56">
        <f>IF(Projections!AM153="","",Projections!AM153)</f>
        <v>227.38351597326078</v>
      </c>
      <c r="AN50" s="56">
        <f>IF(Projections!AN153="","",Projections!AN153)</f>
        <v>298.72843916474488</v>
      </c>
    </row>
    <row r="51" spans="1:40" x14ac:dyDescent="0.3">
      <c r="A51" s="72" t="s">
        <v>88</v>
      </c>
      <c r="B51" s="17" t="s">
        <v>214</v>
      </c>
      <c r="E51" s="73" t="str">
        <f>IFERROR(E38+E39+E40+E41+E42+E43+E44+E45+E46+E47+E48+E49+E50,"")</f>
        <v/>
      </c>
      <c r="G51" s="73">
        <f>IFERROR(G38+G39+G40+G41+G42+G43+G44+G45+G46+G47+G48+G49+G50,"")</f>
        <v>7189.8200000000006</v>
      </c>
      <c r="I51" s="73">
        <f>IFERROR(I38+I39+I40+I41+I42+I43+I44+I45+I46+I47+I48+I49+I50,"")</f>
        <v>10733.340000000002</v>
      </c>
      <c r="K51" s="73">
        <f>IFERROR(K38+K39+K40+K41+K42+K43+K44+K45+K46+K47+K48+K49+K50,"")</f>
        <v>10443.799999999999</v>
      </c>
      <c r="M51" s="73">
        <f>IFERROR(M38+M39+M40+M41+M42+M43+M44+M45+M46+M47+M48+M49+M50,"")</f>
        <v>10542.410000000002</v>
      </c>
      <c r="O51" s="73">
        <f>IFERROR(O38+O39+O40+O41+O42+O43+O44+O45+O46+O47+O48+O49+O50,"")</f>
        <v>11076.8</v>
      </c>
      <c r="Q51" s="73">
        <f>IFERROR(Q38+Q39+Q40+Q41+Q42+Q43+Q44+Q45+Q46+Q47+Q48+Q49+Q50,"")</f>
        <v>11926.999999999998</v>
      </c>
      <c r="S51" s="73">
        <f>IFERROR(S38+S39+S40+S41+S42+S43+S44+S45+S46+S47+S48+S49+S50,"")</f>
        <v>13024.5</v>
      </c>
      <c r="U51" s="73">
        <f>IFERROR(U38+U39+U40+U41+U42+U43+U44+U45+U46+U47+U48+U49+U50,"")</f>
        <v>13288.699999999999</v>
      </c>
      <c r="W51" s="73">
        <f>IFERROR(W38+W39+W40+W41+W42+W43+W44+W45+W46+W47+W48+W49+W50,"")</f>
        <v>14224.400000000003</v>
      </c>
      <c r="AB51" s="19"/>
      <c r="AC51" s="60">
        <f t="shared" ref="AC51:AN51" si="13">IFERROR(AC38+AC39+AC40+AC41+AC42+AC43+AC44+AC45+AC46+AC47+AC48+AC49+AC50,"")</f>
        <v>2116.2999999999997</v>
      </c>
      <c r="AD51" s="60">
        <f t="shared" si="13"/>
        <v>3089.88</v>
      </c>
      <c r="AE51" s="60">
        <f t="shared" si="13"/>
        <v>3389.75</v>
      </c>
      <c r="AF51" s="60">
        <f t="shared" si="13"/>
        <v>7189.8200000000006</v>
      </c>
      <c r="AG51" s="60">
        <f t="shared" si="13"/>
        <v>10443.799999999999</v>
      </c>
      <c r="AH51" s="60">
        <f t="shared" si="13"/>
        <v>11076.8</v>
      </c>
      <c r="AI51" s="60">
        <f t="shared" si="13"/>
        <v>13024.5</v>
      </c>
      <c r="AJ51" s="60">
        <f t="shared" si="13"/>
        <v>14224.400000000003</v>
      </c>
      <c r="AK51" s="60">
        <f t="shared" si="13"/>
        <v>14538.01046642626</v>
      </c>
      <c r="AL51" s="60">
        <f t="shared" si="13"/>
        <v>14868.655710526094</v>
      </c>
      <c r="AM51" s="60">
        <f t="shared" si="13"/>
        <v>15303.068127786086</v>
      </c>
      <c r="AN51" s="60">
        <f t="shared" si="13"/>
        <v>15873.827513317958</v>
      </c>
    </row>
    <row r="52" spans="1:40" x14ac:dyDescent="0.3">
      <c r="AB52" s="19"/>
    </row>
    <row r="53" spans="1:40" x14ac:dyDescent="0.3">
      <c r="A53" s="9" t="s">
        <v>89</v>
      </c>
      <c r="B53" s="9"/>
      <c r="C53" s="9"/>
      <c r="D53" s="9"/>
      <c r="E53" s="9"/>
      <c r="F53" s="9"/>
      <c r="G53" s="9"/>
      <c r="H53" s="9"/>
      <c r="I53" s="9"/>
      <c r="J53" s="9"/>
      <c r="K53" s="9"/>
      <c r="L53" s="9"/>
      <c r="M53" s="9"/>
      <c r="N53" s="9"/>
      <c r="O53" s="9"/>
      <c r="P53" s="9"/>
      <c r="Q53" s="9"/>
      <c r="R53" s="9"/>
      <c r="S53" s="9"/>
      <c r="T53" s="9"/>
      <c r="U53" s="9"/>
      <c r="V53" s="9"/>
      <c r="W53" s="9"/>
      <c r="X53" s="9"/>
      <c r="Y53" s="9"/>
      <c r="Z53" s="9"/>
      <c r="AA53" s="9"/>
      <c r="AB53" s="46"/>
      <c r="AC53" s="9"/>
      <c r="AD53" s="9"/>
      <c r="AE53" s="9"/>
      <c r="AF53" s="9"/>
      <c r="AG53" s="9"/>
      <c r="AH53" s="9"/>
      <c r="AI53" s="9"/>
      <c r="AJ53" s="9"/>
      <c r="AK53" s="9"/>
      <c r="AL53" s="9"/>
      <c r="AM53" s="9"/>
      <c r="AN53" s="9"/>
    </row>
    <row r="54" spans="1:40" outlineLevel="1" x14ac:dyDescent="0.3">
      <c r="A54" s="20" t="s">
        <v>90</v>
      </c>
      <c r="B54" s="17" t="s">
        <v>214</v>
      </c>
      <c r="E54" s="55" t="str">
        <f>IF('Raw Data - financials'!E65="","",'Raw Data - financials'!E65)</f>
        <v/>
      </c>
      <c r="G54" s="55">
        <f>IF('Raw Data - financials'!G65="","",'Raw Data - financials'!G65)</f>
        <v>8756.2099999999991</v>
      </c>
      <c r="I54" s="55">
        <f>IF('Raw Data - financials'!I65="","",'Raw Data - financials'!I65)</f>
        <v>9332.3700000000008</v>
      </c>
      <c r="K54" s="55">
        <f>IF('Raw Data - financials'!K65="","",'Raw Data - financials'!K65)</f>
        <v>10051.4</v>
      </c>
      <c r="M54" s="55">
        <f>IF('Raw Data - financials'!M65="","",'Raw Data - financials'!M65)</f>
        <v>10937.07</v>
      </c>
      <c r="O54" s="55">
        <f>IF('Raw Data - financials'!O65="","",'Raw Data - financials'!O65)</f>
        <v>11920.46</v>
      </c>
      <c r="Q54" s="55">
        <f>IF('Raw Data - financials'!Q65="","",'Raw Data - financials'!Q65)</f>
        <v>14111</v>
      </c>
      <c r="S54" s="55">
        <f>IF('Raw Data - financials'!S65="","",'Raw Data - financials'!S65)</f>
        <v>14175.4</v>
      </c>
      <c r="U54" s="55">
        <f>IF('Raw Data - financials'!U65="","",'Raw Data - financials'!U65)</f>
        <v>15729.2</v>
      </c>
      <c r="W54" s="55">
        <f>IF('Raw Data - financials'!W65="","",'Raw Data - financials'!W65)</f>
        <v>16421.599999999999</v>
      </c>
      <c r="AB54" s="19"/>
      <c r="AC54" s="56">
        <f>IF('Raw Data - financials'!AC65="","",'Raw Data - financials'!AC65)</f>
        <v>2445.96</v>
      </c>
      <c r="AD54" s="56">
        <f>IF('Raw Data - financials'!AD65="","",'Raw Data - financials'!AD65)</f>
        <v>4453.3599999999997</v>
      </c>
      <c r="AE54" s="56">
        <f>IF('Raw Data - financials'!AE65="","",'Raw Data - financials'!AE65)</f>
        <v>4980.92</v>
      </c>
      <c r="AF54" s="56">
        <f>IF('Raw Data - financials'!AF65="","",'Raw Data - financials'!AF65)</f>
        <v>8756.2099999999991</v>
      </c>
      <c r="AG54" s="56">
        <f>IF('Raw Data - financials'!AG65="","",'Raw Data - financials'!AG65)</f>
        <v>10051.4</v>
      </c>
      <c r="AH54" s="56">
        <f>IF('Raw Data - financials'!AH65="","",'Raw Data - financials'!AH65)</f>
        <v>11920.46</v>
      </c>
      <c r="AI54" s="56">
        <f>IF('Raw Data - financials'!AI65="","",'Raw Data - financials'!AI65)</f>
        <v>14175.4</v>
      </c>
      <c r="AJ54" s="56">
        <f>IF('Raw Data - financials'!AJ65="","",'Raw Data - financials'!AJ65)</f>
        <v>16421.599999999999</v>
      </c>
      <c r="AK54" s="56">
        <f>IF(Projections!AK158="","",Projections!AK158)</f>
        <v>10460.692916792117</v>
      </c>
      <c r="AL54" s="56">
        <f>IF(Projections!AL158="","",Projections!AL158)</f>
        <v>13742.233729810343</v>
      </c>
      <c r="AM54" s="56">
        <f>IF(Projections!AM158="","",Projections!AM158)</f>
        <v>18053.628199739993</v>
      </c>
      <c r="AN54" s="56">
        <f>IF(Projections!AN158="","",Projections!AN158)</f>
        <v>23718.219635600843</v>
      </c>
    </row>
    <row r="55" spans="1:40" outlineLevel="1" x14ac:dyDescent="0.3">
      <c r="A55" s="20" t="s">
        <v>461</v>
      </c>
      <c r="B55" s="17" t="s">
        <v>214</v>
      </c>
      <c r="E55" s="55" t="str">
        <f>IF('Raw Data - financials'!E66="","",'Raw Data - financials'!E66)</f>
        <v/>
      </c>
      <c r="G55" s="55">
        <f>IF('Raw Data - financials'!G66="","",'Raw Data - financials'!G66)</f>
        <v>0</v>
      </c>
      <c r="I55" s="55">
        <f>IF('Raw Data - financials'!I66="","",'Raw Data - financials'!I66)</f>
        <v>0</v>
      </c>
      <c r="K55" s="55">
        <f>IF('Raw Data - financials'!K66="","",'Raw Data - financials'!K66)</f>
        <v>0</v>
      </c>
      <c r="M55" s="55">
        <f>IF('Raw Data - financials'!M66="","",'Raw Data - financials'!M66)</f>
        <v>0</v>
      </c>
      <c r="O55" s="55">
        <f>IF('Raw Data - financials'!O66="","",'Raw Data - financials'!O66)</f>
        <v>0</v>
      </c>
      <c r="Q55" s="55">
        <f>IF('Raw Data - financials'!Q66="","",'Raw Data - financials'!Q66)</f>
        <v>0</v>
      </c>
      <c r="S55" s="55">
        <f>IF('Raw Data - financials'!S66="","",'Raw Data - financials'!S66)</f>
        <v>0</v>
      </c>
      <c r="U55" s="55">
        <f>IF('Raw Data - financials'!U66="","",'Raw Data - financials'!U66)</f>
        <v>0</v>
      </c>
      <c r="W55" s="55">
        <f>IF('Raw Data - financials'!W66="","",'Raw Data - financials'!W66)</f>
        <v>0</v>
      </c>
      <c r="AB55" s="19"/>
      <c r="AC55" s="56">
        <f>IF('Raw Data - financials'!AC66="","",'Raw Data - financials'!AC66)</f>
        <v>1350.4</v>
      </c>
      <c r="AD55" s="56">
        <f>IF('Raw Data - financials'!AD66="","",'Raw Data - financials'!AD66)</f>
        <v>0</v>
      </c>
      <c r="AE55" s="56">
        <f>IF('Raw Data - financials'!AE66="","",'Raw Data - financials'!AE66)</f>
        <v>0</v>
      </c>
      <c r="AF55" s="56">
        <f>IF('Raw Data - financials'!AF66="","",'Raw Data - financials'!AF66)</f>
        <v>0</v>
      </c>
      <c r="AG55" s="56">
        <f>IF('Raw Data - financials'!AG66="","",'Raw Data - financials'!AG66)</f>
        <v>0</v>
      </c>
      <c r="AH55" s="56">
        <f>IF('Raw Data - financials'!AH66="","",'Raw Data - financials'!AH66)</f>
        <v>0</v>
      </c>
      <c r="AI55" s="56">
        <f>IF('Raw Data - financials'!AI66="","",'Raw Data - financials'!AI66)</f>
        <v>0</v>
      </c>
      <c r="AJ55" s="56">
        <f>IF('Raw Data - financials'!AJ66="","",'Raw Data - financials'!AJ66)</f>
        <v>0</v>
      </c>
      <c r="AK55" s="56">
        <f>IF(Projections!AK160="","",Projections!AK160)</f>
        <v>0</v>
      </c>
      <c r="AL55" s="56">
        <f>IF(Projections!AL160="","",Projections!AL160)</f>
        <v>0</v>
      </c>
      <c r="AM55" s="56">
        <f>IF(Projections!AM160="","",Projections!AM160)</f>
        <v>0</v>
      </c>
      <c r="AN55" s="56">
        <f>IF(Projections!AN160="","",Projections!AN160)</f>
        <v>0</v>
      </c>
    </row>
    <row r="56" spans="1:40" outlineLevel="1" x14ac:dyDescent="0.3">
      <c r="A56" s="20" t="s">
        <v>91</v>
      </c>
      <c r="B56" s="17" t="s">
        <v>214</v>
      </c>
      <c r="E56" s="55" t="str">
        <f>IF('Raw Data - financials'!E67="","",'Raw Data - financials'!E67)</f>
        <v/>
      </c>
      <c r="G56" s="55">
        <f>IF('Raw Data - financials'!G67="","",'Raw Data - financials'!G67)</f>
        <v>945.33</v>
      </c>
      <c r="I56" s="55">
        <f>IF('Raw Data - financials'!I67="","",'Raw Data - financials'!I67)</f>
        <v>1263.57</v>
      </c>
      <c r="K56" s="55">
        <f>IF('Raw Data - financials'!K67="","",'Raw Data - financials'!K67)</f>
        <v>1635.31</v>
      </c>
      <c r="M56" s="55">
        <f>IF('Raw Data - financials'!M67="","",'Raw Data - financials'!M67)</f>
        <v>1764.15</v>
      </c>
      <c r="O56" s="55">
        <f>IF('Raw Data - financials'!O67="","",'Raw Data - financials'!O67)</f>
        <v>2416</v>
      </c>
      <c r="Q56" s="55">
        <f>IF('Raw Data - financials'!Q67="","",'Raw Data - financials'!Q67)</f>
        <v>2547</v>
      </c>
      <c r="S56" s="55">
        <f>IF('Raw Data - financials'!S67="","",'Raw Data - financials'!S67)</f>
        <v>2466.1</v>
      </c>
      <c r="U56" s="55">
        <f>IF('Raw Data - financials'!U67="","",'Raw Data - financials'!U67)</f>
        <v>2588</v>
      </c>
      <c r="W56" s="55">
        <f>IF('Raw Data - financials'!W67="","",'Raw Data - financials'!W67)</f>
        <v>2893.8</v>
      </c>
      <c r="AB56" s="19"/>
      <c r="AC56" s="56">
        <f>IF('Raw Data - financials'!AC67="","",'Raw Data - financials'!AC67)</f>
        <v>579.24</v>
      </c>
      <c r="AD56" s="56">
        <f>IF('Raw Data - financials'!AD67="","",'Raw Data - financials'!AD67)</f>
        <v>984.32</v>
      </c>
      <c r="AE56" s="56">
        <f>IF('Raw Data - financials'!AE67="","",'Raw Data - financials'!AE67)</f>
        <v>766.35</v>
      </c>
      <c r="AF56" s="56">
        <f>IF('Raw Data - financials'!AF67="","",'Raw Data - financials'!AF67)</f>
        <v>945.33</v>
      </c>
      <c r="AG56" s="56">
        <f>IF('Raw Data - financials'!AG67="","",'Raw Data - financials'!AG67)</f>
        <v>1635.31</v>
      </c>
      <c r="AH56" s="56">
        <f>IF('Raw Data - financials'!AH67="","",'Raw Data - financials'!AH67)</f>
        <v>2416</v>
      </c>
      <c r="AI56" s="56">
        <f>IF('Raw Data - financials'!AI67="","",'Raw Data - financials'!AI67)</f>
        <v>2466.1</v>
      </c>
      <c r="AJ56" s="56">
        <f>IF('Raw Data - financials'!AJ67="","",'Raw Data - financials'!AJ67)</f>
        <v>2893.8</v>
      </c>
      <c r="AK56" s="56">
        <f>IF(Projections!AK161="","",Projections!AK161)</f>
        <v>5414.4373275321504</v>
      </c>
      <c r="AL56" s="56">
        <f>IF(Projections!AL161="","",Projections!AL161)</f>
        <v>7112.9574170860978</v>
      </c>
      <c r="AM56" s="56">
        <f>IF(Projections!AM161="","",Projections!AM161)</f>
        <v>9344.528053695647</v>
      </c>
      <c r="AN56" s="56">
        <f>IF(Projections!AN161="","",Projections!AN161)</f>
        <v>12276.511198551158</v>
      </c>
    </row>
    <row r="57" spans="1:40" outlineLevel="1" x14ac:dyDescent="0.3">
      <c r="A57" s="20" t="s">
        <v>92</v>
      </c>
      <c r="B57" s="17" t="s">
        <v>214</v>
      </c>
      <c r="E57" s="55" t="str">
        <f>IF('Raw Data - financials'!E68="","",'Raw Data - financials'!E68)</f>
        <v/>
      </c>
      <c r="G57" s="55">
        <f>IF('Raw Data - financials'!G68="","",'Raw Data - financials'!G68)</f>
        <v>658.9</v>
      </c>
      <c r="I57" s="55">
        <f>IF('Raw Data - financials'!I68="","",'Raw Data - financials'!I68)</f>
        <v>259.14</v>
      </c>
      <c r="K57" s="55">
        <f>IF('Raw Data - financials'!K68="","",'Raw Data - financials'!K68)</f>
        <v>413.76</v>
      </c>
      <c r="M57" s="55">
        <f>IF('Raw Data - financials'!M68="","",'Raw Data - financials'!M68)</f>
        <v>259.63</v>
      </c>
      <c r="O57" s="55">
        <f>IF('Raw Data - financials'!O68="","",'Raw Data - financials'!O68)</f>
        <v>757.77</v>
      </c>
      <c r="Q57" s="55">
        <f>IF('Raw Data - financials'!Q68="","",'Raw Data - financials'!Q68)</f>
        <v>836.7</v>
      </c>
      <c r="S57" s="55">
        <f>IF('Raw Data - financials'!S68="","",'Raw Data - financials'!S68)</f>
        <v>1249.4000000000001</v>
      </c>
      <c r="U57" s="55">
        <f>IF('Raw Data - financials'!U68="","",'Raw Data - financials'!U68)</f>
        <v>1125.7</v>
      </c>
      <c r="W57" s="55">
        <f>IF('Raw Data - financials'!W68="","",'Raw Data - financials'!W68)</f>
        <v>1772</v>
      </c>
      <c r="AB57" s="19"/>
      <c r="AC57" s="56">
        <f>IF('Raw Data - financials'!AC68="","",'Raw Data - financials'!AC68)</f>
        <v>114.1</v>
      </c>
      <c r="AD57" s="56">
        <f>IF('Raw Data - financials'!AD68="","",'Raw Data - financials'!AD68)</f>
        <v>1011.91</v>
      </c>
      <c r="AE57" s="56">
        <f>IF('Raw Data - financials'!AE68="","",'Raw Data - financials'!AE68)</f>
        <v>835.82</v>
      </c>
      <c r="AF57" s="56">
        <f>IF('Raw Data - financials'!AF68="","",'Raw Data - financials'!AF68)</f>
        <v>658.9</v>
      </c>
      <c r="AG57" s="56">
        <f>IF('Raw Data - financials'!AG68="","",'Raw Data - financials'!AG68)</f>
        <v>413.76</v>
      </c>
      <c r="AH57" s="56">
        <f>IF('Raw Data - financials'!AH68="","",'Raw Data - financials'!AH68)</f>
        <v>757.77</v>
      </c>
      <c r="AI57" s="56">
        <f>IF('Raw Data - financials'!AI68="","",'Raw Data - financials'!AI68)</f>
        <v>1249.4000000000001</v>
      </c>
      <c r="AJ57" s="56">
        <f>IF('Raw Data - financials'!AJ68="","",'Raw Data - financials'!AJ68)</f>
        <v>1772</v>
      </c>
      <c r="AK57" s="56">
        <f>IF(Projections!AK163="","",Projections!AK163)</f>
        <v>16047.155490501029</v>
      </c>
      <c r="AL57" s="56">
        <f>IF(Projections!AL163="","",Projections!AL163)</f>
        <v>20126.712125324175</v>
      </c>
      <c r="AM57" s="56">
        <f>IF(Projections!AM163="","",Projections!AM163)</f>
        <v>25458.874751375472</v>
      </c>
      <c r="AN57" s="56">
        <f>IF(Projections!AN163="","",Projections!AN163)</f>
        <v>32427.753001284007</v>
      </c>
    </row>
    <row r="58" spans="1:40" outlineLevel="1" x14ac:dyDescent="0.3">
      <c r="A58" s="20" t="s">
        <v>93</v>
      </c>
      <c r="B58" s="17" t="s">
        <v>214</v>
      </c>
      <c r="C58" s="17" t="s">
        <v>462</v>
      </c>
      <c r="E58" s="55" t="str">
        <f>IF('Raw Data - financials'!E69="","",'Raw Data - financials'!E69)</f>
        <v/>
      </c>
      <c r="G58" s="55">
        <f>IF('Raw Data - financials'!G69="","",'Raw Data - financials'!G69)</f>
        <v>2011.53</v>
      </c>
      <c r="I58" s="55">
        <f>IF('Raw Data - financials'!I69="","",'Raw Data - financials'!I69)</f>
        <v>1353.82</v>
      </c>
      <c r="K58" s="55">
        <f>IF('Raw Data - financials'!K69="","",'Raw Data - financials'!K69)</f>
        <v>1073.6400000000001</v>
      </c>
      <c r="M58" s="55">
        <f>IF('Raw Data - financials'!M69="","",'Raw Data - financials'!M69)</f>
        <v>1193.95</v>
      </c>
      <c r="O58" s="55">
        <f>IF('Raw Data - financials'!O69="","",'Raw Data - financials'!O69)</f>
        <v>1640.81</v>
      </c>
      <c r="Q58" s="55">
        <f>IF('Raw Data - financials'!Q69="","",'Raw Data - financials'!Q69)</f>
        <v>1110.9000000000001</v>
      </c>
      <c r="S58" s="55">
        <f>IF('Raw Data - financials'!S69="","",'Raw Data - financials'!S69)</f>
        <v>922.1</v>
      </c>
      <c r="U58" s="55">
        <f>IF('Raw Data - financials'!U69="","",'Raw Data - financials'!U69)</f>
        <v>1011</v>
      </c>
      <c r="W58" s="55">
        <f>IF('Raw Data - financials'!W69="","",'Raw Data - financials'!W69)</f>
        <v>1428.3</v>
      </c>
      <c r="AB58" s="19"/>
      <c r="AC58" s="56">
        <f>IF('Raw Data - financials'!AC69="","",'Raw Data - financials'!AC69)</f>
        <v>5.34</v>
      </c>
      <c r="AD58" s="56">
        <f>IF('Raw Data - financials'!AD69="","",'Raw Data - financials'!AD69)</f>
        <v>744.28</v>
      </c>
      <c r="AE58" s="56">
        <f>IF('Raw Data - financials'!AE69="","",'Raw Data - financials'!AE69)</f>
        <v>1640.88</v>
      </c>
      <c r="AF58" s="56">
        <f>IF('Raw Data - financials'!AF69="","",'Raw Data - financials'!AF69)</f>
        <v>2011.53</v>
      </c>
      <c r="AG58" s="56">
        <f>IF('Raw Data - financials'!AG69="","",'Raw Data - financials'!AG69)</f>
        <v>1073.6400000000001</v>
      </c>
      <c r="AH58" s="56">
        <f>IF('Raw Data - financials'!AH69="","",'Raw Data - financials'!AH69)</f>
        <v>1640.81</v>
      </c>
      <c r="AI58" s="56">
        <f>IF('Raw Data - financials'!AI69="","",'Raw Data - financials'!AI69)</f>
        <v>922.1</v>
      </c>
      <c r="AJ58" s="56">
        <f>IF('Raw Data - financials'!AJ69="","",'Raw Data - financials'!AJ69)</f>
        <v>1428.3</v>
      </c>
      <c r="AK58" s="56">
        <f>IF(Projections!AK164="","",Projections!AK164)</f>
        <v>1428.3</v>
      </c>
      <c r="AL58" s="56">
        <f>IF(Projections!AL164="","",Projections!AL164)</f>
        <v>1428.3</v>
      </c>
      <c r="AM58" s="56">
        <f>IF(Projections!AM164="","",Projections!AM164)</f>
        <v>1428.3</v>
      </c>
      <c r="AN58" s="56">
        <f>IF(Projections!AN164="","",Projections!AN164)</f>
        <v>1428.3</v>
      </c>
    </row>
    <row r="59" spans="1:40" outlineLevel="1" x14ac:dyDescent="0.3">
      <c r="A59" s="20" t="s">
        <v>463</v>
      </c>
      <c r="B59" s="17" t="s">
        <v>214</v>
      </c>
      <c r="E59" s="55" t="str">
        <f>IF('Raw Data - financials'!E70="","",'Raw Data - financials'!E70)</f>
        <v/>
      </c>
      <c r="G59" s="55">
        <f>IF('Raw Data - financials'!G70="","",'Raw Data - financials'!G70)</f>
        <v>0</v>
      </c>
      <c r="I59" s="55">
        <f>IF('Raw Data - financials'!I70="","",'Raw Data - financials'!I70)</f>
        <v>0</v>
      </c>
      <c r="K59" s="55">
        <f>IF('Raw Data - financials'!K70="","",'Raw Data - financials'!K70)</f>
        <v>0</v>
      </c>
      <c r="M59" s="55">
        <f>IF('Raw Data - financials'!M70="","",'Raw Data - financials'!M70)</f>
        <v>0</v>
      </c>
      <c r="O59" s="55">
        <f>IF('Raw Data - financials'!O70="","",'Raw Data - financials'!O70)</f>
        <v>0</v>
      </c>
      <c r="Q59" s="55">
        <f>IF('Raw Data - financials'!Q70="","",'Raw Data - financials'!Q70)</f>
        <v>0</v>
      </c>
      <c r="S59" s="55">
        <f>IF('Raw Data - financials'!S70="","",'Raw Data - financials'!S70)</f>
        <v>0</v>
      </c>
      <c r="U59" s="55">
        <f>IF('Raw Data - financials'!U70="","",'Raw Data - financials'!U70)</f>
        <v>0</v>
      </c>
      <c r="W59" s="55">
        <f>IF('Raw Data - financials'!W70="","",'Raw Data - financials'!W70)</f>
        <v>0</v>
      </c>
      <c r="AB59" s="19"/>
      <c r="AC59" s="56">
        <f>IF('Raw Data - financials'!AC70="","",'Raw Data - financials'!AC70)</f>
        <v>48.19</v>
      </c>
      <c r="AD59" s="56">
        <f>IF('Raw Data - financials'!AD70="","",'Raw Data - financials'!AD70)</f>
        <v>74.11</v>
      </c>
      <c r="AE59" s="56">
        <f>IF('Raw Data - financials'!AE70="","",'Raw Data - financials'!AE70)</f>
        <v>54.26</v>
      </c>
      <c r="AF59" s="56">
        <f>IF('Raw Data - financials'!AF70="","",'Raw Data - financials'!AF70)</f>
        <v>0</v>
      </c>
      <c r="AG59" s="56">
        <f>IF('Raw Data - financials'!AG70="","",'Raw Data - financials'!AG70)</f>
        <v>0</v>
      </c>
      <c r="AH59" s="56">
        <f>IF('Raw Data - financials'!AH70="","",'Raw Data - financials'!AH70)</f>
        <v>0</v>
      </c>
      <c r="AI59" s="56">
        <f>IF('Raw Data - financials'!AI70="","",'Raw Data - financials'!AI70)</f>
        <v>0</v>
      </c>
      <c r="AJ59" s="56">
        <f>IF('Raw Data - financials'!AJ70="","",'Raw Data - financials'!AJ70)</f>
        <v>0</v>
      </c>
      <c r="AK59" s="56">
        <f>IF(Projections!AK165="","",Projections!AK165)</f>
        <v>0</v>
      </c>
      <c r="AL59" s="56">
        <f>IF(Projections!AL165="","",Projections!AL165)</f>
        <v>0</v>
      </c>
      <c r="AM59" s="56">
        <f>IF(Projections!AM165="","",Projections!AM165)</f>
        <v>0</v>
      </c>
      <c r="AN59" s="56">
        <f>IF(Projections!AN165="","",Projections!AN165)</f>
        <v>0</v>
      </c>
    </row>
    <row r="60" spans="1:40" outlineLevel="1" x14ac:dyDescent="0.3">
      <c r="A60" s="20" t="s">
        <v>94</v>
      </c>
      <c r="B60" s="17" t="s">
        <v>214</v>
      </c>
      <c r="E60" s="55" t="str">
        <f>IF('Raw Data - financials'!E71="","",'Raw Data - financials'!E71)</f>
        <v/>
      </c>
      <c r="G60" s="55">
        <f>IF('Raw Data - financials'!G71="","",'Raw Data - financials'!G71)</f>
        <v>4878.78</v>
      </c>
      <c r="I60" s="55">
        <f>IF('Raw Data - financials'!I71="","",'Raw Data - financials'!I71)</f>
        <v>2552.4499999999998</v>
      </c>
      <c r="K60" s="55">
        <f>IF('Raw Data - financials'!K71="","",'Raw Data - financials'!K71)</f>
        <v>2644.86</v>
      </c>
      <c r="M60" s="55">
        <f>IF('Raw Data - financials'!M71="","",'Raw Data - financials'!M71)</f>
        <v>2723.34</v>
      </c>
      <c r="O60" s="55">
        <f>IF('Raw Data - financials'!O71="","",'Raw Data - financials'!O71)</f>
        <v>1833.22</v>
      </c>
      <c r="Q60" s="55">
        <f>IF('Raw Data - financials'!Q71="","",'Raw Data - financials'!Q71)</f>
        <v>1729.5</v>
      </c>
      <c r="S60" s="55">
        <f>IF('Raw Data - financials'!S71="","",'Raw Data - financials'!S71)</f>
        <v>2693</v>
      </c>
      <c r="U60" s="55">
        <f>IF('Raw Data - financials'!U71="","",'Raw Data - financials'!U71)</f>
        <v>3192.8</v>
      </c>
      <c r="W60" s="55">
        <f>IF('Raw Data - financials'!W71="","",'Raw Data - financials'!W71)</f>
        <v>3122.5</v>
      </c>
      <c r="AB60" s="19"/>
      <c r="AC60" s="56">
        <f>IF('Raw Data - financials'!AC71="","",'Raw Data - financials'!AC71)</f>
        <v>466.83</v>
      </c>
      <c r="AD60" s="56">
        <f>IF('Raw Data - financials'!AD71="","",'Raw Data - financials'!AD71)</f>
        <v>258.99</v>
      </c>
      <c r="AE60" s="56">
        <f>IF('Raw Data - financials'!AE71="","",'Raw Data - financials'!AE71)</f>
        <v>520.12</v>
      </c>
      <c r="AF60" s="56">
        <f>IF('Raw Data - financials'!AF71="","",'Raw Data - financials'!AF71)</f>
        <v>4878.78</v>
      </c>
      <c r="AG60" s="56">
        <f>IF('Raw Data - financials'!AG71="","",'Raw Data - financials'!AG71)</f>
        <v>2644.86</v>
      </c>
      <c r="AH60" s="56">
        <f>IF('Raw Data - financials'!AH71="","",'Raw Data - financials'!AH71)</f>
        <v>1833.22</v>
      </c>
      <c r="AI60" s="56">
        <f>IF('Raw Data - financials'!AI71="","",'Raw Data - financials'!AI71)</f>
        <v>2693</v>
      </c>
      <c r="AJ60" s="56">
        <f>IF('Raw Data - financials'!AJ71="","",'Raw Data - financials'!AJ71)</f>
        <v>3122.5</v>
      </c>
      <c r="AK60" s="56">
        <f>IF(Projections!AK167="","",Projections!AK167)</f>
        <v>4084.2905574017523</v>
      </c>
      <c r="AL60" s="56">
        <f>IF(Projections!AL167="","",Projections!AL167)</f>
        <v>5365.5408782886134</v>
      </c>
      <c r="AM60" s="56">
        <f>IF(Projections!AM167="","",Projections!AM167)</f>
        <v>7048.8889951710835</v>
      </c>
      <c r="AN60" s="56">
        <f>IF(Projections!AN167="","",Projections!AN167)</f>
        <v>9260.58161410709</v>
      </c>
    </row>
    <row r="61" spans="1:40" outlineLevel="1" x14ac:dyDescent="0.3">
      <c r="A61" s="20" t="s">
        <v>95</v>
      </c>
      <c r="B61" s="17" t="s">
        <v>214</v>
      </c>
      <c r="E61" s="55" t="str">
        <f>IF('Raw Data - financials'!E72="","",'Raw Data - financials'!E72)</f>
        <v/>
      </c>
      <c r="G61" s="55">
        <f>IF('Raw Data - financials'!G72="","",'Raw Data - financials'!G72)</f>
        <v>2019.78</v>
      </c>
      <c r="I61" s="55">
        <f>IF('Raw Data - financials'!I72="","",'Raw Data - financials'!I72)</f>
        <v>3369.24</v>
      </c>
      <c r="K61" s="55">
        <f>IF('Raw Data - financials'!K72="","",'Raw Data - financials'!K72)</f>
        <v>3237.01</v>
      </c>
      <c r="M61" s="55">
        <f>IF('Raw Data - financials'!M72="","",'Raw Data - financials'!M72)</f>
        <v>3938.04</v>
      </c>
      <c r="O61" s="55">
        <f>IF('Raw Data - financials'!O72="","",'Raw Data - financials'!O72)</f>
        <v>4361.2</v>
      </c>
      <c r="Q61" s="55">
        <f>IF('Raw Data - financials'!Q72="","",'Raw Data - financials'!Q72)</f>
        <v>4972.1000000000004</v>
      </c>
      <c r="S61" s="55">
        <f>IF('Raw Data - financials'!S72="","",'Raw Data - financials'!S72)</f>
        <v>5264.8</v>
      </c>
      <c r="U61" s="55">
        <f>IF('Raw Data - financials'!U72="","",'Raw Data - financials'!U72)</f>
        <v>6388.6</v>
      </c>
      <c r="W61" s="55">
        <f>IF('Raw Data - financials'!W72="","",'Raw Data - financials'!W72)</f>
        <v>6251.2</v>
      </c>
      <c r="AB61" s="19"/>
      <c r="AC61" s="56">
        <f>IF('Raw Data - financials'!AC72="","",'Raw Data - financials'!AC72)</f>
        <v>630.21</v>
      </c>
      <c r="AD61" s="56">
        <f>IF('Raw Data - financials'!AD72="","",'Raw Data - financials'!AD72)</f>
        <v>627.97</v>
      </c>
      <c r="AE61" s="56">
        <f>IF('Raw Data - financials'!AE72="","",'Raw Data - financials'!AE72)</f>
        <v>831.8</v>
      </c>
      <c r="AF61" s="56">
        <f>IF('Raw Data - financials'!AF72="","",'Raw Data - financials'!AF72)</f>
        <v>2019.78</v>
      </c>
      <c r="AG61" s="56">
        <f>IF('Raw Data - financials'!AG72="","",'Raw Data - financials'!AG72)</f>
        <v>3237.01</v>
      </c>
      <c r="AH61" s="56">
        <f>IF('Raw Data - financials'!AH72="","",'Raw Data - financials'!AH72)</f>
        <v>4361.2</v>
      </c>
      <c r="AI61" s="56">
        <f>IF('Raw Data - financials'!AI72="","",'Raw Data - financials'!AI72)</f>
        <v>5264.8</v>
      </c>
      <c r="AJ61" s="56">
        <f>IF('Raw Data - financials'!AJ72="","",'Raw Data - financials'!AJ72)</f>
        <v>6251.2</v>
      </c>
      <c r="AK61" s="56">
        <f>IF(Projections!AK169="","",Projections!AK169)</f>
        <v>8168.5811148035045</v>
      </c>
      <c r="AL61" s="56">
        <f>IF(Projections!AL169="","",Projections!AL169)</f>
        <v>10731.081756577227</v>
      </c>
      <c r="AM61" s="56">
        <f>IF(Projections!AM169="","",Projections!AM169)</f>
        <v>14097.777990342167</v>
      </c>
      <c r="AN61" s="56">
        <f>IF(Projections!AN169="","",Projections!AN169)</f>
        <v>18521.16322821418</v>
      </c>
    </row>
    <row r="62" spans="1:40" x14ac:dyDescent="0.3">
      <c r="A62" s="72" t="s">
        <v>96</v>
      </c>
      <c r="B62" s="17" t="s">
        <v>214</v>
      </c>
      <c r="E62" s="73" t="str">
        <f>IFERROR(E54+E55+E56+E57+E58+E59+E60+E61,"")</f>
        <v/>
      </c>
      <c r="G62" s="73">
        <f>IFERROR(G54+G55+G56+G57+G58+G59+G60+G61,"")</f>
        <v>19270.53</v>
      </c>
      <c r="I62" s="73">
        <f>IFERROR(I54+I55+I56+I57+I58+I59+I60+I61,"")</f>
        <v>18130.589999999997</v>
      </c>
      <c r="K62" s="73">
        <f>IFERROR(K54+K55+K56+K57+K58+K59+K60+K61,"")</f>
        <v>19055.98</v>
      </c>
      <c r="M62" s="73">
        <f>IFERROR(M54+M55+M56+M57+M58+M59+M60+M61,"")</f>
        <v>20816.18</v>
      </c>
      <c r="O62" s="73">
        <f>IFERROR(O54+O55+O56+O57+O58+O59+O60+O61,"")</f>
        <v>22929.460000000003</v>
      </c>
      <c r="Q62" s="73">
        <f>IFERROR(Q54+Q55+Q56+Q57+Q58+Q59+Q60+Q61,"")</f>
        <v>25307.200000000004</v>
      </c>
      <c r="S62" s="73">
        <f>IFERROR(S54+S55+S56+S57+S58+S59+S60+S61,"")</f>
        <v>26770.799999999999</v>
      </c>
      <c r="U62" s="73">
        <f>IFERROR(U54+U55+U56+U57+U58+U59+U60+U61,"")</f>
        <v>30035.300000000003</v>
      </c>
      <c r="W62" s="73">
        <f>IFERROR(W54+W55+W56+W57+W58+W59+W60+W61,"")</f>
        <v>31889.399999999998</v>
      </c>
      <c r="AB62" s="19"/>
      <c r="AC62" s="60">
        <f t="shared" ref="AC62:AN62" si="14">IFERROR(AC54+AC55+AC56+AC57+AC58+AC59+AC60+AC61,"")</f>
        <v>5640.27</v>
      </c>
      <c r="AD62" s="60">
        <f t="shared" si="14"/>
        <v>8154.9399999999987</v>
      </c>
      <c r="AE62" s="60">
        <f t="shared" si="14"/>
        <v>9630.1500000000015</v>
      </c>
      <c r="AF62" s="60">
        <f t="shared" si="14"/>
        <v>19270.53</v>
      </c>
      <c r="AG62" s="60">
        <f t="shared" si="14"/>
        <v>19055.98</v>
      </c>
      <c r="AH62" s="60">
        <f t="shared" si="14"/>
        <v>22929.460000000003</v>
      </c>
      <c r="AI62" s="60">
        <f t="shared" si="14"/>
        <v>26770.799999999999</v>
      </c>
      <c r="AJ62" s="60">
        <f t="shared" si="14"/>
        <v>31889.399999999998</v>
      </c>
      <c r="AK62" s="60">
        <f t="shared" si="14"/>
        <v>45603.457407030553</v>
      </c>
      <c r="AL62" s="60">
        <f t="shared" si="14"/>
        <v>58506.825907086459</v>
      </c>
      <c r="AM62" s="60">
        <f t="shared" si="14"/>
        <v>75431.997990324366</v>
      </c>
      <c r="AN62" s="60">
        <f t="shared" si="14"/>
        <v>97632.528677757262</v>
      </c>
    </row>
    <row r="63" spans="1:40" x14ac:dyDescent="0.3">
      <c r="AB63" s="19"/>
    </row>
    <row r="64" spans="1:40" x14ac:dyDescent="0.3">
      <c r="A64" s="72" t="s">
        <v>97</v>
      </c>
      <c r="B64" s="17" t="s">
        <v>214</v>
      </c>
      <c r="E64" s="73" t="str">
        <f>IFERROR(E51+E62,"")</f>
        <v/>
      </c>
      <c r="G64" s="73">
        <f>IFERROR(G51+G62,"")</f>
        <v>26460.35</v>
      </c>
      <c r="I64" s="73">
        <f>IFERROR(I51+I62,"")</f>
        <v>28863.93</v>
      </c>
      <c r="K64" s="73">
        <f>IFERROR(K51+K62,"")</f>
        <v>29499.78</v>
      </c>
      <c r="M64" s="73">
        <f>IFERROR(M51+M62,"")</f>
        <v>31358.590000000004</v>
      </c>
      <c r="O64" s="73">
        <f>IFERROR(O51+O62,"")</f>
        <v>34006.26</v>
      </c>
      <c r="Q64" s="73">
        <f>IFERROR(Q51+Q62,"")</f>
        <v>37234.200000000004</v>
      </c>
      <c r="S64" s="73">
        <f>IFERROR(S51+S62,"")</f>
        <v>39795.300000000003</v>
      </c>
      <c r="U64" s="73">
        <f>IFERROR(U51+U62,"")</f>
        <v>43324</v>
      </c>
      <c r="W64" s="73">
        <f>IFERROR(W51+W62,"")</f>
        <v>46113.8</v>
      </c>
      <c r="AB64" s="19"/>
      <c r="AC64" s="60">
        <f t="shared" ref="AC64:AN64" si="15">IFERROR(AC51+AC62,"")</f>
        <v>7756.57</v>
      </c>
      <c r="AD64" s="60">
        <f t="shared" si="15"/>
        <v>11244.82</v>
      </c>
      <c r="AE64" s="60">
        <f t="shared" si="15"/>
        <v>13019.900000000001</v>
      </c>
      <c r="AF64" s="60">
        <f t="shared" si="15"/>
        <v>26460.35</v>
      </c>
      <c r="AG64" s="60">
        <f t="shared" si="15"/>
        <v>29499.78</v>
      </c>
      <c r="AH64" s="60">
        <f t="shared" si="15"/>
        <v>34006.26</v>
      </c>
      <c r="AI64" s="60">
        <f t="shared" si="15"/>
        <v>39795.300000000003</v>
      </c>
      <c r="AJ64" s="60">
        <f t="shared" si="15"/>
        <v>46113.8</v>
      </c>
      <c r="AK64" s="60">
        <f t="shared" si="15"/>
        <v>60141.467873456815</v>
      </c>
      <c r="AL64" s="60">
        <f t="shared" si="15"/>
        <v>73375.481617612561</v>
      </c>
      <c r="AM64" s="60">
        <f t="shared" si="15"/>
        <v>90735.066118110451</v>
      </c>
      <c r="AN64" s="60">
        <f t="shared" si="15"/>
        <v>113506.35619107522</v>
      </c>
    </row>
    <row r="65" spans="1:40" x14ac:dyDescent="0.3">
      <c r="AB65" s="19"/>
    </row>
    <row r="66" spans="1:40" x14ac:dyDescent="0.3">
      <c r="A66" s="9" t="s">
        <v>98</v>
      </c>
      <c r="B66" s="9"/>
      <c r="C66" s="9"/>
      <c r="D66" s="9"/>
      <c r="E66" s="9"/>
      <c r="F66" s="9"/>
      <c r="G66" s="9"/>
      <c r="H66" s="9"/>
      <c r="I66" s="9"/>
      <c r="J66" s="9"/>
      <c r="K66" s="9"/>
      <c r="L66" s="9"/>
      <c r="M66" s="9"/>
      <c r="N66" s="9"/>
      <c r="O66" s="9"/>
      <c r="P66" s="9"/>
      <c r="Q66" s="9"/>
      <c r="R66" s="9"/>
      <c r="S66" s="9"/>
      <c r="T66" s="9"/>
      <c r="U66" s="9"/>
      <c r="V66" s="9"/>
      <c r="W66" s="9"/>
      <c r="X66" s="9"/>
      <c r="Y66" s="9"/>
      <c r="Z66" s="9"/>
      <c r="AA66" s="9"/>
      <c r="AB66" s="46"/>
      <c r="AC66" s="9"/>
      <c r="AD66" s="9"/>
      <c r="AE66" s="9"/>
      <c r="AF66" s="9"/>
      <c r="AG66" s="9"/>
      <c r="AH66" s="9"/>
      <c r="AI66" s="9"/>
      <c r="AJ66" s="9"/>
      <c r="AK66" s="9"/>
      <c r="AL66" s="9"/>
      <c r="AM66" s="9"/>
      <c r="AN66" s="9"/>
    </row>
    <row r="67" spans="1:40" x14ac:dyDescent="0.3">
      <c r="A67" s="9" t="s">
        <v>99</v>
      </c>
      <c r="B67" s="9"/>
      <c r="C67" s="9"/>
      <c r="D67" s="9"/>
      <c r="E67" s="9"/>
      <c r="F67" s="9"/>
      <c r="G67" s="9"/>
      <c r="H67" s="9"/>
      <c r="I67" s="9"/>
      <c r="J67" s="9"/>
      <c r="K67" s="9"/>
      <c r="L67" s="9"/>
      <c r="M67" s="9"/>
      <c r="N67" s="9"/>
      <c r="O67" s="9"/>
      <c r="P67" s="9"/>
      <c r="Q67" s="9"/>
      <c r="R67" s="9"/>
      <c r="S67" s="9"/>
      <c r="T67" s="9"/>
      <c r="U67" s="9"/>
      <c r="V67" s="9"/>
      <c r="W67" s="9"/>
      <c r="X67" s="9"/>
      <c r="Y67" s="9"/>
      <c r="Z67" s="9"/>
      <c r="AA67" s="9"/>
      <c r="AB67" s="46"/>
      <c r="AC67" s="9"/>
      <c r="AD67" s="9"/>
      <c r="AE67" s="9"/>
      <c r="AF67" s="9"/>
      <c r="AG67" s="9"/>
      <c r="AH67" s="9"/>
      <c r="AI67" s="9"/>
      <c r="AJ67" s="9"/>
      <c r="AK67" s="9"/>
      <c r="AL67" s="9"/>
      <c r="AM67" s="9"/>
      <c r="AN67" s="9"/>
    </row>
    <row r="68" spans="1:40" outlineLevel="1" x14ac:dyDescent="0.3">
      <c r="A68" s="20" t="s">
        <v>100</v>
      </c>
      <c r="B68" s="17" t="s">
        <v>214</v>
      </c>
      <c r="E68" s="55" t="str">
        <f>IF('Raw Data - financials'!E79="","",'Raw Data - financials'!E79)</f>
        <v/>
      </c>
      <c r="G68" s="55">
        <f>IF('Raw Data - financials'!G79="","",'Raw Data - financials'!G79)</f>
        <v>474.11</v>
      </c>
      <c r="I68" s="55">
        <f>IF('Raw Data - financials'!I79="","",'Raw Data - financials'!I79)</f>
        <v>474.55</v>
      </c>
      <c r="K68" s="55">
        <f>IF('Raw Data - financials'!K79="","",'Raw Data - financials'!K79)</f>
        <v>2852.45</v>
      </c>
      <c r="M68" s="55">
        <f>IF('Raw Data - financials'!M79="","",'Raw Data - financials'!M79)</f>
        <v>2853.73</v>
      </c>
      <c r="O68" s="55">
        <f>IF('Raw Data - financials'!O79="","",'Raw Data - financials'!O79)</f>
        <v>2855.99</v>
      </c>
      <c r="Q68" s="55">
        <f>IF('Raw Data - financials'!Q79="","",'Raw Data - financials'!Q79)</f>
        <v>2857.9</v>
      </c>
      <c r="S68" s="55">
        <f>IF('Raw Data - financials'!S79="","",'Raw Data - financials'!S79)</f>
        <v>2859.3</v>
      </c>
      <c r="U68" s="55">
        <f>IF('Raw Data - financials'!U79="","",'Raw Data - financials'!U79)</f>
        <v>2861.3</v>
      </c>
      <c r="W68" s="55">
        <f>IF('Raw Data - financials'!W79="","",'Raw Data - financials'!W79)</f>
        <v>2863.3</v>
      </c>
      <c r="AB68" s="19"/>
      <c r="AC68" s="56">
        <f>IF('Raw Data - financials'!AC79="","",'Raw Data - financials'!AC79)</f>
        <v>142.43</v>
      </c>
      <c r="AD68" s="56">
        <f>IF('Raw Data - financials'!AD79="","",'Raw Data - financials'!AD79)</f>
        <v>145.5</v>
      </c>
      <c r="AE68" s="56">
        <f>IF('Raw Data - financials'!AE79="","",'Raw Data - financials'!AE79)</f>
        <v>150.58000000000001</v>
      </c>
      <c r="AF68" s="56">
        <f>IF('Raw Data - financials'!AF79="","",'Raw Data - financials'!AF79)</f>
        <v>474.11</v>
      </c>
      <c r="AG68" s="56">
        <f>IF('Raw Data - financials'!AG79="","",'Raw Data - financials'!AG79)</f>
        <v>2852.45</v>
      </c>
      <c r="AH68" s="56">
        <f>IF('Raw Data - financials'!AH79="","",'Raw Data - financials'!AH79)</f>
        <v>2855.99</v>
      </c>
      <c r="AI68" s="56">
        <f>IF('Raw Data - financials'!AI79="","",'Raw Data - financials'!AI79)</f>
        <v>2859.3</v>
      </c>
      <c r="AJ68" s="56">
        <f>IF('Raw Data - financials'!AJ79="","",'Raw Data - financials'!AJ79)</f>
        <v>2863.3</v>
      </c>
      <c r="AK68" s="56">
        <f>IF(Projections!AK175="","",Projections!AK175)</f>
        <v>2863.3</v>
      </c>
      <c r="AL68" s="56">
        <f>IF(Projections!AL175="","",Projections!AL175)</f>
        <v>2863.3</v>
      </c>
      <c r="AM68" s="56">
        <f>IF(Projections!AM175="","",Projections!AM175)</f>
        <v>2863.3</v>
      </c>
      <c r="AN68" s="56">
        <f>IF(Projections!AN175="","",Projections!AN175)</f>
        <v>2863.3</v>
      </c>
    </row>
    <row r="69" spans="1:40" outlineLevel="1" x14ac:dyDescent="0.3">
      <c r="A69" s="20" t="s">
        <v>101</v>
      </c>
      <c r="B69" s="17" t="s">
        <v>214</v>
      </c>
      <c r="E69" s="55" t="str">
        <f>IF('Raw Data - financials'!E80="","",'Raw Data - financials'!E80)</f>
        <v/>
      </c>
      <c r="G69" s="55">
        <f>IF('Raw Data - financials'!G80="","",'Raw Data - financials'!G80)</f>
        <v>12924.89</v>
      </c>
      <c r="I69" s="55">
        <f>IF('Raw Data - financials'!I80="","",'Raw Data - financials'!I80)</f>
        <v>13138.2</v>
      </c>
      <c r="K69" s="55">
        <f>IF('Raw Data - financials'!K80="","",'Raw Data - financials'!K80)</f>
        <v>10927.65</v>
      </c>
      <c r="M69" s="55">
        <f>IF('Raw Data - financials'!M80="","",'Raw Data - financials'!M80)</f>
        <v>11059.05</v>
      </c>
      <c r="O69" s="55">
        <f>IF('Raw Data - financials'!O80="","",'Raw Data - financials'!O80)</f>
        <v>9766.34</v>
      </c>
      <c r="Q69" s="55">
        <f>IF('Raw Data - financials'!Q80="","",'Raw Data - financials'!Q80)</f>
        <v>10190</v>
      </c>
      <c r="S69" s="55">
        <f>IF('Raw Data - financials'!S80="","",'Raw Data - financials'!S80)</f>
        <v>10153.5</v>
      </c>
      <c r="U69" s="55">
        <f>IF('Raw Data - financials'!U80="","",'Raw Data - financials'!U80)</f>
        <v>11017.2</v>
      </c>
      <c r="W69" s="55">
        <f>IF('Raw Data - financials'!W80="","",'Raw Data - financials'!W80)</f>
        <v>11516.5</v>
      </c>
      <c r="AB69" s="19"/>
      <c r="AC69" s="56">
        <f>IF('Raw Data - financials'!AC80="","",'Raw Data - financials'!AC80)</f>
        <v>2163.15</v>
      </c>
      <c r="AD69" s="56">
        <f>IF('Raw Data - financials'!AD80="","",'Raw Data - financials'!AD80)</f>
        <v>3075.99</v>
      </c>
      <c r="AE69" s="56">
        <f>IF('Raw Data - financials'!AE80="","",'Raw Data - financials'!AE80)</f>
        <v>4748.8100000000004</v>
      </c>
      <c r="AF69" s="56">
        <f>IF('Raw Data - financials'!AF80="","",'Raw Data - financials'!AF80)</f>
        <v>12924.89</v>
      </c>
      <c r="AG69" s="56">
        <f>IF('Raw Data - financials'!AG80="","",'Raw Data - financials'!AG80)</f>
        <v>10927.65</v>
      </c>
      <c r="AH69" s="56">
        <f>IF('Raw Data - financials'!AH80="","",'Raw Data - financials'!AH80)</f>
        <v>9766.34</v>
      </c>
      <c r="AI69" s="56">
        <f>IF('Raw Data - financials'!AI80="","",'Raw Data - financials'!AI80)</f>
        <v>10153.5</v>
      </c>
      <c r="AJ69" s="56">
        <f>IF('Raw Data - financials'!AJ80="","",'Raw Data - financials'!AJ80)</f>
        <v>11516.5</v>
      </c>
      <c r="AK69" s="56">
        <f>IF(Projections!AK176="","",Projections!AK176)</f>
        <v>14691.013195860862</v>
      </c>
      <c r="AL69" s="56">
        <f>IF(Projections!AL176="","",Projections!AL176)</f>
        <v>18840.888562391548</v>
      </c>
      <c r="AM69" s="56">
        <f>IF(Projections!AM176="","",Projections!AM176)</f>
        <v>24265.438212798494</v>
      </c>
      <c r="AN69" s="56">
        <f>IF(Projections!AN176="","",Projections!AN176)</f>
        <v>31355.700564904022</v>
      </c>
    </row>
    <row r="70" spans="1:40" x14ac:dyDescent="0.3">
      <c r="A70" s="72" t="s">
        <v>102</v>
      </c>
      <c r="B70" s="17" t="s">
        <v>214</v>
      </c>
      <c r="E70" s="73" t="str">
        <f>IFERROR(E68+E69,"")</f>
        <v/>
      </c>
      <c r="G70" s="73">
        <f>IFERROR(G68+G69,"")</f>
        <v>13399</v>
      </c>
      <c r="I70" s="73">
        <f>IFERROR(I68+I69,"")</f>
        <v>13612.75</v>
      </c>
      <c r="K70" s="73">
        <f>IFERROR(K68+K69,"")</f>
        <v>13780.099999999999</v>
      </c>
      <c r="M70" s="73">
        <f>IFERROR(M68+M69,"")</f>
        <v>13912.779999999999</v>
      </c>
      <c r="O70" s="73">
        <f>IFERROR(O68+O69,"")</f>
        <v>12622.33</v>
      </c>
      <c r="Q70" s="73">
        <f>IFERROR(Q68+Q69,"")</f>
        <v>13047.9</v>
      </c>
      <c r="S70" s="73">
        <f>IFERROR(S68+S69,"")</f>
        <v>13012.8</v>
      </c>
      <c r="U70" s="73">
        <f>IFERROR(U68+U69,"")</f>
        <v>13878.5</v>
      </c>
      <c r="W70" s="73">
        <f>IFERROR(W68+W69,"")</f>
        <v>14379.8</v>
      </c>
      <c r="AB70" s="19"/>
      <c r="AC70" s="60">
        <f t="shared" ref="AC70:AN70" si="16">IFERROR(AC68+AC69,"")</f>
        <v>2305.58</v>
      </c>
      <c r="AD70" s="60">
        <f t="shared" si="16"/>
        <v>3221.49</v>
      </c>
      <c r="AE70" s="60">
        <f t="shared" si="16"/>
        <v>4899.3900000000003</v>
      </c>
      <c r="AF70" s="60">
        <f t="shared" si="16"/>
        <v>13399</v>
      </c>
      <c r="AG70" s="60">
        <f t="shared" si="16"/>
        <v>13780.099999999999</v>
      </c>
      <c r="AH70" s="60">
        <f t="shared" si="16"/>
        <v>12622.33</v>
      </c>
      <c r="AI70" s="60">
        <f t="shared" si="16"/>
        <v>13012.8</v>
      </c>
      <c r="AJ70" s="60">
        <f t="shared" si="16"/>
        <v>14379.8</v>
      </c>
      <c r="AK70" s="60">
        <f t="shared" si="16"/>
        <v>17554.313195860861</v>
      </c>
      <c r="AL70" s="60">
        <f t="shared" si="16"/>
        <v>21704.188562391548</v>
      </c>
      <c r="AM70" s="60">
        <f t="shared" si="16"/>
        <v>27128.738212798493</v>
      </c>
      <c r="AN70" s="60">
        <f t="shared" si="16"/>
        <v>34219.000564904025</v>
      </c>
    </row>
    <row r="71" spans="1:40" outlineLevel="1" x14ac:dyDescent="0.3">
      <c r="A71" s="20" t="s">
        <v>103</v>
      </c>
      <c r="B71" s="17" t="s">
        <v>214</v>
      </c>
      <c r="E71" s="55" t="str">
        <f>IF('Raw Data - financials'!E82="","",'Raw Data - financials'!E82)</f>
        <v/>
      </c>
      <c r="G71" s="55">
        <f>IF('Raw Data - financials'!G82="","",'Raw Data - financials'!G82)</f>
        <v>56.15</v>
      </c>
      <c r="I71" s="55">
        <f>IF('Raw Data - financials'!I82="","",'Raw Data - financials'!I82)</f>
        <v>95.09</v>
      </c>
      <c r="K71" s="55">
        <f>IF('Raw Data - financials'!K82="","",'Raw Data - financials'!K82)</f>
        <v>141.44999999999999</v>
      </c>
      <c r="M71" s="55">
        <f>IF('Raw Data - financials'!M82="","",'Raw Data - financials'!M82)</f>
        <v>182.6</v>
      </c>
      <c r="O71" s="55">
        <f>IF('Raw Data - financials'!O82="","",'Raw Data - financials'!O82)</f>
        <v>188.11</v>
      </c>
      <c r="Q71" s="55">
        <f>IF('Raw Data - financials'!Q82="","",'Raw Data - financials'!Q82)</f>
        <v>287.8</v>
      </c>
      <c r="S71" s="55">
        <f>IF('Raw Data - financials'!S82="","",'Raw Data - financials'!S82)</f>
        <v>413.8</v>
      </c>
      <c r="U71" s="55">
        <f>IF('Raw Data - financials'!U82="","",'Raw Data - financials'!U82)</f>
        <v>515.79999999999995</v>
      </c>
      <c r="W71" s="55">
        <f>IF('Raw Data - financials'!W82="","",'Raw Data - financials'!W82)</f>
        <v>641.20000000000005</v>
      </c>
      <c r="AB71" s="19"/>
      <c r="AC71" s="56">
        <f>IF('Raw Data - financials'!AC82="","",'Raw Data - financials'!AC82)</f>
        <v>4.6900000000000004</v>
      </c>
      <c r="AD71" s="56">
        <f>IF('Raw Data - financials'!AD82="","",'Raw Data - financials'!AD82)</f>
        <v>7.38</v>
      </c>
      <c r="AE71" s="56">
        <f>IF('Raw Data - financials'!AE82="","",'Raw Data - financials'!AE82)</f>
        <v>8.36</v>
      </c>
      <c r="AF71" s="56">
        <f>IF('Raw Data - financials'!AF82="","",'Raw Data - financials'!AF82)</f>
        <v>56.15</v>
      </c>
      <c r="AG71" s="56">
        <f>IF('Raw Data - financials'!AG82="","",'Raw Data - financials'!AG82)</f>
        <v>141.44999999999999</v>
      </c>
      <c r="AH71" s="56">
        <f>IF('Raw Data - financials'!AH82="","",'Raw Data - financials'!AH82)</f>
        <v>188.11</v>
      </c>
      <c r="AI71" s="56">
        <f>IF('Raw Data - financials'!AI82="","",'Raw Data - financials'!AI82)</f>
        <v>413.8</v>
      </c>
      <c r="AJ71" s="56">
        <f>IF('Raw Data - financials'!AJ82="","",'Raw Data - financials'!AJ82)</f>
        <v>641.20000000000005</v>
      </c>
      <c r="AK71" s="56">
        <f>IF(Projections!AK179="","",Projections!AK179)</f>
        <v>641.20000000000005</v>
      </c>
      <c r="AL71" s="56">
        <f>IF(Projections!AL179="","",Projections!AL179)</f>
        <v>641.20000000000005</v>
      </c>
      <c r="AM71" s="56">
        <f>IF(Projections!AM179="","",Projections!AM179)</f>
        <v>641.20000000000005</v>
      </c>
      <c r="AN71" s="56">
        <f>IF(Projections!AN179="","",Projections!AN179)</f>
        <v>641.20000000000005</v>
      </c>
    </row>
    <row r="72" spans="1:40" x14ac:dyDescent="0.3">
      <c r="A72" s="72" t="s">
        <v>104</v>
      </c>
      <c r="B72" s="17" t="s">
        <v>214</v>
      </c>
      <c r="E72" s="73" t="str">
        <f>IFERROR(E70+E71,"")</f>
        <v/>
      </c>
      <c r="G72" s="73">
        <f>IFERROR(G70+G71,"")</f>
        <v>13455.15</v>
      </c>
      <c r="I72" s="73">
        <f>IFERROR(I70+I71,"")</f>
        <v>13707.84</v>
      </c>
      <c r="K72" s="73">
        <f>IFERROR(K70+K71,"")</f>
        <v>13921.55</v>
      </c>
      <c r="M72" s="73">
        <f>IFERROR(M70+M71,"")</f>
        <v>14095.38</v>
      </c>
      <c r="O72" s="73">
        <f>IFERROR(O70+O71,"")</f>
        <v>12810.44</v>
      </c>
      <c r="Q72" s="73">
        <f>IFERROR(Q70+Q71,"")</f>
        <v>13335.699999999999</v>
      </c>
      <c r="S72" s="73">
        <f>IFERROR(S70+S71,"")</f>
        <v>13426.599999999999</v>
      </c>
      <c r="U72" s="73">
        <f>IFERROR(U70+U71,"")</f>
        <v>14394.3</v>
      </c>
      <c r="W72" s="73">
        <f>IFERROR(W70+W71,"")</f>
        <v>15021</v>
      </c>
      <c r="AB72" s="19"/>
      <c r="AC72" s="60">
        <f t="shared" ref="AC72:AN72" si="17">IFERROR(AC70+AC71,"")</f>
        <v>2310.27</v>
      </c>
      <c r="AD72" s="60">
        <f t="shared" si="17"/>
        <v>3228.87</v>
      </c>
      <c r="AE72" s="60">
        <f t="shared" si="17"/>
        <v>4907.75</v>
      </c>
      <c r="AF72" s="60">
        <f t="shared" si="17"/>
        <v>13455.15</v>
      </c>
      <c r="AG72" s="60">
        <f t="shared" si="17"/>
        <v>13921.55</v>
      </c>
      <c r="AH72" s="60">
        <f t="shared" si="17"/>
        <v>12810.44</v>
      </c>
      <c r="AI72" s="60">
        <f t="shared" si="17"/>
        <v>13426.599999999999</v>
      </c>
      <c r="AJ72" s="60">
        <f t="shared" si="17"/>
        <v>15021</v>
      </c>
      <c r="AK72" s="60">
        <f t="shared" si="17"/>
        <v>18195.513195860862</v>
      </c>
      <c r="AL72" s="60">
        <f t="shared" si="17"/>
        <v>22345.388562391548</v>
      </c>
      <c r="AM72" s="60">
        <f t="shared" si="17"/>
        <v>27769.938212798494</v>
      </c>
      <c r="AN72" s="60">
        <f t="shared" si="17"/>
        <v>34860.200564904022</v>
      </c>
    </row>
    <row r="73" spans="1:40" x14ac:dyDescent="0.3">
      <c r="AB73" s="19"/>
    </row>
    <row r="74" spans="1:40" x14ac:dyDescent="0.3">
      <c r="A74" s="9" t="s">
        <v>105</v>
      </c>
      <c r="B74" s="9"/>
      <c r="C74" s="9"/>
      <c r="D74" s="9"/>
      <c r="E74" s="9"/>
      <c r="F74" s="9"/>
      <c r="G74" s="9"/>
      <c r="H74" s="9"/>
      <c r="I74" s="9"/>
      <c r="J74" s="9"/>
      <c r="K74" s="9"/>
      <c r="L74" s="9"/>
      <c r="M74" s="9"/>
      <c r="N74" s="9"/>
      <c r="O74" s="9"/>
      <c r="P74" s="9"/>
      <c r="Q74" s="9"/>
      <c r="R74" s="9"/>
      <c r="S74" s="9"/>
      <c r="T74" s="9"/>
      <c r="U74" s="9"/>
      <c r="V74" s="9"/>
      <c r="W74" s="9"/>
      <c r="X74" s="9"/>
      <c r="Y74" s="9"/>
      <c r="Z74" s="9"/>
      <c r="AA74" s="9"/>
      <c r="AB74" s="46"/>
      <c r="AC74" s="9"/>
      <c r="AD74" s="9"/>
      <c r="AE74" s="9"/>
      <c r="AF74" s="9"/>
      <c r="AG74" s="9"/>
      <c r="AH74" s="9"/>
      <c r="AI74" s="9"/>
      <c r="AJ74" s="9"/>
      <c r="AK74" s="9"/>
      <c r="AL74" s="9"/>
      <c r="AM74" s="9"/>
      <c r="AN74" s="9"/>
    </row>
    <row r="75" spans="1:40" outlineLevel="1" x14ac:dyDescent="0.3">
      <c r="A75" s="20" t="s">
        <v>106</v>
      </c>
      <c r="B75" s="17" t="s">
        <v>214</v>
      </c>
      <c r="E75" s="55" t="str">
        <f>IF('Raw Data - financials'!E86="","",'Raw Data - financials'!E86)</f>
        <v/>
      </c>
      <c r="G75" s="55">
        <f>IF('Raw Data - financials'!G86="","",'Raw Data - financials'!G86)</f>
        <v>9.2200000000000006</v>
      </c>
      <c r="I75" s="55">
        <f>IF('Raw Data - financials'!I86="","",'Raw Data - financials'!I86)</f>
        <v>6.53</v>
      </c>
      <c r="K75" s="55">
        <f>IF('Raw Data - financials'!K86="","",'Raw Data - financials'!K86)</f>
        <v>3.61</v>
      </c>
      <c r="M75" s="55">
        <f>IF('Raw Data - financials'!M86="","",'Raw Data - financials'!M86)</f>
        <v>0.47</v>
      </c>
      <c r="O75" s="55">
        <f>IF('Raw Data - financials'!O86="","",'Raw Data - financials'!O86)</f>
        <v>0</v>
      </c>
      <c r="Q75" s="55">
        <f>IF('Raw Data - financials'!Q86="","",'Raw Data - financials'!Q86)</f>
        <v>625</v>
      </c>
      <c r="S75" s="55">
        <f>IF('Raw Data - financials'!S86="","",'Raw Data - financials'!S86)</f>
        <v>1102.0999999999999</v>
      </c>
      <c r="U75" s="55">
        <f>IF('Raw Data - financials'!U86="","",'Raw Data - financials'!U86)</f>
        <v>327.39999999999998</v>
      </c>
      <c r="W75" s="55">
        <f>IF('Raw Data - financials'!W86="","",'Raw Data - financials'!W86)</f>
        <v>183.3</v>
      </c>
      <c r="AB75" s="19"/>
      <c r="AC75" s="56">
        <f>IF('Raw Data - financials'!AC86="","",'Raw Data - financials'!AC86)</f>
        <v>1.28</v>
      </c>
      <c r="AD75" s="56">
        <f>IF('Raw Data - financials'!AD86="","",'Raw Data - financials'!AD86)</f>
        <v>1.5</v>
      </c>
      <c r="AE75" s="56">
        <f>IF('Raw Data - financials'!AE86="","",'Raw Data - financials'!AE86)</f>
        <v>16.600000000000001</v>
      </c>
      <c r="AF75" s="56">
        <f>IF('Raw Data - financials'!AF86="","",'Raw Data - financials'!AF86)</f>
        <v>9.2200000000000006</v>
      </c>
      <c r="AG75" s="56">
        <f>IF('Raw Data - financials'!AG86="","",'Raw Data - financials'!AG86)</f>
        <v>3.61</v>
      </c>
      <c r="AH75" s="56">
        <f>IF('Raw Data - financials'!AH86="","",'Raw Data - financials'!AH86)</f>
        <v>0</v>
      </c>
      <c r="AI75" s="56">
        <f>IF('Raw Data - financials'!AI86="","",'Raw Data - financials'!AI86)</f>
        <v>1102.0999999999999</v>
      </c>
      <c r="AJ75" s="56">
        <f>IF('Raw Data - financials'!AJ86="","",'Raw Data - financials'!AJ86)</f>
        <v>183.3</v>
      </c>
      <c r="AK75" s="56">
        <f>IF(Projections!AK183="","",Projections!AK183)</f>
        <v>183.3</v>
      </c>
      <c r="AL75" s="56">
        <f>IF(Projections!AL183="","",Projections!AL183)</f>
        <v>183.3</v>
      </c>
      <c r="AM75" s="56">
        <f>IF(Projections!AM183="","",Projections!AM183)</f>
        <v>183.3</v>
      </c>
      <c r="AN75" s="56">
        <f>IF(Projections!AN183="","",Projections!AN183)</f>
        <v>183.3</v>
      </c>
    </row>
    <row r="76" spans="1:40" outlineLevel="1" x14ac:dyDescent="0.3">
      <c r="A76" s="20" t="s">
        <v>107</v>
      </c>
      <c r="B76" s="17" t="s">
        <v>214</v>
      </c>
      <c r="E76" s="55" t="str">
        <f>IF('Raw Data - financials'!E87="","",'Raw Data - financials'!E87)</f>
        <v/>
      </c>
      <c r="G76" s="55">
        <f>IF('Raw Data - financials'!G87="","",'Raw Data - financials'!G87)</f>
        <v>2043.19</v>
      </c>
      <c r="I76" s="55">
        <f>IF('Raw Data - financials'!I87="","",'Raw Data - financials'!I87)</f>
        <v>3354.12</v>
      </c>
      <c r="K76" s="55">
        <f>IF('Raw Data - financials'!K87="","",'Raw Data - financials'!K87)</f>
        <v>2133.6799999999998</v>
      </c>
      <c r="M76" s="55">
        <f>IF('Raw Data - financials'!M87="","",'Raw Data - financials'!M87)</f>
        <v>1766.89</v>
      </c>
      <c r="O76" s="55">
        <f>IF('Raw Data - financials'!O87="","",'Raw Data - financials'!O87)</f>
        <v>1593.03</v>
      </c>
      <c r="Q76" s="55">
        <f>IF('Raw Data - financials'!Q87="","",'Raw Data - financials'!Q87)</f>
        <v>1665.8</v>
      </c>
      <c r="S76" s="55">
        <f>IF('Raw Data - financials'!S87="","",'Raw Data - financials'!S87)</f>
        <v>2115.5</v>
      </c>
      <c r="U76" s="55">
        <f>IF('Raw Data - financials'!U87="","",'Raw Data - financials'!U87)</f>
        <v>2562</v>
      </c>
      <c r="W76" s="55">
        <f>IF('Raw Data - financials'!W87="","",'Raw Data - financials'!W87)</f>
        <v>2968.5</v>
      </c>
      <c r="AB76" s="19"/>
      <c r="AC76" s="56">
        <f>IF('Raw Data - financials'!AC87="","",'Raw Data - financials'!AC87)</f>
        <v>763.61</v>
      </c>
      <c r="AD76" s="56">
        <f>IF('Raw Data - financials'!AD87="","",'Raw Data - financials'!AD87)</f>
        <v>1302.58</v>
      </c>
      <c r="AE76" s="56">
        <f>IF('Raw Data - financials'!AE87="","",'Raw Data - financials'!AE87)</f>
        <v>1073.9000000000001</v>
      </c>
      <c r="AF76" s="56">
        <f>IF('Raw Data - financials'!AF87="","",'Raw Data - financials'!AF87)</f>
        <v>2043.19</v>
      </c>
      <c r="AG76" s="56">
        <f>IF('Raw Data - financials'!AG87="","",'Raw Data - financials'!AG87)</f>
        <v>2133.6799999999998</v>
      </c>
      <c r="AH76" s="56">
        <f>IF('Raw Data - financials'!AH87="","",'Raw Data - financials'!AH87)</f>
        <v>1593.03</v>
      </c>
      <c r="AI76" s="56">
        <f>IF('Raw Data - financials'!AI87="","",'Raw Data - financials'!AI87)</f>
        <v>2115.5</v>
      </c>
      <c r="AJ76" s="56">
        <f>IF('Raw Data - financials'!AJ87="","",'Raw Data - financials'!AJ87)</f>
        <v>2968.5</v>
      </c>
      <c r="AK76" s="56">
        <f>IF(Projections!AK184="","",Projections!AK184)</f>
        <v>2968.5</v>
      </c>
      <c r="AL76" s="56">
        <f>IF(Projections!AL184="","",Projections!AL184)</f>
        <v>2968.5</v>
      </c>
      <c r="AM76" s="56">
        <f>IF(Projections!AM184="","",Projections!AM184)</f>
        <v>2968.5</v>
      </c>
      <c r="AN76" s="56">
        <f>IF(Projections!AN184="","",Projections!AN184)</f>
        <v>2968.5</v>
      </c>
    </row>
    <row r="77" spans="1:40" outlineLevel="1" x14ac:dyDescent="0.3">
      <c r="A77" s="20" t="s">
        <v>108</v>
      </c>
      <c r="B77" s="17" t="s">
        <v>214</v>
      </c>
      <c r="E77" s="55" t="str">
        <f>IF('Raw Data - financials'!E88="","",'Raw Data - financials'!E88)</f>
        <v/>
      </c>
      <c r="G77" s="55">
        <f>IF('Raw Data - financials'!G88="","",'Raw Data - financials'!G88)</f>
        <v>1222.26</v>
      </c>
      <c r="I77" s="55">
        <f>IF('Raw Data - financials'!I88="","",'Raw Data - financials'!I88)</f>
        <v>1280.33</v>
      </c>
      <c r="K77" s="55">
        <f>IF('Raw Data - financials'!K88="","",'Raw Data - financials'!K88)</f>
        <v>1373.2</v>
      </c>
      <c r="M77" s="55">
        <f>IF('Raw Data - financials'!M88="","",'Raw Data - financials'!M88)</f>
        <v>0</v>
      </c>
      <c r="O77" s="55">
        <f>IF('Raw Data - financials'!O88="","",'Raw Data - financials'!O88)</f>
        <v>711.85</v>
      </c>
      <c r="Q77" s="55">
        <f>IF('Raw Data - financials'!Q88="","",'Raw Data - financials'!Q88)</f>
        <v>0</v>
      </c>
      <c r="S77" s="55">
        <f>IF('Raw Data - financials'!S88="","",'Raw Data - financials'!S88)</f>
        <v>1358.8</v>
      </c>
      <c r="U77" s="55">
        <f>IF('Raw Data - financials'!U88="","",'Raw Data - financials'!U88)</f>
        <v>0</v>
      </c>
      <c r="W77" s="55">
        <f>IF('Raw Data - financials'!W88="","",'Raw Data - financials'!W88)</f>
        <v>16.600000000000001</v>
      </c>
      <c r="AB77" s="19"/>
      <c r="AC77" s="56">
        <f>IF('Raw Data - financials'!AC88="","",'Raw Data - financials'!AC88)</f>
        <v>0</v>
      </c>
      <c r="AD77" s="56">
        <f>IF('Raw Data - financials'!AD88="","",'Raw Data - financials'!AD88)</f>
        <v>0</v>
      </c>
      <c r="AE77" s="56">
        <f>IF('Raw Data - financials'!AE88="","",'Raw Data - financials'!AE88)</f>
        <v>0</v>
      </c>
      <c r="AF77" s="56">
        <f>IF('Raw Data - financials'!AF88="","",'Raw Data - financials'!AF88)</f>
        <v>1222.26</v>
      </c>
      <c r="AG77" s="56">
        <f>IF('Raw Data - financials'!AG88="","",'Raw Data - financials'!AG88)</f>
        <v>1373.2</v>
      </c>
      <c r="AH77" s="56">
        <f>IF('Raw Data - financials'!AH88="","",'Raw Data - financials'!AH88)</f>
        <v>711.85</v>
      </c>
      <c r="AI77" s="56">
        <f>IF('Raw Data - financials'!AI88="","",'Raw Data - financials'!AI88)</f>
        <v>1358.8</v>
      </c>
      <c r="AJ77" s="56">
        <f>IF('Raw Data - financials'!AJ88="","",'Raw Data - financials'!AJ88)</f>
        <v>16.600000000000001</v>
      </c>
      <c r="AK77" s="56">
        <f>IF(Projections!AK185="","",Projections!AK185)</f>
        <v>26.350261660656468</v>
      </c>
      <c r="AL77" s="56">
        <f>IF(Projections!AL185="","",Projections!AL185)</f>
        <v>34.616392763152348</v>
      </c>
      <c r="AM77" s="56">
        <f>IF(Projections!AM185="","",Projections!AM185)</f>
        <v>45.47670319465216</v>
      </c>
      <c r="AN77" s="56">
        <f>IF(Projections!AN185="","",Projections!AN185)</f>
        <v>59.745687832948974</v>
      </c>
    </row>
    <row r="78" spans="1:40" outlineLevel="1" x14ac:dyDescent="0.3">
      <c r="A78" s="20" t="s">
        <v>109</v>
      </c>
      <c r="B78" s="17" t="s">
        <v>214</v>
      </c>
      <c r="E78" s="55" t="str">
        <f>IF('Raw Data - financials'!E89="","",'Raw Data - financials'!E89)</f>
        <v/>
      </c>
      <c r="G78" s="55">
        <f>IF('Raw Data - financials'!G89="","",'Raw Data - financials'!G89)</f>
        <v>77.959999999999994</v>
      </c>
      <c r="I78" s="55">
        <f>IF('Raw Data - financials'!I89="","",'Raw Data - financials'!I89)</f>
        <v>89.21</v>
      </c>
      <c r="K78" s="55">
        <f>IF('Raw Data - financials'!K89="","",'Raw Data - financials'!K89)</f>
        <v>92.65</v>
      </c>
      <c r="M78" s="55">
        <f>IF('Raw Data - financials'!M89="","",'Raw Data - financials'!M89)</f>
        <v>108.65</v>
      </c>
      <c r="O78" s="55">
        <f>IF('Raw Data - financials'!O89="","",'Raw Data - financials'!O89)</f>
        <v>102.21</v>
      </c>
      <c r="Q78" s="55">
        <f>IF('Raw Data - financials'!Q89="","",'Raw Data - financials'!Q89)</f>
        <v>145.5</v>
      </c>
      <c r="S78" s="55">
        <f>IF('Raw Data - financials'!S89="","",'Raw Data - financials'!S89)</f>
        <v>186.4</v>
      </c>
      <c r="U78" s="55">
        <f>IF('Raw Data - financials'!U89="","",'Raw Data - financials'!U89)</f>
        <v>187</v>
      </c>
      <c r="W78" s="55">
        <f>IF('Raw Data - financials'!W89="","",'Raw Data - financials'!W89)</f>
        <v>341.9</v>
      </c>
      <c r="AB78" s="19"/>
      <c r="AC78" s="56">
        <f>IF('Raw Data - financials'!AC89="","",'Raw Data - financials'!AC89)</f>
        <v>24.46</v>
      </c>
      <c r="AD78" s="56">
        <f>IF('Raw Data - financials'!AD89="","",'Raw Data - financials'!AD89)</f>
        <v>52.61</v>
      </c>
      <c r="AE78" s="56">
        <f>IF('Raw Data - financials'!AE89="","",'Raw Data - financials'!AE89)</f>
        <v>73.45</v>
      </c>
      <c r="AF78" s="56">
        <f>IF('Raw Data - financials'!AF89="","",'Raw Data - financials'!AF89)</f>
        <v>77.959999999999994</v>
      </c>
      <c r="AG78" s="56">
        <f>IF('Raw Data - financials'!AG89="","",'Raw Data - financials'!AG89)</f>
        <v>92.65</v>
      </c>
      <c r="AH78" s="56">
        <f>IF('Raw Data - financials'!AH89="","",'Raw Data - financials'!AH89)</f>
        <v>102.21</v>
      </c>
      <c r="AI78" s="56">
        <f>IF('Raw Data - financials'!AI89="","",'Raw Data - financials'!AI89)</f>
        <v>186.4</v>
      </c>
      <c r="AJ78" s="56">
        <f>IF('Raw Data - financials'!AJ89="","",'Raw Data - financials'!AJ89)</f>
        <v>341.9</v>
      </c>
      <c r="AK78" s="56">
        <f>IF(Projections!AK187="","",Projections!AK187)</f>
        <v>341.9</v>
      </c>
      <c r="AL78" s="56">
        <f>IF(Projections!AL187="","",Projections!AL187)</f>
        <v>341.9</v>
      </c>
      <c r="AM78" s="56">
        <f>IF(Projections!AM187="","",Projections!AM187)</f>
        <v>341.9</v>
      </c>
      <c r="AN78" s="56">
        <f>IF(Projections!AN187="","",Projections!AN187)</f>
        <v>341.9</v>
      </c>
    </row>
    <row r="79" spans="1:40" x14ac:dyDescent="0.3">
      <c r="A79" s="72" t="s">
        <v>110</v>
      </c>
      <c r="B79" s="17" t="s">
        <v>214</v>
      </c>
      <c r="E79" s="73" t="str">
        <f>IFERROR(E75+E76+E77+E78,"")</f>
        <v/>
      </c>
      <c r="G79" s="73">
        <f>IFERROR(G75+G76+G77+G78,"")</f>
        <v>3352.63</v>
      </c>
      <c r="I79" s="73">
        <f>IFERROR(I75+I76+I77+I78,"")</f>
        <v>4730.1899999999996</v>
      </c>
      <c r="K79" s="73">
        <f>IFERROR(K75+K76+K77+K78,"")</f>
        <v>3603.14</v>
      </c>
      <c r="M79" s="73">
        <f>IFERROR(M75+M76+M77+M78,"")</f>
        <v>1876.0100000000002</v>
      </c>
      <c r="O79" s="73">
        <f>IFERROR(O75+O76+O77+O78,"")</f>
        <v>2407.09</v>
      </c>
      <c r="Q79" s="73">
        <f>IFERROR(Q75+Q76+Q77+Q78,"")</f>
        <v>2436.3000000000002</v>
      </c>
      <c r="S79" s="73">
        <f>IFERROR(S75+S76+S77+S78,"")</f>
        <v>4762.7999999999993</v>
      </c>
      <c r="U79" s="73">
        <f>IFERROR(U75+U76+U77+U78,"")</f>
        <v>3076.4</v>
      </c>
      <c r="W79" s="73">
        <f>IFERROR(W75+W76+W77+W78,"")</f>
        <v>3510.3</v>
      </c>
      <c r="AB79" s="19"/>
      <c r="AC79" s="60">
        <f t="shared" ref="AC79:AN79" si="18">IFERROR(AC75+AC76+AC77+AC78,"")</f>
        <v>789.35</v>
      </c>
      <c r="AD79" s="60">
        <f t="shared" si="18"/>
        <v>1356.6899999999998</v>
      </c>
      <c r="AE79" s="60">
        <f t="shared" si="18"/>
        <v>1163.95</v>
      </c>
      <c r="AF79" s="60">
        <f t="shared" si="18"/>
        <v>3352.63</v>
      </c>
      <c r="AG79" s="60">
        <f t="shared" si="18"/>
        <v>3603.14</v>
      </c>
      <c r="AH79" s="60">
        <f t="shared" si="18"/>
        <v>2407.09</v>
      </c>
      <c r="AI79" s="60">
        <f t="shared" si="18"/>
        <v>4762.7999999999993</v>
      </c>
      <c r="AJ79" s="60">
        <f t="shared" si="18"/>
        <v>3510.3</v>
      </c>
      <c r="AK79" s="60">
        <f t="shared" si="18"/>
        <v>3520.0502616606568</v>
      </c>
      <c r="AL79" s="60">
        <f t="shared" si="18"/>
        <v>3528.3163927631526</v>
      </c>
      <c r="AM79" s="60">
        <f t="shared" si="18"/>
        <v>3539.1767031946524</v>
      </c>
      <c r="AN79" s="60">
        <f t="shared" si="18"/>
        <v>3553.4456878329493</v>
      </c>
    </row>
    <row r="80" spans="1:40" x14ac:dyDescent="0.3">
      <c r="AB80" s="19"/>
    </row>
    <row r="81" spans="1:40" x14ac:dyDescent="0.3">
      <c r="A81" s="9" t="s">
        <v>111</v>
      </c>
      <c r="B81" s="9"/>
      <c r="C81" s="9"/>
      <c r="D81" s="9"/>
      <c r="E81" s="9"/>
      <c r="F81" s="9"/>
      <c r="G81" s="9"/>
      <c r="H81" s="9"/>
      <c r="I81" s="9"/>
      <c r="J81" s="9"/>
      <c r="K81" s="9"/>
      <c r="L81" s="9"/>
      <c r="M81" s="9"/>
      <c r="N81" s="9"/>
      <c r="O81" s="9"/>
      <c r="P81" s="9"/>
      <c r="Q81" s="9"/>
      <c r="R81" s="9"/>
      <c r="S81" s="9"/>
      <c r="T81" s="9"/>
      <c r="U81" s="9"/>
      <c r="V81" s="9"/>
      <c r="W81" s="9"/>
      <c r="X81" s="9"/>
      <c r="Y81" s="9"/>
      <c r="Z81" s="9"/>
      <c r="AA81" s="9"/>
      <c r="AB81" s="46"/>
      <c r="AC81" s="9"/>
      <c r="AD81" s="9"/>
      <c r="AE81" s="9"/>
      <c r="AF81" s="9"/>
      <c r="AG81" s="9"/>
      <c r="AH81" s="9"/>
      <c r="AI81" s="9"/>
      <c r="AJ81" s="9"/>
      <c r="AK81" s="9"/>
      <c r="AL81" s="9"/>
      <c r="AM81" s="9"/>
      <c r="AN81" s="9"/>
    </row>
    <row r="82" spans="1:40" outlineLevel="1" x14ac:dyDescent="0.3">
      <c r="A82" s="20" t="s">
        <v>106</v>
      </c>
      <c r="B82" s="17" t="s">
        <v>214</v>
      </c>
      <c r="E82" s="55" t="str">
        <f>IF('Raw Data - financials'!E93="","",'Raw Data - financials'!E93)</f>
        <v/>
      </c>
      <c r="G82" s="55">
        <f>IF('Raw Data - financials'!G93="","",'Raw Data - financials'!G93)</f>
        <v>3321.12</v>
      </c>
      <c r="I82" s="55">
        <f>IF('Raw Data - financials'!I93="","",'Raw Data - financials'!I93)</f>
        <v>4862.24</v>
      </c>
      <c r="K82" s="55">
        <f>IF('Raw Data - financials'!K93="","",'Raw Data - financials'!K93)</f>
        <v>4600.01</v>
      </c>
      <c r="M82" s="55">
        <f>IF('Raw Data - financials'!M93="","",'Raw Data - financials'!M93)</f>
        <v>6596.02</v>
      </c>
      <c r="O82" s="55">
        <f>IF('Raw Data - financials'!O93="","",'Raw Data - financials'!O93)</f>
        <v>6803.95</v>
      </c>
      <c r="Q82" s="55">
        <f>IF('Raw Data - financials'!Q93="","",'Raw Data - financials'!Q93)</f>
        <v>9388.7000000000007</v>
      </c>
      <c r="S82" s="55">
        <f>IF('Raw Data - financials'!S93="","",'Raw Data - financials'!S93)</f>
        <v>8511.5</v>
      </c>
      <c r="U82" s="55">
        <f>IF('Raw Data - financials'!U93="","",'Raw Data - financials'!U93)</f>
        <v>9571.1</v>
      </c>
      <c r="W82" s="55">
        <f>IF('Raw Data - financials'!W93="","",'Raw Data - financials'!W93)</f>
        <v>7288.8</v>
      </c>
      <c r="AB82" s="19"/>
      <c r="AC82" s="56">
        <f>IF('Raw Data - financials'!AC93="","",'Raw Data - financials'!AC93)</f>
        <v>2254.48</v>
      </c>
      <c r="AD82" s="56">
        <f>IF('Raw Data - financials'!AD93="","",'Raw Data - financials'!AD93)</f>
        <v>2673.26</v>
      </c>
      <c r="AE82" s="56">
        <f>IF('Raw Data - financials'!AE93="","",'Raw Data - financials'!AE93)</f>
        <v>1858.05</v>
      </c>
      <c r="AF82" s="56">
        <f>IF('Raw Data - financials'!AF93="","",'Raw Data - financials'!AF93)</f>
        <v>3321.12</v>
      </c>
      <c r="AG82" s="56">
        <f>IF('Raw Data - financials'!AG93="","",'Raw Data - financials'!AG93)</f>
        <v>4600.01</v>
      </c>
      <c r="AH82" s="56">
        <f>IF('Raw Data - financials'!AH93="","",'Raw Data - financials'!AH93)</f>
        <v>6803.95</v>
      </c>
      <c r="AI82" s="56">
        <f>IF('Raw Data - financials'!AI93="","",'Raw Data - financials'!AI93)</f>
        <v>8511.5</v>
      </c>
      <c r="AJ82" s="56">
        <f>IF('Raw Data - financials'!AJ93="","",'Raw Data - financials'!AJ93)</f>
        <v>7288.8</v>
      </c>
      <c r="AK82" s="56">
        <f>IF(Projections!AK191="","",Projections!AK191)</f>
        <v>7288.8</v>
      </c>
      <c r="AL82" s="56">
        <f>IF(Projections!AL191="","",Projections!AL191)</f>
        <v>7288.8</v>
      </c>
      <c r="AM82" s="56">
        <f>IF(Projections!AM191="","",Projections!AM191)</f>
        <v>7288.8</v>
      </c>
      <c r="AN82" s="56">
        <f>IF(Projections!AN191="","",Projections!AN191)</f>
        <v>7288.8</v>
      </c>
    </row>
    <row r="83" spans="1:40" outlineLevel="1" x14ac:dyDescent="0.3">
      <c r="A83" s="20" t="s">
        <v>107</v>
      </c>
      <c r="B83" s="17" t="s">
        <v>214</v>
      </c>
      <c r="E83" s="55" t="str">
        <f>IF('Raw Data - financials'!E94="","",'Raw Data - financials'!E94)</f>
        <v/>
      </c>
      <c r="G83" s="55">
        <f>IF('Raw Data - financials'!G94="","",'Raw Data - financials'!G94)</f>
        <v>552.70000000000005</v>
      </c>
      <c r="I83" s="55">
        <f>IF('Raw Data - financials'!I94="","",'Raw Data - financials'!I94)</f>
        <v>844.52</v>
      </c>
      <c r="K83" s="55">
        <f>IF('Raw Data - financials'!K94="","",'Raw Data - financials'!K94)</f>
        <v>1247.6300000000001</v>
      </c>
      <c r="M83" s="55">
        <f>IF('Raw Data - financials'!M94="","",'Raw Data - financials'!M94)</f>
        <v>1293.1600000000001</v>
      </c>
      <c r="O83" s="55">
        <f>IF('Raw Data - financials'!O94="","",'Raw Data - financials'!O94)</f>
        <v>1297.8900000000001</v>
      </c>
      <c r="Q83" s="55">
        <f>IF('Raw Data - financials'!Q94="","",'Raw Data - financials'!Q94)</f>
        <v>1383.4</v>
      </c>
      <c r="S83" s="55">
        <f>IF('Raw Data - financials'!S94="","",'Raw Data - financials'!S94)</f>
        <v>1476.8</v>
      </c>
      <c r="U83" s="55">
        <f>IF('Raw Data - financials'!U94="","",'Raw Data - financials'!U94)</f>
        <v>1609.7</v>
      </c>
      <c r="W83" s="55">
        <f>IF('Raw Data - financials'!W94="","",'Raw Data - financials'!W94)</f>
        <v>1937.5</v>
      </c>
      <c r="AB83" s="19"/>
      <c r="AC83" s="56">
        <f>IF('Raw Data - financials'!AC94="","",'Raw Data - financials'!AC94)</f>
        <v>84.63</v>
      </c>
      <c r="AD83" s="56">
        <f>IF('Raw Data - financials'!AD94="","",'Raw Data - financials'!AD94)</f>
        <v>147.44</v>
      </c>
      <c r="AE83" s="56">
        <f>IF('Raw Data - financials'!AE94="","",'Raw Data - financials'!AE94)</f>
        <v>378.16</v>
      </c>
      <c r="AF83" s="56">
        <f>IF('Raw Data - financials'!AF94="","",'Raw Data - financials'!AF94)</f>
        <v>552.70000000000005</v>
      </c>
      <c r="AG83" s="56">
        <f>IF('Raw Data - financials'!AG94="","",'Raw Data - financials'!AG94)</f>
        <v>1247.6300000000001</v>
      </c>
      <c r="AH83" s="56">
        <f>IF('Raw Data - financials'!AH94="","",'Raw Data - financials'!AH94)</f>
        <v>1297.8900000000001</v>
      </c>
      <c r="AI83" s="56">
        <f>IF('Raw Data - financials'!AI94="","",'Raw Data - financials'!AI94)</f>
        <v>1476.8</v>
      </c>
      <c r="AJ83" s="56">
        <f>IF('Raw Data - financials'!AJ94="","",'Raw Data - financials'!AJ94)</f>
        <v>1937.5</v>
      </c>
      <c r="AK83" s="56">
        <f>IF(Projections!AK192="","",Projections!AK192)</f>
        <v>1937.5</v>
      </c>
      <c r="AL83" s="56">
        <f>IF(Projections!AL192="","",Projections!AL192)</f>
        <v>1937.5</v>
      </c>
      <c r="AM83" s="56">
        <f>IF(Projections!AM192="","",Projections!AM192)</f>
        <v>1937.5</v>
      </c>
      <c r="AN83" s="56">
        <f>IF(Projections!AN192="","",Projections!AN192)</f>
        <v>1937.5</v>
      </c>
    </row>
    <row r="84" spans="1:40" outlineLevel="1" x14ac:dyDescent="0.3">
      <c r="A84" s="20" t="s">
        <v>112</v>
      </c>
      <c r="B84" s="17" t="s">
        <v>214</v>
      </c>
      <c r="E84" s="55" t="str">
        <f>IF('Raw Data - financials'!E95="","",'Raw Data - financials'!E95)</f>
        <v/>
      </c>
      <c r="G84" s="55">
        <f>IF('Raw Data - financials'!G95="","",'Raw Data - financials'!G95)</f>
        <v>560.70000000000005</v>
      </c>
      <c r="I84" s="55">
        <f>IF('Raw Data - financials'!I95="","",'Raw Data - financials'!I95)</f>
        <v>228.37</v>
      </c>
      <c r="K84" s="55">
        <f>IF('Raw Data - financials'!K95="","",'Raw Data - financials'!K95)</f>
        <v>418.93</v>
      </c>
      <c r="M84" s="55">
        <f>IF('Raw Data - financials'!M95="","",'Raw Data - financials'!M95)</f>
        <v>510.01</v>
      </c>
      <c r="O84" s="55">
        <f>IF('Raw Data - financials'!O95="","",'Raw Data - financials'!O95)</f>
        <v>370.16</v>
      </c>
      <c r="Q84" s="55">
        <f>IF('Raw Data - financials'!Q95="","",'Raw Data - financials'!Q95)</f>
        <v>423.4</v>
      </c>
      <c r="S84" s="55">
        <f>IF('Raw Data - financials'!S95="","",'Raw Data - financials'!S95)</f>
        <v>452.6</v>
      </c>
      <c r="U84" s="55">
        <f>IF('Raw Data - financials'!U95="","",'Raw Data - financials'!U95)</f>
        <v>762.4</v>
      </c>
      <c r="W84" s="55">
        <f>IF('Raw Data - financials'!W95="","",'Raw Data - financials'!W95)</f>
        <v>1163.4000000000001</v>
      </c>
      <c r="AB84" s="19"/>
      <c r="AC84" s="56">
        <f>IF('Raw Data - financials'!AC95="","",'Raw Data - financials'!AC95)</f>
        <v>12.77</v>
      </c>
      <c r="AD84" s="56">
        <f>IF('Raw Data - financials'!AD95="","",'Raw Data - financials'!AD95)</f>
        <v>104.6</v>
      </c>
      <c r="AE84" s="56">
        <f>IF('Raw Data - financials'!AE95="","",'Raw Data - financials'!AE95)</f>
        <v>90.75</v>
      </c>
      <c r="AF84" s="56">
        <f>IF('Raw Data - financials'!AF95="","",'Raw Data - financials'!AF95)</f>
        <v>560.70000000000005</v>
      </c>
      <c r="AG84" s="56">
        <f>IF('Raw Data - financials'!AG95="","",'Raw Data - financials'!AG95)</f>
        <v>418.93</v>
      </c>
      <c r="AH84" s="56">
        <f>IF('Raw Data - financials'!AH95="","",'Raw Data - financials'!AH95)</f>
        <v>370.16</v>
      </c>
      <c r="AI84" s="56">
        <f>IF('Raw Data - financials'!AI95="","",'Raw Data - financials'!AI95)</f>
        <v>452.6</v>
      </c>
      <c r="AJ84" s="56">
        <f>IF('Raw Data - financials'!AJ95="","",'Raw Data - financials'!AJ95)</f>
        <v>1163.4000000000001</v>
      </c>
      <c r="AK84" s="56">
        <f>IF(Projections!AK193="","",Projections!AK193)</f>
        <v>0</v>
      </c>
      <c r="AL84" s="56">
        <f>IF(Projections!AL193="","",Projections!AL193)</f>
        <v>0</v>
      </c>
      <c r="AM84" s="56">
        <f>IF(Projections!AM193="","",Projections!AM193)</f>
        <v>0</v>
      </c>
      <c r="AN84" s="56">
        <f>IF(Projections!AN193="","",Projections!AN193)</f>
        <v>0</v>
      </c>
    </row>
    <row r="85" spans="1:40" outlineLevel="1" x14ac:dyDescent="0.3">
      <c r="A85" s="20" t="s">
        <v>113</v>
      </c>
      <c r="B85" s="17" t="s">
        <v>214</v>
      </c>
      <c r="E85" s="55" t="str">
        <f>IF('Raw Data - financials'!E96="","",'Raw Data - financials'!E96)</f>
        <v/>
      </c>
      <c r="G85" s="55">
        <f>IF('Raw Data - financials'!G96="","",'Raw Data - financials'!G96)</f>
        <v>3059.84</v>
      </c>
      <c r="I85" s="55">
        <f>IF('Raw Data - financials'!I96="","",'Raw Data - financials'!I96)</f>
        <v>1559.62</v>
      </c>
      <c r="K85" s="55">
        <f>IF('Raw Data - financials'!K96="","",'Raw Data - financials'!K96)</f>
        <v>2234.96</v>
      </c>
      <c r="M85" s="55">
        <f>IF('Raw Data - financials'!M96="","",'Raw Data - financials'!M96)</f>
        <v>2367.64</v>
      </c>
      <c r="O85" s="55">
        <f>IF('Raw Data - financials'!O96="","",'Raw Data - financials'!O96)</f>
        <v>3496.76</v>
      </c>
      <c r="Q85" s="55">
        <f>IF('Raw Data - financials'!Q96="","",'Raw Data - financials'!Q96)</f>
        <v>5040.7</v>
      </c>
      <c r="S85" s="55">
        <f>IF('Raw Data - financials'!S96="","",'Raw Data - financials'!S96)</f>
        <v>5895.7</v>
      </c>
      <c r="U85" s="55">
        <f>IF('Raw Data - financials'!U96="","",'Raw Data - financials'!U96)</f>
        <v>6144.8</v>
      </c>
      <c r="W85" s="55">
        <f>IF('Raw Data - financials'!W96="","",'Raw Data - financials'!W96)</f>
        <v>6161.6</v>
      </c>
      <c r="AB85" s="19"/>
      <c r="AC85" s="56">
        <f>IF('Raw Data - financials'!AC96="","",'Raw Data - financials'!AC96)</f>
        <v>1804.89</v>
      </c>
      <c r="AD85" s="56">
        <f>IF('Raw Data - financials'!AD96="","",'Raw Data - financials'!AD96)</f>
        <v>3028.05</v>
      </c>
      <c r="AE85" s="56">
        <f>IF('Raw Data - financials'!AE96="","",'Raw Data - financials'!AE96)</f>
        <v>3071.37</v>
      </c>
      <c r="AF85" s="56">
        <f>IF('Raw Data - financials'!AF96="","",'Raw Data - financials'!AF96)</f>
        <v>3059.84</v>
      </c>
      <c r="AG85" s="56">
        <f>IF('Raw Data - financials'!AG96="","",'Raw Data - financials'!AG96)</f>
        <v>2234.96</v>
      </c>
      <c r="AH85" s="56">
        <f>IF('Raw Data - financials'!AH96="","",'Raw Data - financials'!AH96)</f>
        <v>3496.76</v>
      </c>
      <c r="AI85" s="56">
        <f>IF('Raw Data - financials'!AI96="","",'Raw Data - financials'!AI96)</f>
        <v>5895.7</v>
      </c>
      <c r="AJ85" s="56">
        <f>IF('Raw Data - financials'!AJ96="","",'Raw Data - financials'!AJ96)</f>
        <v>6161.6</v>
      </c>
      <c r="AK85" s="56">
        <f>IF(Projections!AK194="","",Projections!AK194)</f>
        <v>14781.413904162771</v>
      </c>
      <c r="AL85" s="56">
        <f>IF(Projections!AL194="","",Projections!AL194)</f>
        <v>19418.373748645048</v>
      </c>
      <c r="AM85" s="56">
        <f>IF(Projections!AM194="","",Projections!AM194)</f>
        <v>25510.561586589116</v>
      </c>
      <c r="AN85" s="56">
        <f>IF(Projections!AN194="","",Projections!AN194)</f>
        <v>33514.875572044664</v>
      </c>
    </row>
    <row r="86" spans="1:40" outlineLevel="1" x14ac:dyDescent="0.3">
      <c r="A86" s="20" t="s">
        <v>108</v>
      </c>
      <c r="B86" s="17" t="s">
        <v>214</v>
      </c>
      <c r="E86" s="55" t="str">
        <f>IF('Raw Data - financials'!E97="","",'Raw Data - financials'!E97)</f>
        <v/>
      </c>
      <c r="G86" s="55">
        <f>IF('Raw Data - financials'!G97="","",'Raw Data - financials'!G97)</f>
        <v>1666.92</v>
      </c>
      <c r="I86" s="55">
        <f>IF('Raw Data - financials'!I97="","",'Raw Data - financials'!I97)</f>
        <v>2319.9499999999998</v>
      </c>
      <c r="K86" s="55">
        <f>IF('Raw Data - financials'!K97="","",'Raw Data - financials'!K97)</f>
        <v>2703.61</v>
      </c>
      <c r="M86" s="55">
        <f>IF('Raw Data - financials'!M97="","",'Raw Data - financials'!M97)</f>
        <v>3962.46</v>
      </c>
      <c r="O86" s="55">
        <f>IF('Raw Data - financials'!O97="","",'Raw Data - financials'!O97)</f>
        <v>6084.58</v>
      </c>
      <c r="Q86" s="55">
        <f>IF('Raw Data - financials'!Q97="","",'Raw Data - financials'!Q97)</f>
        <v>4540.8999999999996</v>
      </c>
      <c r="S86" s="55">
        <f>IF('Raw Data - financials'!S97="","",'Raw Data - financials'!S97)</f>
        <v>4386.1000000000004</v>
      </c>
      <c r="U86" s="55">
        <f>IF('Raw Data - financials'!U97="","",'Raw Data - financials'!U97)</f>
        <v>6755.2</v>
      </c>
      <c r="W86" s="55">
        <f>IF('Raw Data - financials'!W97="","",'Raw Data - financials'!W97)</f>
        <v>9473</v>
      </c>
      <c r="AB86" s="19"/>
      <c r="AC86" s="56">
        <f>IF('Raw Data - financials'!AC97="","",'Raw Data - financials'!AC97)</f>
        <v>275.44</v>
      </c>
      <c r="AD86" s="56">
        <f>IF('Raw Data - financials'!AD97="","",'Raw Data - financials'!AD97)</f>
        <v>470.53</v>
      </c>
      <c r="AE86" s="56">
        <f>IF('Raw Data - financials'!AE97="","",'Raw Data - financials'!AE97)</f>
        <v>850.14</v>
      </c>
      <c r="AF86" s="56">
        <f>IF('Raw Data - financials'!AF97="","",'Raw Data - financials'!AF97)</f>
        <v>1666.92</v>
      </c>
      <c r="AG86" s="56">
        <f>IF('Raw Data - financials'!AG97="","",'Raw Data - financials'!AG97)</f>
        <v>2703.61</v>
      </c>
      <c r="AH86" s="56">
        <f>IF('Raw Data - financials'!AH97="","",'Raw Data - financials'!AH97)</f>
        <v>6084.58</v>
      </c>
      <c r="AI86" s="56">
        <f>IF('Raw Data - financials'!AI97="","",'Raw Data - financials'!AI97)</f>
        <v>4386.1000000000004</v>
      </c>
      <c r="AJ86" s="56">
        <f>IF('Raw Data - financials'!AJ97="","",'Raw Data - financials'!AJ97)</f>
        <v>9473</v>
      </c>
      <c r="AK86" s="56">
        <f>IF(Projections!AK196="","",Projections!AK196)</f>
        <v>12450.49863466018</v>
      </c>
      <c r="AL86" s="56">
        <f>IF(Projections!AL196="","",Projections!AL196)</f>
        <v>16356.245580589484</v>
      </c>
      <c r="AM86" s="56">
        <f>IF(Projections!AM196="","",Projections!AM196)</f>
        <v>21487.742259473143</v>
      </c>
      <c r="AN86" s="56">
        <f>IF(Projections!AN196="","",Projections!AN196)</f>
        <v>28229.837501068389</v>
      </c>
    </row>
    <row r="87" spans="1:40" outlineLevel="1" x14ac:dyDescent="0.3">
      <c r="A87" s="20" t="s">
        <v>109</v>
      </c>
      <c r="B87" s="17" t="s">
        <v>214</v>
      </c>
      <c r="E87" s="55" t="str">
        <f>IF('Raw Data - financials'!E98="","",'Raw Data - financials'!E98)</f>
        <v/>
      </c>
      <c r="G87" s="55">
        <f>IF('Raw Data - financials'!G98="","",'Raw Data - financials'!G98)</f>
        <v>88.66</v>
      </c>
      <c r="I87" s="55">
        <f>IF('Raw Data - financials'!I98="","",'Raw Data - financials'!I98)</f>
        <v>97.1</v>
      </c>
      <c r="K87" s="55">
        <f>IF('Raw Data - financials'!K98="","",'Raw Data - financials'!K98)</f>
        <v>113.86</v>
      </c>
      <c r="M87" s="55">
        <f>IF('Raw Data - financials'!M98="","",'Raw Data - financials'!M98)</f>
        <v>87.54</v>
      </c>
      <c r="O87" s="55">
        <f>IF('Raw Data - financials'!O98="","",'Raw Data - financials'!O98)</f>
        <v>86.9</v>
      </c>
      <c r="Q87" s="55">
        <f>IF('Raw Data - financials'!Q98="","",'Raw Data - financials'!Q98)</f>
        <v>113.6</v>
      </c>
      <c r="S87" s="55">
        <f>IF('Raw Data - financials'!S98="","",'Raw Data - financials'!S98)</f>
        <v>101.9</v>
      </c>
      <c r="U87" s="55">
        <f>IF('Raw Data - financials'!U98="","",'Raw Data - financials'!U98)</f>
        <v>123.8</v>
      </c>
      <c r="W87" s="55">
        <f>IF('Raw Data - financials'!W98="","",'Raw Data - financials'!W98)</f>
        <v>268.10000000000002</v>
      </c>
      <c r="AB87" s="19"/>
      <c r="AC87" s="56">
        <f>IF('Raw Data - financials'!AC98="","",'Raw Data - financials'!AC98)</f>
        <v>0.37</v>
      </c>
      <c r="AD87" s="56">
        <f>IF('Raw Data - financials'!AD98="","",'Raw Data - financials'!AD98)</f>
        <v>0.67</v>
      </c>
      <c r="AE87" s="56">
        <f>IF('Raw Data - financials'!AE98="","",'Raw Data - financials'!AE98)</f>
        <v>108.47</v>
      </c>
      <c r="AF87" s="56">
        <f>IF('Raw Data - financials'!AF98="","",'Raw Data - financials'!AF98)</f>
        <v>88.66</v>
      </c>
      <c r="AG87" s="56">
        <f>IF('Raw Data - financials'!AG98="","",'Raw Data - financials'!AG98)</f>
        <v>113.86</v>
      </c>
      <c r="AH87" s="56">
        <f>IF('Raw Data - financials'!AH98="","",'Raw Data - financials'!AH98)</f>
        <v>86.9</v>
      </c>
      <c r="AI87" s="56">
        <f>IF('Raw Data - financials'!AI98="","",'Raw Data - financials'!AI98)</f>
        <v>101.9</v>
      </c>
      <c r="AJ87" s="56">
        <f>IF('Raw Data - financials'!AJ98="","",'Raw Data - financials'!AJ98)</f>
        <v>268.10000000000002</v>
      </c>
      <c r="AK87" s="56">
        <f>IF(Projections!AK198="","",Projections!AK198)</f>
        <v>268.10000000000002</v>
      </c>
      <c r="AL87" s="56">
        <f>IF(Projections!AL198="","",Projections!AL198)</f>
        <v>268.10000000000002</v>
      </c>
      <c r="AM87" s="56">
        <f>IF(Projections!AM198="","",Projections!AM198)</f>
        <v>268.10000000000002</v>
      </c>
      <c r="AN87" s="56">
        <f>IF(Projections!AN198="","",Projections!AN198)</f>
        <v>268.10000000000002</v>
      </c>
    </row>
    <row r="88" spans="1:40" outlineLevel="1" x14ac:dyDescent="0.3">
      <c r="A88" s="20" t="s">
        <v>114</v>
      </c>
      <c r="B88" s="17" t="s">
        <v>214</v>
      </c>
      <c r="E88" s="55" t="str">
        <f>IF('Raw Data - financials'!E99="","",'Raw Data - financials'!E99)</f>
        <v/>
      </c>
      <c r="G88" s="55">
        <f>IF('Raw Data - financials'!G99="","",'Raw Data - financials'!G99)</f>
        <v>160.41</v>
      </c>
      <c r="I88" s="55">
        <f>IF('Raw Data - financials'!I99="","",'Raw Data - financials'!I99)</f>
        <v>258.81</v>
      </c>
      <c r="K88" s="55">
        <f>IF('Raw Data - financials'!K99="","",'Raw Data - financials'!K99)</f>
        <v>234.78</v>
      </c>
      <c r="M88" s="55">
        <f>IF('Raw Data - financials'!M99="","",'Raw Data - financials'!M99)</f>
        <v>249.52</v>
      </c>
      <c r="O88" s="55">
        <f>IF('Raw Data - financials'!O99="","",'Raw Data - financials'!O99)</f>
        <v>273.42</v>
      </c>
      <c r="Q88" s="55">
        <f>IF('Raw Data - financials'!Q99="","",'Raw Data - financials'!Q99)</f>
        <v>271.7</v>
      </c>
      <c r="S88" s="55">
        <f>IF('Raw Data - financials'!S99="","",'Raw Data - financials'!S99)</f>
        <v>376.1</v>
      </c>
      <c r="U88" s="55">
        <f>IF('Raw Data - financials'!U99="","",'Raw Data - financials'!U99)</f>
        <v>561.79999999999995</v>
      </c>
      <c r="W88" s="55">
        <f>IF('Raw Data - financials'!W99="","",'Raw Data - financials'!W99)</f>
        <v>600.70000000000005</v>
      </c>
      <c r="AB88" s="19"/>
      <c r="AC88" s="56">
        <f>IF('Raw Data - financials'!AC99="","",'Raw Data - financials'!AC99)</f>
        <v>101.91</v>
      </c>
      <c r="AD88" s="56">
        <f>IF('Raw Data - financials'!AD99="","",'Raw Data - financials'!AD99)</f>
        <v>148.69999999999999</v>
      </c>
      <c r="AE88" s="56">
        <f>IF('Raw Data - financials'!AE99="","",'Raw Data - financials'!AE99)</f>
        <v>169.15</v>
      </c>
      <c r="AF88" s="56">
        <f>IF('Raw Data - financials'!AF99="","",'Raw Data - financials'!AF99)</f>
        <v>160.41</v>
      </c>
      <c r="AG88" s="56">
        <f>IF('Raw Data - financials'!AG99="","",'Raw Data - financials'!AG99)</f>
        <v>234.78</v>
      </c>
      <c r="AH88" s="56">
        <f>IF('Raw Data - financials'!AH99="","",'Raw Data - financials'!AH99)</f>
        <v>273.42</v>
      </c>
      <c r="AI88" s="56">
        <f>IF('Raw Data - financials'!AI99="","",'Raw Data - financials'!AI99)</f>
        <v>376.1</v>
      </c>
      <c r="AJ88" s="56">
        <f>IF('Raw Data - financials'!AJ99="","",'Raw Data - financials'!AJ99)</f>
        <v>600.70000000000005</v>
      </c>
      <c r="AK88" s="56">
        <f>IF(Projections!AK199="","",Projections!AK199)</f>
        <v>790.507849819694</v>
      </c>
      <c r="AL88" s="56">
        <f>IF(Projections!AL199="","",Projections!AL199)</f>
        <v>1038.4917828945704</v>
      </c>
      <c r="AM88" s="56">
        <f>IF(Projections!AM199="","",Projections!AM199)</f>
        <v>1364.3010958395646</v>
      </c>
      <c r="AN88" s="56">
        <f>IF(Projections!AN199="","",Projections!AN199)</f>
        <v>1792.3706349884692</v>
      </c>
    </row>
    <row r="89" spans="1:40" outlineLevel="1" x14ac:dyDescent="0.3">
      <c r="A89" s="20" t="s">
        <v>115</v>
      </c>
      <c r="B89" s="17" t="s">
        <v>214</v>
      </c>
      <c r="E89" s="55" t="str">
        <f>IF('Raw Data - financials'!E100="","",'Raw Data - financials'!E100)</f>
        <v/>
      </c>
      <c r="G89" s="55">
        <f>IF('Raw Data - financials'!G100="","",'Raw Data - financials'!G100)</f>
        <v>21.73</v>
      </c>
      <c r="I89" s="55">
        <f>IF('Raw Data - financials'!I100="","",'Raw Data - financials'!I100)</f>
        <v>80.400000000000006</v>
      </c>
      <c r="K89" s="55">
        <f>IF('Raw Data - financials'!K100="","",'Raw Data - financials'!K100)</f>
        <v>0</v>
      </c>
      <c r="M89" s="55">
        <f>IF('Raw Data - financials'!M100="","",'Raw Data - financials'!M100)</f>
        <v>0</v>
      </c>
      <c r="O89" s="55">
        <f>IF('Raw Data - financials'!O100="","",'Raw Data - financials'!O100)</f>
        <v>0</v>
      </c>
      <c r="Q89" s="55">
        <f>IF('Raw Data - financials'!Q100="","",'Raw Data - financials'!Q100)</f>
        <v>299.8</v>
      </c>
      <c r="S89" s="55">
        <f>IF('Raw Data - financials'!S100="","",'Raw Data - financials'!S100)</f>
        <v>0</v>
      </c>
      <c r="U89" s="55">
        <f>IF('Raw Data - financials'!U100="","",'Raw Data - financials'!U100)</f>
        <v>0</v>
      </c>
      <c r="W89" s="55">
        <f>IF('Raw Data - financials'!W100="","",'Raw Data - financials'!W100)</f>
        <v>0</v>
      </c>
      <c r="AB89" s="19"/>
      <c r="AC89" s="56">
        <f>IF('Raw Data - financials'!AC100="","",'Raw Data - financials'!AC100)</f>
        <v>0</v>
      </c>
      <c r="AD89" s="56">
        <f>IF('Raw Data - financials'!AD100="","",'Raw Data - financials'!AD100)</f>
        <v>2.69</v>
      </c>
      <c r="AE89" s="56">
        <f>IF('Raw Data - financials'!AE100="","",'Raw Data - financials'!AE100)</f>
        <v>246.94</v>
      </c>
      <c r="AF89" s="56">
        <f>IF('Raw Data - financials'!AF100="","",'Raw Data - financials'!AF100)</f>
        <v>21.73</v>
      </c>
      <c r="AG89" s="56">
        <f>IF('Raw Data - financials'!AG100="","",'Raw Data - financials'!AG100)</f>
        <v>0</v>
      </c>
      <c r="AH89" s="56">
        <f>IF('Raw Data - financials'!AH100="","",'Raw Data - financials'!AH100)</f>
        <v>0</v>
      </c>
      <c r="AI89" s="56">
        <f>IF('Raw Data - financials'!AI100="","",'Raw Data - financials'!AI100)</f>
        <v>0</v>
      </c>
      <c r="AJ89" s="56">
        <f>IF('Raw Data - financials'!AJ100="","",'Raw Data - financials'!AJ100)</f>
        <v>0</v>
      </c>
      <c r="AK89" s="56">
        <f>IF(Projections!AK201="","",Projections!AK201)</f>
        <v>0</v>
      </c>
      <c r="AL89" s="56">
        <f>IF(Projections!AL201="","",Projections!AL201)</f>
        <v>0</v>
      </c>
      <c r="AM89" s="56">
        <f>IF(Projections!AM201="","",Projections!AM201)</f>
        <v>0</v>
      </c>
      <c r="AN89" s="56">
        <f>IF(Projections!AN201="","",Projections!AN201)</f>
        <v>0</v>
      </c>
    </row>
    <row r="90" spans="1:40" outlineLevel="1" x14ac:dyDescent="0.3">
      <c r="A90" s="20" t="s">
        <v>116</v>
      </c>
      <c r="B90" s="17" t="s">
        <v>214</v>
      </c>
      <c r="E90" s="55" t="str">
        <f>IF('Raw Data - financials'!E101="","",'Raw Data - financials'!E101)</f>
        <v/>
      </c>
      <c r="G90" s="55">
        <f>IF('Raw Data - financials'!G101="","",'Raw Data - financials'!G101)</f>
        <v>220.49</v>
      </c>
      <c r="I90" s="55">
        <f>IF('Raw Data - financials'!I101="","",'Raw Data - financials'!I101)</f>
        <v>174.89</v>
      </c>
      <c r="K90" s="55">
        <f>IF('Raw Data - financials'!K101="","",'Raw Data - financials'!K101)</f>
        <v>421.31</v>
      </c>
      <c r="M90" s="55">
        <f>IF('Raw Data - financials'!M101="","",'Raw Data - financials'!M101)</f>
        <v>320.85000000000002</v>
      </c>
      <c r="O90" s="55">
        <f>IF('Raw Data - financials'!O101="","",'Raw Data - financials'!O101)</f>
        <v>375.07</v>
      </c>
      <c r="Q90" s="55" t="str">
        <f>IF('Raw Data - financials'!Q101="","",'Raw Data - financials'!Q101)</f>
        <v/>
      </c>
      <c r="S90" s="55">
        <f>IF('Raw Data - financials'!S101="","",'Raw Data - financials'!S101)</f>
        <v>405.2</v>
      </c>
      <c r="U90" s="55">
        <f>IF('Raw Data - financials'!U101="","",'Raw Data - financials'!U101)</f>
        <v>324.5</v>
      </c>
      <c r="W90" s="55">
        <f>IF('Raw Data - financials'!W101="","",'Raw Data - financials'!W101)</f>
        <v>689.4</v>
      </c>
      <c r="AB90" s="19"/>
      <c r="AC90" s="56">
        <f>IF('Raw Data - financials'!AC101="","",'Raw Data - financials'!AC101)</f>
        <v>122.46</v>
      </c>
      <c r="AD90" s="56">
        <f>IF('Raw Data - financials'!AD101="","",'Raw Data - financials'!AD101)</f>
        <v>83.32</v>
      </c>
      <c r="AE90" s="56">
        <f>IF('Raw Data - financials'!AE101="","",'Raw Data - financials'!AE101)</f>
        <v>175.17</v>
      </c>
      <c r="AF90" s="56">
        <f>IF('Raw Data - financials'!AF101="","",'Raw Data - financials'!AF101)</f>
        <v>220.49</v>
      </c>
      <c r="AG90" s="56">
        <f>IF('Raw Data - financials'!AG101="","",'Raw Data - financials'!AG101)</f>
        <v>421.31</v>
      </c>
      <c r="AH90" s="56">
        <f>IF('Raw Data - financials'!AH101="","",'Raw Data - financials'!AH101)</f>
        <v>375.07</v>
      </c>
      <c r="AI90" s="56">
        <f>IF('Raw Data - financials'!AI101="","",'Raw Data - financials'!AI101)</f>
        <v>405.2</v>
      </c>
      <c r="AJ90" s="56">
        <f>IF('Raw Data - financials'!AJ101="","",'Raw Data - financials'!AJ101)</f>
        <v>689.4</v>
      </c>
      <c r="AK90" s="56">
        <f>IF(Projections!AK202="","",Projections!AK202)</f>
        <v>909.0840272926481</v>
      </c>
      <c r="AL90" s="56">
        <f>IF(Projections!AL202="","",Projections!AL202)</f>
        <v>1194.2655503287558</v>
      </c>
      <c r="AM90" s="56">
        <f>IF(Projections!AM202="","",Projections!AM202)</f>
        <v>1568.9462602154993</v>
      </c>
      <c r="AN90" s="56">
        <f>IF(Projections!AN202="","",Projections!AN202)</f>
        <v>2061.2262302367394</v>
      </c>
    </row>
    <row r="91" spans="1:40" x14ac:dyDescent="0.3">
      <c r="A91" s="72" t="s">
        <v>117</v>
      </c>
      <c r="B91" s="17" t="s">
        <v>214</v>
      </c>
      <c r="E91" s="73" t="str">
        <f>IFERROR(E82+E83+E84+E85+E86+E87+E88+E89+E90,"")</f>
        <v/>
      </c>
      <c r="G91" s="73">
        <f>IFERROR(G82+G83+G84+G85+G86+G87+G88+G89+G90,"")</f>
        <v>9652.5699999999979</v>
      </c>
      <c r="I91" s="73">
        <f>IFERROR(I82+I83+I84+I85+I86+I87+I88+I89+I90,"")</f>
        <v>10425.9</v>
      </c>
      <c r="K91" s="73">
        <f>IFERROR(K82+K83+K84+K85+K86+K87+K88+K89+K90,"")</f>
        <v>11975.090000000002</v>
      </c>
      <c r="M91" s="73">
        <f>IFERROR(M82+M83+M84+M85+M86+M87+M88+M89+M90,"")</f>
        <v>15387.200000000003</v>
      </c>
      <c r="O91" s="73">
        <f>IFERROR(O82+O83+O84+O85+O86+O87+O88+O89+O90,"")</f>
        <v>18788.73</v>
      </c>
      <c r="Q91" s="73" t="str">
        <f>IFERROR(Q82+Q83+Q84+Q85+Q86+Q87+Q88+Q89+Q90,"")</f>
        <v/>
      </c>
      <c r="S91" s="73">
        <f>IFERROR(S82+S83+S84+S85+S86+S87+S88+S89+S90,"")</f>
        <v>21605.899999999998</v>
      </c>
      <c r="U91" s="73">
        <f>IFERROR(U82+U83+U84+U85+U86+U87+U88+U89+U90,"")</f>
        <v>25853.3</v>
      </c>
      <c r="W91" s="73">
        <f>IFERROR(W82+W83+W84+W85+W86+W87+W88+W89+W90,"")</f>
        <v>27582.5</v>
      </c>
      <c r="AB91" s="19"/>
      <c r="AC91" s="60">
        <f t="shared" ref="AC91:AN91" si="19">IFERROR(AC82+AC83+AC84+AC85+AC86+AC87+AC88+AC89+AC90,"")</f>
        <v>4656.95</v>
      </c>
      <c r="AD91" s="60">
        <f t="shared" si="19"/>
        <v>6659.2599999999993</v>
      </c>
      <c r="AE91" s="60">
        <f t="shared" si="19"/>
        <v>6948.2</v>
      </c>
      <c r="AF91" s="60">
        <f t="shared" si="19"/>
        <v>9652.5699999999979</v>
      </c>
      <c r="AG91" s="60">
        <f t="shared" si="19"/>
        <v>11975.090000000002</v>
      </c>
      <c r="AH91" s="60">
        <f t="shared" si="19"/>
        <v>18788.73</v>
      </c>
      <c r="AI91" s="60">
        <f t="shared" si="19"/>
        <v>21605.899999999998</v>
      </c>
      <c r="AJ91" s="60">
        <f t="shared" si="19"/>
        <v>27582.5</v>
      </c>
      <c r="AK91" s="60">
        <f t="shared" si="19"/>
        <v>38425.904415935292</v>
      </c>
      <c r="AL91" s="60">
        <f t="shared" si="19"/>
        <v>47501.776662457851</v>
      </c>
      <c r="AM91" s="60">
        <f t="shared" si="19"/>
        <v>59425.951202117329</v>
      </c>
      <c r="AN91" s="60">
        <f t="shared" si="19"/>
        <v>75092.709938338274</v>
      </c>
    </row>
    <row r="92" spans="1:40" x14ac:dyDescent="0.3">
      <c r="AB92" s="19"/>
    </row>
    <row r="93" spans="1:40" x14ac:dyDescent="0.3">
      <c r="A93" s="72" t="s">
        <v>118</v>
      </c>
      <c r="B93" s="17" t="s">
        <v>214</v>
      </c>
      <c r="E93" s="73" t="str">
        <f>IFERROR(E79+E91,"")</f>
        <v/>
      </c>
      <c r="G93" s="73">
        <f>IFERROR(G79+G91,"")</f>
        <v>13005.199999999997</v>
      </c>
      <c r="I93" s="73">
        <f>IFERROR(I79+I91,"")</f>
        <v>15156.09</v>
      </c>
      <c r="K93" s="73">
        <f>IFERROR(K79+K91,"")</f>
        <v>15578.230000000001</v>
      </c>
      <c r="M93" s="73">
        <f>IFERROR(M79+M91,"")</f>
        <v>17263.210000000003</v>
      </c>
      <c r="O93" s="73">
        <f>IFERROR(O79+O91,"")</f>
        <v>21195.82</v>
      </c>
      <c r="Q93" s="73" t="str">
        <f>IFERROR(Q79+Q91,"")</f>
        <v/>
      </c>
      <c r="S93" s="73">
        <f>IFERROR(S79+S91,"")</f>
        <v>26368.699999999997</v>
      </c>
      <c r="U93" s="73">
        <f>IFERROR(U79+U91,"")</f>
        <v>28929.7</v>
      </c>
      <c r="W93" s="73">
        <f>IFERROR(W79+W91,"")</f>
        <v>31092.799999999999</v>
      </c>
      <c r="AB93" s="19"/>
      <c r="AC93" s="60">
        <f t="shared" ref="AC93:AN93" si="20">IFERROR(AC79+AC91,"")</f>
        <v>5446.3</v>
      </c>
      <c r="AD93" s="60">
        <f t="shared" si="20"/>
        <v>8015.9499999999989</v>
      </c>
      <c r="AE93" s="60">
        <f t="shared" si="20"/>
        <v>8112.15</v>
      </c>
      <c r="AF93" s="60">
        <f t="shared" si="20"/>
        <v>13005.199999999997</v>
      </c>
      <c r="AG93" s="60">
        <f t="shared" si="20"/>
        <v>15578.230000000001</v>
      </c>
      <c r="AH93" s="60">
        <f t="shared" si="20"/>
        <v>21195.82</v>
      </c>
      <c r="AI93" s="60">
        <f t="shared" si="20"/>
        <v>26368.699999999997</v>
      </c>
      <c r="AJ93" s="60">
        <f t="shared" si="20"/>
        <v>31092.799999999999</v>
      </c>
      <c r="AK93" s="60">
        <f t="shared" si="20"/>
        <v>41945.954677595946</v>
      </c>
      <c r="AL93" s="60">
        <f t="shared" si="20"/>
        <v>51030.093055221005</v>
      </c>
      <c r="AM93" s="60">
        <f t="shared" si="20"/>
        <v>62965.12790531198</v>
      </c>
      <c r="AN93" s="60">
        <f t="shared" si="20"/>
        <v>78646.155626171225</v>
      </c>
    </row>
    <row r="94" spans="1:40" x14ac:dyDescent="0.3">
      <c r="A94" s="72" t="s">
        <v>119</v>
      </c>
      <c r="B94" s="17" t="s">
        <v>214</v>
      </c>
      <c r="E94" s="73" t="str">
        <f>IFERROR(E72+E93,"")</f>
        <v/>
      </c>
      <c r="G94" s="73">
        <f>IFERROR(G72+G93,"")</f>
        <v>26460.35</v>
      </c>
      <c r="I94" s="73">
        <f>IFERROR(I72+I93,"")</f>
        <v>28863.93</v>
      </c>
      <c r="K94" s="73">
        <f>IFERROR(K72+K93,"")</f>
        <v>29499.78</v>
      </c>
      <c r="M94" s="73">
        <f>IFERROR(M72+M93,"")</f>
        <v>31358.590000000004</v>
      </c>
      <c r="O94" s="73">
        <f>IFERROR(O72+O93,"")</f>
        <v>34006.26</v>
      </c>
      <c r="Q94" s="73" t="str">
        <f>IFERROR(Q72+Q93,"")</f>
        <v/>
      </c>
      <c r="S94" s="73">
        <f>IFERROR(S72+S93,"")</f>
        <v>39795.299999999996</v>
      </c>
      <c r="U94" s="73">
        <f>IFERROR(U72+U93,"")</f>
        <v>43324</v>
      </c>
      <c r="W94" s="73">
        <f>IFERROR(W72+W93,"")</f>
        <v>46113.8</v>
      </c>
      <c r="AB94" s="19"/>
      <c r="AC94" s="60">
        <f t="shared" ref="AC94:AN94" si="21">IFERROR(AC72+AC93,"")</f>
        <v>7756.57</v>
      </c>
      <c r="AD94" s="60">
        <f t="shared" si="21"/>
        <v>11244.82</v>
      </c>
      <c r="AE94" s="60">
        <f t="shared" si="21"/>
        <v>13019.9</v>
      </c>
      <c r="AF94" s="60">
        <f t="shared" si="21"/>
        <v>26460.35</v>
      </c>
      <c r="AG94" s="60">
        <f t="shared" si="21"/>
        <v>29499.78</v>
      </c>
      <c r="AH94" s="60">
        <f t="shared" si="21"/>
        <v>34006.26</v>
      </c>
      <c r="AI94" s="60">
        <f t="shared" si="21"/>
        <v>39795.299999999996</v>
      </c>
      <c r="AJ94" s="60">
        <f t="shared" si="21"/>
        <v>46113.8</v>
      </c>
      <c r="AK94" s="60">
        <f t="shared" si="21"/>
        <v>60141.467873456808</v>
      </c>
      <c r="AL94" s="60">
        <f t="shared" si="21"/>
        <v>73375.481617612561</v>
      </c>
      <c r="AM94" s="60">
        <f t="shared" si="21"/>
        <v>90735.066118110466</v>
      </c>
      <c r="AN94" s="60">
        <f t="shared" si="21"/>
        <v>113506.35619107525</v>
      </c>
    </row>
    <row r="95" spans="1:40" outlineLevel="1" x14ac:dyDescent="0.3">
      <c r="A95" s="20" t="s">
        <v>120</v>
      </c>
      <c r="B95" s="17" t="s">
        <v>214</v>
      </c>
      <c r="E95" s="55" t="str">
        <f>IFERROR(E64-E94,"")</f>
        <v/>
      </c>
      <c r="G95" s="55">
        <f>IFERROR(G64-G94,"")</f>
        <v>0</v>
      </c>
      <c r="I95" s="55">
        <f>IFERROR(I64-I94,"")</f>
        <v>0</v>
      </c>
      <c r="K95" s="55">
        <f>IFERROR(K64-K94,"")</f>
        <v>0</v>
      </c>
      <c r="M95" s="55">
        <f>IFERROR(M64-M94,"")</f>
        <v>0</v>
      </c>
      <c r="O95" s="55">
        <f>IFERROR(O64-O94,"")</f>
        <v>0</v>
      </c>
      <c r="Q95" s="55" t="str">
        <f>IFERROR(Q64-Q94,"")</f>
        <v/>
      </c>
      <c r="S95" s="55">
        <f>IFERROR(S64-S94,"")</f>
        <v>7.2759576141834259E-12</v>
      </c>
      <c r="U95" s="55">
        <f>IFERROR(U64-U94,"")</f>
        <v>0</v>
      </c>
      <c r="W95" s="55">
        <f>IFERROR(W64-W94,"")</f>
        <v>0</v>
      </c>
      <c r="AB95" s="19"/>
      <c r="AC95" s="56">
        <f t="shared" ref="AC95:AN95" si="22">IFERROR(AC64-AC94,"")</f>
        <v>0</v>
      </c>
      <c r="AD95" s="56">
        <f t="shared" si="22"/>
        <v>0</v>
      </c>
      <c r="AE95" s="56">
        <f t="shared" si="22"/>
        <v>1.8189894035458565E-12</v>
      </c>
      <c r="AF95" s="56">
        <f t="shared" si="22"/>
        <v>0</v>
      </c>
      <c r="AG95" s="56">
        <f t="shared" si="22"/>
        <v>0</v>
      </c>
      <c r="AH95" s="56">
        <f t="shared" si="22"/>
        <v>0</v>
      </c>
      <c r="AI95" s="56">
        <f t="shared" si="22"/>
        <v>7.2759576141834259E-12</v>
      </c>
      <c r="AJ95" s="56">
        <f t="shared" si="22"/>
        <v>0</v>
      </c>
      <c r="AK95" s="56">
        <f t="shared" si="22"/>
        <v>7.2759576141834259E-12</v>
      </c>
      <c r="AL95" s="56">
        <f t="shared" si="22"/>
        <v>0</v>
      </c>
      <c r="AM95" s="56">
        <f t="shared" si="22"/>
        <v>-1.4551915228366852E-11</v>
      </c>
      <c r="AN95" s="56">
        <f t="shared" si="22"/>
        <v>-2.9103830456733704E-11</v>
      </c>
    </row>
    <row r="96" spans="1:40" x14ac:dyDescent="0.3">
      <c r="AB96" s="19"/>
    </row>
    <row r="97" spans="1:40" x14ac:dyDescent="0.3">
      <c r="A97" s="5" t="s">
        <v>464</v>
      </c>
      <c r="B97" s="5"/>
      <c r="C97" s="5"/>
      <c r="D97" s="5"/>
      <c r="E97" s="5"/>
      <c r="F97" s="5"/>
      <c r="G97" s="5"/>
      <c r="H97" s="5"/>
      <c r="I97" s="5"/>
      <c r="J97" s="5"/>
      <c r="K97" s="5"/>
      <c r="L97" s="5"/>
      <c r="M97" s="5"/>
      <c r="N97" s="5"/>
      <c r="O97" s="5"/>
      <c r="P97" s="5"/>
      <c r="Q97" s="5"/>
      <c r="R97" s="5"/>
      <c r="S97" s="5"/>
      <c r="T97" s="5"/>
      <c r="U97" s="5"/>
      <c r="V97" s="5"/>
      <c r="W97" s="5"/>
      <c r="X97" s="5"/>
      <c r="Y97" s="5"/>
      <c r="Z97" s="5"/>
      <c r="AA97" s="5"/>
      <c r="AB97" s="44"/>
      <c r="AC97" s="5"/>
      <c r="AD97" s="5"/>
      <c r="AE97" s="5"/>
      <c r="AF97" s="5"/>
      <c r="AG97" s="5"/>
      <c r="AH97" s="5"/>
      <c r="AI97" s="5"/>
      <c r="AJ97" s="5"/>
      <c r="AK97" s="5"/>
      <c r="AL97" s="5"/>
      <c r="AM97" s="5"/>
      <c r="AN97" s="5"/>
    </row>
    <row r="98" spans="1:40" x14ac:dyDescent="0.3">
      <c r="A98" s="17" t="s">
        <v>465</v>
      </c>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45"/>
      <c r="AC98" s="17"/>
      <c r="AD98" s="17"/>
      <c r="AE98" s="17"/>
      <c r="AF98" s="17"/>
      <c r="AG98" s="17"/>
      <c r="AH98" s="17"/>
      <c r="AI98" s="17"/>
      <c r="AJ98" s="17"/>
      <c r="AK98" s="17"/>
      <c r="AL98" s="17"/>
      <c r="AM98" s="17"/>
      <c r="AN98" s="17"/>
    </row>
    <row r="99" spans="1:40" outlineLevel="1" x14ac:dyDescent="0.3">
      <c r="A99" s="20" t="s">
        <v>53</v>
      </c>
      <c r="B99" s="17" t="s">
        <v>214</v>
      </c>
      <c r="AB99" s="19"/>
      <c r="AC99" s="56">
        <f t="shared" ref="AC99:AN99" si="23">IFERROR(AC22,"")</f>
        <v>-317.20000000000073</v>
      </c>
      <c r="AD99" s="56">
        <f t="shared" si="23"/>
        <v>-124.30000000000291</v>
      </c>
      <c r="AE99" s="56">
        <f t="shared" si="23"/>
        <v>753.38000000000102</v>
      </c>
      <c r="AF99" s="56">
        <f t="shared" si="23"/>
        <v>473.05999999999767</v>
      </c>
      <c r="AG99" s="56">
        <f t="shared" si="23"/>
        <v>383.95000000000437</v>
      </c>
      <c r="AH99" s="56">
        <f t="shared" si="23"/>
        <v>690.2699999999968</v>
      </c>
      <c r="AI99" s="56">
        <f t="shared" si="23"/>
        <v>1274.5</v>
      </c>
      <c r="AJ99" s="56">
        <f t="shared" si="23"/>
        <v>3302.2999999999884</v>
      </c>
      <c r="AK99" s="56">
        <f t="shared" si="23"/>
        <v>5140.0796565104538</v>
      </c>
      <c r="AL99" s="56">
        <f t="shared" si="23"/>
        <v>6719.3577825950342</v>
      </c>
      <c r="AM99" s="56">
        <f t="shared" si="23"/>
        <v>8783.2733976796444</v>
      </c>
      <c r="AN99" s="56">
        <f t="shared" si="23"/>
        <v>11480.347072709701</v>
      </c>
    </row>
    <row r="100" spans="1:40" outlineLevel="1" x14ac:dyDescent="0.3">
      <c r="A100" s="20" t="s">
        <v>466</v>
      </c>
      <c r="B100" s="17" t="s">
        <v>214</v>
      </c>
      <c r="AB100" s="19"/>
      <c r="AC100" s="56">
        <f t="shared" ref="AC100:AN100" si="24">IFERROR(AC16,"")</f>
        <v>308.76</v>
      </c>
      <c r="AD100" s="56">
        <f t="shared" si="24"/>
        <v>595.09</v>
      </c>
      <c r="AE100" s="56">
        <f t="shared" si="24"/>
        <v>671.28</v>
      </c>
      <c r="AF100" s="56">
        <f t="shared" si="24"/>
        <v>964.13</v>
      </c>
      <c r="AG100" s="56">
        <f t="shared" si="24"/>
        <v>1732.56</v>
      </c>
      <c r="AH100" s="56">
        <f t="shared" si="24"/>
        <v>2242.33</v>
      </c>
      <c r="AI100" s="56">
        <f t="shared" si="24"/>
        <v>2664</v>
      </c>
      <c r="AJ100" s="56">
        <f t="shared" si="24"/>
        <v>3203.3</v>
      </c>
      <c r="AK100" s="56">
        <f t="shared" si="24"/>
        <v>4216.041865705035</v>
      </c>
      <c r="AL100" s="56">
        <f t="shared" si="24"/>
        <v>5538.6228421043752</v>
      </c>
      <c r="AM100" s="56">
        <f t="shared" si="24"/>
        <v>7276.2725111443451</v>
      </c>
      <c r="AN100" s="56">
        <f t="shared" si="24"/>
        <v>9559.3100532718363</v>
      </c>
    </row>
    <row r="101" spans="1:40" outlineLevel="1" x14ac:dyDescent="0.3">
      <c r="A101" s="20" t="s">
        <v>467</v>
      </c>
      <c r="B101" s="17" t="s">
        <v>214</v>
      </c>
      <c r="AB101" s="19"/>
      <c r="AC101" s="56">
        <f t="shared" ref="AC101:AN101" si="25">IFERROR(AC15,"")</f>
        <v>263.42</v>
      </c>
      <c r="AD101" s="56">
        <f t="shared" si="25"/>
        <v>442.93</v>
      </c>
      <c r="AE101" s="56">
        <f t="shared" si="25"/>
        <v>307.01</v>
      </c>
      <c r="AF101" s="56">
        <f t="shared" si="25"/>
        <v>465.11</v>
      </c>
      <c r="AG101" s="56">
        <f t="shared" si="25"/>
        <v>746.05</v>
      </c>
      <c r="AH101" s="56">
        <f t="shared" si="25"/>
        <v>828.32</v>
      </c>
      <c r="AI101" s="56">
        <f t="shared" si="25"/>
        <v>1073.2</v>
      </c>
      <c r="AJ101" s="56">
        <f t="shared" si="25"/>
        <v>1171.2</v>
      </c>
      <c r="AK101" s="56">
        <f t="shared" si="25"/>
        <v>1541.4903071484034</v>
      </c>
      <c r="AL101" s="56">
        <f t="shared" si="25"/>
        <v>2025.0589766444123</v>
      </c>
      <c r="AM101" s="56">
        <f t="shared" si="25"/>
        <v>2660.387136887151</v>
      </c>
      <c r="AN101" s="56">
        <f t="shared" si="25"/>
        <v>3495.1227382275151</v>
      </c>
    </row>
    <row r="102" spans="1:40" outlineLevel="1" x14ac:dyDescent="0.3">
      <c r="A102" s="20" t="s">
        <v>468</v>
      </c>
      <c r="B102" s="17" t="s">
        <v>214</v>
      </c>
      <c r="AB102" s="19"/>
      <c r="AC102" s="56">
        <f t="shared" ref="AC102:AN102" si="26">IFERROR(AC7,"")</f>
        <v>49.88</v>
      </c>
      <c r="AD102" s="56">
        <f t="shared" si="26"/>
        <v>103.17</v>
      </c>
      <c r="AE102" s="56">
        <f t="shared" si="26"/>
        <v>117.41</v>
      </c>
      <c r="AF102" s="56">
        <f t="shared" si="26"/>
        <v>269.72000000000003</v>
      </c>
      <c r="AG102" s="56">
        <f t="shared" si="26"/>
        <v>302.13</v>
      </c>
      <c r="AH102" s="56">
        <f t="shared" si="26"/>
        <v>299.42</v>
      </c>
      <c r="AI102" s="56">
        <f t="shared" si="26"/>
        <v>272.60000000000002</v>
      </c>
      <c r="AJ102" s="56">
        <f t="shared" si="26"/>
        <v>327.7</v>
      </c>
      <c r="AK102" s="56">
        <f t="shared" si="26"/>
        <v>434.7793174008317</v>
      </c>
      <c r="AL102" s="56">
        <f t="shared" si="26"/>
        <v>571.17048059201375</v>
      </c>
      <c r="AM102" s="56">
        <f t="shared" si="26"/>
        <v>750.36560271176052</v>
      </c>
      <c r="AN102" s="56">
        <f t="shared" si="26"/>
        <v>985.80384924365808</v>
      </c>
    </row>
    <row r="103" spans="1:40" outlineLevel="1" x14ac:dyDescent="0.3">
      <c r="A103" s="20" t="s">
        <v>469</v>
      </c>
      <c r="B103" s="17" t="s">
        <v>214</v>
      </c>
      <c r="AB103" s="19"/>
      <c r="AC103" s="56">
        <f>IF(COUNT('Raw Data - financials'!AC115,'Raw Data - financials'!AC116,'Raw Data - financials'!AC117,'Raw Data - financials'!AC118,'Raw Data - financials'!AC119,'Raw Data - financials'!AC120,'Raw Data - financials'!AC121,'Raw Data - financials'!AC123,'Raw Data - financials'!AC124,'Raw Data - financials'!AC125,'Raw Data - financials'!AC126)=0,"",SUM('Raw Data - financials'!AC115,'Raw Data - financials'!AC116,'Raw Data - financials'!AC117,'Raw Data - financials'!AC118,'Raw Data - financials'!AC119,'Raw Data - financials'!AC120,'Raw Data - financials'!AC121,'Raw Data - financials'!AC123,'Raw Data - financials'!AC124,'Raw Data - financials'!AC125,'Raw Data - financials'!AC126))</f>
        <v>39.85</v>
      </c>
      <c r="AD103" s="56">
        <f>IF(COUNT('Raw Data - financials'!AD115,'Raw Data - financials'!AD116,'Raw Data - financials'!AD117,'Raw Data - financials'!AD118,'Raw Data - financials'!AD119,'Raw Data - financials'!AD120,'Raw Data - financials'!AD121,'Raw Data - financials'!AD123,'Raw Data - financials'!AD124,'Raw Data - financials'!AD125,'Raw Data - financials'!AD126)=0,"",SUM('Raw Data - financials'!AD115,'Raw Data - financials'!AD116,'Raw Data - financials'!AD117,'Raw Data - financials'!AD118,'Raw Data - financials'!AD119,'Raw Data - financials'!AD120,'Raw Data - financials'!AD121,'Raw Data - financials'!AD123,'Raw Data - financials'!AD124,'Raw Data - financials'!AD125,'Raw Data - financials'!AD126))</f>
        <v>-4.7799999999999985</v>
      </c>
      <c r="AE103" s="56">
        <f>IF(COUNT('Raw Data - financials'!AE115,'Raw Data - financials'!AE116,'Raw Data - financials'!AE117,'Raw Data - financials'!AE118,'Raw Data - financials'!AE119,'Raw Data - financials'!AE120,'Raw Data - financials'!AE121,'Raw Data - financials'!AE123,'Raw Data - financials'!AE124,'Raw Data - financials'!AE125,'Raw Data - financials'!AE126)=0,"",SUM('Raw Data - financials'!AE115,'Raw Data - financials'!AE116,'Raw Data - financials'!AE117,'Raw Data - financials'!AE118,'Raw Data - financials'!AE119,'Raw Data - financials'!AE120,'Raw Data - financials'!AE121,'Raw Data - financials'!AE123,'Raw Data - financials'!AE124,'Raw Data - financials'!AE125,'Raw Data - financials'!AE126))</f>
        <v>274.42</v>
      </c>
      <c r="AF103" s="56">
        <f>IF(COUNT('Raw Data - financials'!AF115,'Raw Data - financials'!AF116,'Raw Data - financials'!AF117,'Raw Data - financials'!AF118,'Raw Data - financials'!AF119,'Raw Data - financials'!AF120,'Raw Data - financials'!AF121,'Raw Data - financials'!AF123,'Raw Data - financials'!AF124,'Raw Data - financials'!AF125,'Raw Data - financials'!AF126)=0,"",SUM('Raw Data - financials'!AF115,'Raw Data - financials'!AF116,'Raw Data - financials'!AF117,'Raw Data - financials'!AF118,'Raw Data - financials'!AF119,'Raw Data - financials'!AF120,'Raw Data - financials'!AF121,'Raw Data - financials'!AF123,'Raw Data - financials'!AF124,'Raw Data - financials'!AF125,'Raw Data - financials'!AF126))</f>
        <v>156.75000000000003</v>
      </c>
      <c r="AG103" s="56">
        <f>IF(COUNT('Raw Data - financials'!AG115,'Raw Data - financials'!AG116,'Raw Data - financials'!AG117,'Raw Data - financials'!AG118,'Raw Data - financials'!AG119,'Raw Data - financials'!AG120,'Raw Data - financials'!AG121,'Raw Data - financials'!AG123,'Raw Data - financials'!AG124,'Raw Data - financials'!AG125,'Raw Data - financials'!AG126)=0,"",SUM('Raw Data - financials'!AG115,'Raw Data - financials'!AG116,'Raw Data - financials'!AG117,'Raw Data - financials'!AG118,'Raw Data - financials'!AG119,'Raw Data - financials'!AG120,'Raw Data - financials'!AG121,'Raw Data - financials'!AG123,'Raw Data - financials'!AG124,'Raw Data - financials'!AG125,'Raw Data - financials'!AG126))</f>
        <v>195.04999999999998</v>
      </c>
      <c r="AH103" s="56">
        <f>IF(COUNT('Raw Data - financials'!AH115,'Raw Data - financials'!AH116,'Raw Data - financials'!AH117,'Raw Data - financials'!AH118,'Raw Data - financials'!AH119,'Raw Data - financials'!AH120,'Raw Data - financials'!AH121,'Raw Data - financials'!AH123,'Raw Data - financials'!AH124,'Raw Data - financials'!AH125,'Raw Data - financials'!AH126)=0,"",SUM('Raw Data - financials'!AH115,'Raw Data - financials'!AH116,'Raw Data - financials'!AH117,'Raw Data - financials'!AH118,'Raw Data - financials'!AH119,'Raw Data - financials'!AH120,'Raw Data - financials'!AH121,'Raw Data - financials'!AH123,'Raw Data - financials'!AH124,'Raw Data - financials'!AH125,'Raw Data - financials'!AH126))</f>
        <v>264.14000000000004</v>
      </c>
      <c r="AI103" s="56">
        <f>IF(COUNT('Raw Data - financials'!AI115,'Raw Data - financials'!AI116,'Raw Data - financials'!AI117,'Raw Data - financials'!AI118,'Raw Data - financials'!AI119,'Raw Data - financials'!AI120,'Raw Data - financials'!AI121,'Raw Data - financials'!AI123,'Raw Data - financials'!AI124,'Raw Data - financials'!AI125,'Raw Data - financials'!AI126)=0,"",SUM('Raw Data - financials'!AI115,'Raw Data - financials'!AI116,'Raw Data - financials'!AI117,'Raw Data - financials'!AI118,'Raw Data - financials'!AI119,'Raw Data - financials'!AI120,'Raw Data - financials'!AI121,'Raw Data - financials'!AI123,'Raw Data - financials'!AI124,'Raw Data - financials'!AI125,'Raw Data - financials'!AI126))</f>
        <v>224.19999999999996</v>
      </c>
      <c r="AJ103" s="56">
        <f>IF(COUNT('Raw Data - financials'!AJ115,'Raw Data - financials'!AJ116,'Raw Data - financials'!AJ117,'Raw Data - financials'!AJ118,'Raw Data - financials'!AJ119,'Raw Data - financials'!AJ120,'Raw Data - financials'!AJ121,'Raw Data - financials'!AJ123,'Raw Data - financials'!AJ124,'Raw Data - financials'!AJ125,'Raw Data - financials'!AJ126)=0,"",SUM('Raw Data - financials'!AJ115,'Raw Data - financials'!AJ116,'Raw Data - financials'!AJ117,'Raw Data - financials'!AJ118,'Raw Data - financials'!AJ119,'Raw Data - financials'!AJ120,'Raw Data - financials'!AJ121,'Raw Data - financials'!AJ123,'Raw Data - financials'!AJ124,'Raw Data - financials'!AJ125,'Raw Data - financials'!AJ126))</f>
        <v>518.80000000000007</v>
      </c>
      <c r="AK103" s="56">
        <v>0</v>
      </c>
      <c r="AL103" s="56">
        <v>0</v>
      </c>
      <c r="AM103" s="56">
        <v>0</v>
      </c>
      <c r="AN103" s="56">
        <v>0</v>
      </c>
    </row>
    <row r="104" spans="1:40" x14ac:dyDescent="0.3">
      <c r="A104" s="72" t="s">
        <v>139</v>
      </c>
      <c r="B104" s="17" t="s">
        <v>214</v>
      </c>
      <c r="AB104" s="19"/>
      <c r="AC104" s="60">
        <f t="shared" ref="AC104:AN104" si="27">IFERROR(AC99+AC100+AC101-AC102+AC103,"")</f>
        <v>244.94999999999928</v>
      </c>
      <c r="AD104" s="60">
        <f t="shared" si="27"/>
        <v>805.76999999999714</v>
      </c>
      <c r="AE104" s="60">
        <f t="shared" si="27"/>
        <v>1888.680000000001</v>
      </c>
      <c r="AF104" s="60">
        <f t="shared" si="27"/>
        <v>1789.3299999999979</v>
      </c>
      <c r="AG104" s="60">
        <f t="shared" si="27"/>
        <v>2755.4800000000041</v>
      </c>
      <c r="AH104" s="60">
        <f t="shared" si="27"/>
        <v>3725.6399999999967</v>
      </c>
      <c r="AI104" s="60">
        <f t="shared" si="27"/>
        <v>4963.2999999999993</v>
      </c>
      <c r="AJ104" s="60">
        <f t="shared" si="27"/>
        <v>7867.8999999999887</v>
      </c>
      <c r="AK104" s="60">
        <f t="shared" si="27"/>
        <v>10462.832511963063</v>
      </c>
      <c r="AL104" s="60">
        <f t="shared" si="27"/>
        <v>13711.869120751806</v>
      </c>
      <c r="AM104" s="60">
        <f t="shared" si="27"/>
        <v>17969.567442999378</v>
      </c>
      <c r="AN104" s="60">
        <f t="shared" si="27"/>
        <v>23548.976014965396</v>
      </c>
    </row>
    <row r="105" spans="1:40" outlineLevel="1" x14ac:dyDescent="0.3">
      <c r="A105" s="20" t="s">
        <v>470</v>
      </c>
      <c r="B105" s="17" t="s">
        <v>214</v>
      </c>
      <c r="AB105" s="19"/>
      <c r="AC105" s="56">
        <f>IF(COUNT('Raw Data - financials'!AC130,'Raw Data - financials'!AC131,'Raw Data - financials'!AC132,'Raw Data - financials'!AC133,'Raw Data - financials'!AC134,'Raw Data - financials'!AC135,'Raw Data - financials'!AC136,'Raw Data - financials'!AC137,'Raw Data - financials'!AC138,'Raw Data - financials'!AC139,'Raw Data - financials'!AC140,'Raw Data - financials'!AC141,'Raw Data - financials'!AC142)=0,"",SUM('Raw Data - financials'!AC130,'Raw Data - financials'!AC131,'Raw Data - financials'!AC132,'Raw Data - financials'!AC133,'Raw Data - financials'!AC134,'Raw Data - financials'!AC135,'Raw Data - financials'!AC136,'Raw Data - financials'!AC137,'Raw Data - financials'!AC138,'Raw Data - financials'!AC139,'Raw Data - financials'!AC140,'Raw Data - financials'!AC141,'Raw Data - financials'!AC142))</f>
        <v>-1283.83</v>
      </c>
      <c r="AD105" s="56">
        <f>IF(COUNT('Raw Data - financials'!AD130,'Raw Data - financials'!AD131,'Raw Data - financials'!AD132,'Raw Data - financials'!AD133,'Raw Data - financials'!AD134,'Raw Data - financials'!AD135,'Raw Data - financials'!AD136,'Raw Data - financials'!AD137,'Raw Data - financials'!AD138,'Raw Data - financials'!AD139,'Raw Data - financials'!AD140,'Raw Data - financials'!AD141,'Raw Data - financials'!AD142)=0,"",SUM('Raw Data - financials'!AD130,'Raw Data - financials'!AD131,'Raw Data - financials'!AD132,'Raw Data - financials'!AD133,'Raw Data - financials'!AD134,'Raw Data - financials'!AD135,'Raw Data - financials'!AD136,'Raw Data - financials'!AD137,'Raw Data - financials'!AD138,'Raw Data - financials'!AD139,'Raw Data - financials'!AD140,'Raw Data - financials'!AD141,'Raw Data - financials'!AD142))</f>
        <v>-785.89999999999975</v>
      </c>
      <c r="AE105" s="56">
        <f>IF(COUNT('Raw Data - financials'!AE130,'Raw Data - financials'!AE131,'Raw Data - financials'!AE132,'Raw Data - financials'!AE133,'Raw Data - financials'!AE134,'Raw Data - financials'!AE135,'Raw Data - financials'!AE136,'Raw Data - financials'!AE137,'Raw Data - financials'!AE138,'Raw Data - financials'!AE139,'Raw Data - financials'!AE140,'Raw Data - financials'!AE141,'Raw Data - financials'!AE142)=0,"",SUM('Raw Data - financials'!AE130,'Raw Data - financials'!AE131,'Raw Data - financials'!AE132,'Raw Data - financials'!AE133,'Raw Data - financials'!AE134,'Raw Data - financials'!AE135,'Raw Data - financials'!AE136,'Raw Data - financials'!AE137,'Raw Data - financials'!AE138,'Raw Data - financials'!AE139,'Raw Data - financials'!AE140,'Raw Data - financials'!AE141,'Raw Data - financials'!AE142))</f>
        <v>-273.03000000000003</v>
      </c>
      <c r="AF105" s="56">
        <f>IF(COUNT('Raw Data - financials'!AF130,'Raw Data - financials'!AF131,'Raw Data - financials'!AF132,'Raw Data - financials'!AF133,'Raw Data - financials'!AF134,'Raw Data - financials'!AF135,'Raw Data - financials'!AF136,'Raw Data - financials'!AF137,'Raw Data - financials'!AF138,'Raw Data - financials'!AF139,'Raw Data - financials'!AF140,'Raw Data - financials'!AF141,'Raw Data - financials'!AF142)=0,"",SUM('Raw Data - financials'!AF130,'Raw Data - financials'!AF131,'Raw Data - financials'!AF132,'Raw Data - financials'!AF133,'Raw Data - financials'!AF134,'Raw Data - financials'!AF135,'Raw Data - financials'!AF136,'Raw Data - financials'!AF137,'Raw Data - financials'!AF138,'Raw Data - financials'!AF139,'Raw Data - financials'!AF140,'Raw Data - financials'!AF141,'Raw Data - financials'!AF142))</f>
        <v>-4649.26</v>
      </c>
      <c r="AG105" s="56">
        <f>IF(COUNT('Raw Data - financials'!AG130,'Raw Data - financials'!AG131,'Raw Data - financials'!AG132,'Raw Data - financials'!AG133,'Raw Data - financials'!AG134,'Raw Data - financials'!AG135,'Raw Data - financials'!AG136,'Raw Data - financials'!AG137,'Raw Data - financials'!AG138,'Raw Data - financials'!AG139,'Raw Data - financials'!AG140,'Raw Data - financials'!AG141,'Raw Data - financials'!AG142)=0,"",SUM('Raw Data - financials'!AG130,'Raw Data - financials'!AG131,'Raw Data - financials'!AG132,'Raw Data - financials'!AG133,'Raw Data - financials'!AG134,'Raw Data - financials'!AG135,'Raw Data - financials'!AG136,'Raw Data - financials'!AG137,'Raw Data - financials'!AG138,'Raw Data - financials'!AG139,'Raw Data - financials'!AG140,'Raw Data - financials'!AG141,'Raw Data - financials'!AG142))</f>
        <v>-3290.3699999999994</v>
      </c>
      <c r="AH105" s="56">
        <f>IF(COUNT('Raw Data - financials'!AH130,'Raw Data - financials'!AH131,'Raw Data - financials'!AH132,'Raw Data - financials'!AH133,'Raw Data - financials'!AH134,'Raw Data - financials'!AH135,'Raw Data - financials'!AH136,'Raw Data - financials'!AH137,'Raw Data - financials'!AH138,'Raw Data - financials'!AH139,'Raw Data - financials'!AH140,'Raw Data - financials'!AH141,'Raw Data - financials'!AH142)=0,"",SUM('Raw Data - financials'!AH130,'Raw Data - financials'!AH131,'Raw Data - financials'!AH132,'Raw Data - financials'!AH133,'Raw Data - financials'!AH134,'Raw Data - financials'!AH135,'Raw Data - financials'!AH136,'Raw Data - financials'!AH137,'Raw Data - financials'!AH138,'Raw Data - financials'!AH139,'Raw Data - financials'!AH140,'Raw Data - financials'!AH141,'Raw Data - financials'!AH142))</f>
        <v>-2512.98</v>
      </c>
      <c r="AI105" s="56">
        <f>IF(COUNT('Raw Data - financials'!AI130,'Raw Data - financials'!AI131,'Raw Data - financials'!AI132,'Raw Data - financials'!AI133,'Raw Data - financials'!AI134,'Raw Data - financials'!AI135,'Raw Data - financials'!AI136,'Raw Data - financials'!AI137,'Raw Data - financials'!AI138,'Raw Data - financials'!AI139,'Raw Data - financials'!AI140,'Raw Data - financials'!AI141,'Raw Data - financials'!AI142)=0,"",SUM('Raw Data - financials'!AI130,'Raw Data - financials'!AI131,'Raw Data - financials'!AI132,'Raw Data - financials'!AI133,'Raw Data - financials'!AI134,'Raw Data - financials'!AI135,'Raw Data - financials'!AI136,'Raw Data - financials'!AI137,'Raw Data - financials'!AI138,'Raw Data - financials'!AI139,'Raw Data - financials'!AI140,'Raw Data - financials'!AI141,'Raw Data - financials'!AI142))</f>
        <v>210.69999999999985</v>
      </c>
      <c r="AJ105" s="56">
        <f>IF(COUNT('Raw Data - financials'!AJ130,'Raw Data - financials'!AJ131,'Raw Data - financials'!AJ132,'Raw Data - financials'!AJ133,'Raw Data - financials'!AJ134,'Raw Data - financials'!AJ135,'Raw Data - financials'!AJ136,'Raw Data - financials'!AJ137,'Raw Data - financials'!AJ138,'Raw Data - financials'!AJ139,'Raw Data - financials'!AJ140,'Raw Data - financials'!AJ141,'Raw Data - financials'!AJ142)=0,"",SUM('Raw Data - financials'!AJ130,'Raw Data - financials'!AJ131,'Raw Data - financials'!AJ132,'Raw Data - financials'!AJ133,'Raw Data - financials'!AJ134,'Raw Data - financials'!AJ135,'Raw Data - financials'!AJ136,'Raw Data - financials'!AJ137,'Raw Data - financials'!AJ138,'Raw Data - financials'!AJ139,'Raw Data - financials'!AJ140,'Raw Data - financials'!AJ141,'Raw Data - financials'!AJ142))</f>
        <v>-151.39999999999989</v>
      </c>
      <c r="AK105" s="56">
        <f>IFERROR(-(Projections!AK158-Projections!AJ158)-(Projections!AK161-Projections!AJ161)-(Projections!AK147-Projections!AJ147)-(Projections!AK149-Projections!AJ149)-(Projections!AK151-Projections!AJ151)-(Projections!AK152-Projections!AJ152)-(Projections!AK153-Projections!AJ153)-(Projections!AK165-Projections!AJ165)-(Projections!AK167-Projections!AJ167)-(Projections!AK169-Projections!AJ169)+(Projections!AK185-Projections!AJ185)+(Projections!AK187-Projections!AJ187)+(Projections!AK193-Projections!AJ193)+(Projections!AK194-Projections!AJ194)+(Projections!AK196-Projections!AJ196)+(Projections!AK198-Projections!AJ198)+(Projections!AK199-Projections!AJ199)+(Projections!AK201-Projections!AJ201)+(Projections!AK202-Projections!AJ202),"")</f>
        <v>11100.642294640164</v>
      </c>
      <c r="AL105" s="56">
        <f>IFERROR(-(Projections!AL158-Projections!AK158)-(Projections!AL161-Projections!AK161)-(Projections!AL147-Projections!AK147)-(Projections!AL149-Projections!AK149)-(Projections!AL151-Projections!AK151)-(Projections!AL152-Projections!AK152)-(Projections!AL153-Projections!AK153)-(Projections!AL165-Projections!AK165)-(Projections!AL167-Projections!AK167)-(Projections!AL169-Projections!AK169)+(Projections!AL185-Projections!AK185)+(Projections!AL187-Projections!AK187)+(Projections!AL193-Projections!AK193)+(Projections!AL194-Projections!AK194)+(Projections!AL196-Projections!AK196)+(Projections!AL198-Projections!AK198)+(Projections!AL199-Projections!AK199)+(Projections!AL201-Projections!AK201)+(Projections!AL202-Projections!AK202),"")</f>
        <v>-70.3187317075284</v>
      </c>
      <c r="AM105" s="56">
        <f>IFERROR(-(Projections!AM158-Projections!AL158)-(Projections!AM161-Projections!AL161)-(Projections!AM147-Projections!AL147)-(Projections!AM149-Projections!AL149)-(Projections!AM151-Projections!AL151)-(Projections!AM152-Projections!AL152)-(Projections!AM153-Projections!AL153)-(Projections!AM165-Projections!AL165)-(Projections!AM167-Projections!AL167)-(Projections!AM169-Projections!AL169)+(Projections!AM185-Projections!AL185)+(Projections!AM187-Projections!AL187)+(Projections!AM193-Projections!AL193)+(Projections!AM194-Projections!AL194)+(Projections!AM196-Projections!AL196)+(Projections!AM198-Projections!AL198)+(Projections!AM199-Projections!AL199)+(Projections!AM201-Projections!AL201)+(Projections!AM202-Projections!AL202),"")</f>
        <v>-92.387024355636413</v>
      </c>
      <c r="AN105" s="56">
        <f>IFERROR(-(Projections!AN158-Projections!AM158)-(Projections!AN161-Projections!AM161)-(Projections!AN147-Projections!AM147)-(Projections!AN149-Projections!AM149)-(Projections!AN151-Projections!AM151)-(Projections!AN152-Projections!AM152)-(Projections!AN153-Projections!AM153)-(Projections!AN165-Projections!AM165)-(Projections!AN167-Projections!AM167)-(Projections!AN169-Projections!AM169)+(Projections!AN185-Projections!AM185)+(Projections!AN187-Projections!AM187)+(Projections!AN193-Projections!AM193)+(Projections!AN194-Projections!AM194)+(Projections!AN196-Projections!AM196)+(Projections!AN198-Projections!AM198)+(Projections!AN199-Projections!AM199)+(Projections!AN201-Projections!AM201)+(Projections!AN202-Projections!AM202),"")</f>
        <v>-121.38410219701609</v>
      </c>
    </row>
    <row r="106" spans="1:40" x14ac:dyDescent="0.3">
      <c r="A106" s="72" t="s">
        <v>471</v>
      </c>
      <c r="B106" s="17" t="s">
        <v>214</v>
      </c>
      <c r="AB106" s="19"/>
      <c r="AC106" s="60">
        <f t="shared" ref="AC106:AN106" si="28">IFERROR(AC104+AC105,"")</f>
        <v>-1038.8800000000006</v>
      </c>
      <c r="AD106" s="60">
        <f t="shared" si="28"/>
        <v>19.86999999999739</v>
      </c>
      <c r="AE106" s="60">
        <f t="shared" si="28"/>
        <v>1615.650000000001</v>
      </c>
      <c r="AF106" s="60">
        <f t="shared" si="28"/>
        <v>-2859.9300000000021</v>
      </c>
      <c r="AG106" s="60">
        <f t="shared" si="28"/>
        <v>-534.88999999999533</v>
      </c>
      <c r="AH106" s="60">
        <f t="shared" si="28"/>
        <v>1212.6599999999967</v>
      </c>
      <c r="AI106" s="60">
        <f t="shared" si="28"/>
        <v>5173.9999999999991</v>
      </c>
      <c r="AJ106" s="60">
        <f t="shared" si="28"/>
        <v>7716.4999999999891</v>
      </c>
      <c r="AK106" s="60">
        <f t="shared" si="28"/>
        <v>21563.474806603226</v>
      </c>
      <c r="AL106" s="60">
        <f t="shared" si="28"/>
        <v>13641.550389044278</v>
      </c>
      <c r="AM106" s="60">
        <f t="shared" si="28"/>
        <v>17877.18041864374</v>
      </c>
      <c r="AN106" s="60">
        <f t="shared" si="28"/>
        <v>23427.591912768381</v>
      </c>
    </row>
    <row r="107" spans="1:40" outlineLevel="1" x14ac:dyDescent="0.3">
      <c r="A107" s="20" t="s">
        <v>472</v>
      </c>
      <c r="B107" s="17" t="s">
        <v>214</v>
      </c>
      <c r="AB107" s="19"/>
      <c r="AC107" s="56">
        <f>IF('Raw Data - financials'!AC144="","",'Raw Data - financials'!AC144)</f>
        <v>0</v>
      </c>
      <c r="AD107" s="56">
        <f>IF('Raw Data - financials'!AD144="","",'Raw Data - financials'!AD144)</f>
        <v>-42.67</v>
      </c>
      <c r="AE107" s="56">
        <f>IF('Raw Data - financials'!AE144="","",'Raw Data - financials'!AE144)</f>
        <v>-131.71</v>
      </c>
      <c r="AF107" s="56">
        <f>IF('Raw Data - financials'!AF144="","",'Raw Data - financials'!AF144)</f>
        <v>-721.57</v>
      </c>
      <c r="AG107" s="56">
        <f>IF('Raw Data - financials'!AG144="","",'Raw Data - financials'!AG144)</f>
        <v>-951.05</v>
      </c>
      <c r="AH107" s="56">
        <f>IF('Raw Data - financials'!AH144="","",'Raw Data - financials'!AH144)</f>
        <v>-1312.25</v>
      </c>
      <c r="AI107" s="56">
        <f>IF('Raw Data - financials'!AI144="","",'Raw Data - financials'!AI144)</f>
        <v>-597.4</v>
      </c>
      <c r="AJ107" s="56">
        <f>IF('Raw Data - financials'!AJ144="","",'Raw Data - financials'!AJ144)</f>
        <v>-1351.7</v>
      </c>
      <c r="AK107" s="56">
        <f>IFERROR(-AK29,"")</f>
        <v>-1965.5664606495932</v>
      </c>
      <c r="AL107" s="56">
        <f>IFERROR(-AL29,"")</f>
        <v>-2569.4824160643498</v>
      </c>
      <c r="AM107" s="56">
        <f>IFERROR(-AM29,"")</f>
        <v>-3358.7237472726983</v>
      </c>
      <c r="AN107" s="56">
        <f>IFERROR(-AN29,"")</f>
        <v>-4390.0847206041735</v>
      </c>
    </row>
    <row r="108" spans="1:40" x14ac:dyDescent="0.3">
      <c r="A108" s="72" t="s">
        <v>156</v>
      </c>
      <c r="B108" s="17" t="s">
        <v>214</v>
      </c>
      <c r="AB108" s="19"/>
      <c r="AC108" s="60">
        <f t="shared" ref="AC108:AN108" si="29">IFERROR(AC106+AC107,"")</f>
        <v>-1038.8800000000006</v>
      </c>
      <c r="AD108" s="60">
        <f t="shared" si="29"/>
        <v>-22.800000000002612</v>
      </c>
      <c r="AE108" s="60">
        <f t="shared" si="29"/>
        <v>1483.940000000001</v>
      </c>
      <c r="AF108" s="60">
        <f t="shared" si="29"/>
        <v>-3581.5000000000023</v>
      </c>
      <c r="AG108" s="60">
        <f t="shared" si="29"/>
        <v>-1485.9399999999953</v>
      </c>
      <c r="AH108" s="60">
        <f t="shared" si="29"/>
        <v>-99.590000000003329</v>
      </c>
      <c r="AI108" s="60">
        <f t="shared" si="29"/>
        <v>4576.5999999999995</v>
      </c>
      <c r="AJ108" s="60">
        <f t="shared" si="29"/>
        <v>6364.7999999999893</v>
      </c>
      <c r="AK108" s="60">
        <f t="shared" si="29"/>
        <v>19597.908345953634</v>
      </c>
      <c r="AL108" s="60">
        <f t="shared" si="29"/>
        <v>11072.067972979929</v>
      </c>
      <c r="AM108" s="60">
        <f t="shared" si="29"/>
        <v>14518.456671371041</v>
      </c>
      <c r="AN108" s="60">
        <f t="shared" si="29"/>
        <v>19037.507192164208</v>
      </c>
    </row>
    <row r="109" spans="1:40" x14ac:dyDescent="0.3">
      <c r="AB109" s="19"/>
    </row>
    <row r="110" spans="1:40" x14ac:dyDescent="0.3">
      <c r="A110" s="9" t="s">
        <v>157</v>
      </c>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46"/>
      <c r="AC110" s="9"/>
      <c r="AD110" s="9"/>
      <c r="AE110" s="9"/>
      <c r="AF110" s="9"/>
      <c r="AG110" s="9"/>
      <c r="AH110" s="9"/>
      <c r="AI110" s="9"/>
      <c r="AJ110" s="9"/>
      <c r="AK110" s="9"/>
      <c r="AL110" s="9"/>
      <c r="AM110" s="9"/>
      <c r="AN110" s="9"/>
    </row>
    <row r="111" spans="1:40" outlineLevel="1" x14ac:dyDescent="0.3">
      <c r="A111" s="20" t="s">
        <v>158</v>
      </c>
      <c r="B111" s="17" t="s">
        <v>214</v>
      </c>
      <c r="AB111" s="19"/>
      <c r="AC111" s="56">
        <f>IF('Raw Data - financials'!AC148="","",'Raw Data - financials'!AC148)</f>
        <v>-349.13</v>
      </c>
      <c r="AD111" s="56">
        <f>IF('Raw Data - financials'!AD148="","",'Raw Data - financials'!AD148)</f>
        <v>-457.04</v>
      </c>
      <c r="AE111" s="56">
        <f>IF('Raw Data - financials'!AE148="","",'Raw Data - financials'!AE148)</f>
        <v>-420.71</v>
      </c>
      <c r="AF111" s="56">
        <f>IF('Raw Data - financials'!AF148="","",'Raw Data - financials'!AF148)</f>
        <v>-939.73</v>
      </c>
      <c r="AG111" s="56">
        <f>IF('Raw Data - financials'!AG148="","",'Raw Data - financials'!AG148)</f>
        <v>-2081.61</v>
      </c>
      <c r="AH111" s="56">
        <f>IF('Raw Data - financials'!AH148="","",'Raw Data - financials'!AH148)</f>
        <v>-1107.28</v>
      </c>
      <c r="AI111" s="56">
        <f>IF('Raw Data - financials'!AI148="","",'Raw Data - financials'!AI148)</f>
        <v>-1272.2</v>
      </c>
      <c r="AJ111" s="56">
        <f>IF('Raw Data - financials'!AJ148="","",'Raw Data - financials'!AJ148)</f>
        <v>-1538.7</v>
      </c>
      <c r="AK111" s="56">
        <f>IFERROR(-(((Projections!AK139-Projections!AJ139)+(Projections!AK140-Projections!AJ140)+(Projections!AK141-Projections!AJ141)+(Projections!AK142-Projections!AJ142)+(Projections!AK143-Projections!AJ143)+(Projections!AK144-Projections!AJ144))+AK16),"")</f>
        <v>-4216.041865705035</v>
      </c>
      <c r="AL111" s="56">
        <f>IFERROR(-(((Projections!AL139-Projections!AK139)+(Projections!AL140-Projections!AK140)+(Projections!AL141-Projections!AK141)+(Projections!AL142-Projections!AK142)+(Projections!AL143-Projections!AK143)+(Projections!AL144-Projections!AK144))+AL16),"")</f>
        <v>-5538.6228421043752</v>
      </c>
      <c r="AM111" s="56">
        <f>IFERROR(-(((Projections!AM139-Projections!AL139)+(Projections!AM140-Projections!AL140)+(Projections!AM141-Projections!AL141)+(Projections!AM142-Projections!AL142)+(Projections!AM143-Projections!AL143)+(Projections!AM144-Projections!AL144))+AM16),"")</f>
        <v>-7276.2725111443451</v>
      </c>
      <c r="AN111" s="56">
        <f>IFERROR(-(((Projections!AN139-Projections!AM139)+(Projections!AN140-Projections!AM140)+(Projections!AN141-Projections!AM141)+(Projections!AN142-Projections!AM142)+(Projections!AN143-Projections!AM143)+(Projections!AN144-Projections!AM144))+AN16),"")</f>
        <v>-9559.3100532718363</v>
      </c>
    </row>
    <row r="112" spans="1:40" outlineLevel="1" x14ac:dyDescent="0.3">
      <c r="A112" s="20" t="s">
        <v>159</v>
      </c>
      <c r="B112" s="17" t="s">
        <v>214</v>
      </c>
      <c r="AB112" s="19"/>
      <c r="AC112" s="56">
        <f>IF('Raw Data - financials'!AC149="","",'Raw Data - financials'!AC149)</f>
        <v>0</v>
      </c>
      <c r="AD112" s="56">
        <f>IF('Raw Data - financials'!AD149="","",'Raw Data - financials'!AD149)</f>
        <v>0</v>
      </c>
      <c r="AE112" s="56">
        <f>IF('Raw Data - financials'!AE149="","",'Raw Data - financials'!AE149)</f>
        <v>0</v>
      </c>
      <c r="AF112" s="56">
        <f>IF('Raw Data - financials'!AF149="","",'Raw Data - financials'!AF149)</f>
        <v>0</v>
      </c>
      <c r="AG112" s="56">
        <f>IF('Raw Data - financials'!AG149="","",'Raw Data - financials'!AG149)</f>
        <v>0</v>
      </c>
      <c r="AH112" s="56">
        <f>IF('Raw Data - financials'!AH149="","",'Raw Data - financials'!AH149)</f>
        <v>0</v>
      </c>
      <c r="AI112" s="56">
        <f>IF('Raw Data - financials'!AI149="","",'Raw Data - financials'!AI149)</f>
        <v>0</v>
      </c>
      <c r="AJ112" s="56">
        <f>IF('Raw Data - financials'!AJ149="","",'Raw Data - financials'!AJ149)</f>
        <v>21</v>
      </c>
      <c r="AK112" s="56">
        <v>0</v>
      </c>
      <c r="AL112" s="56">
        <v>0</v>
      </c>
      <c r="AM112" s="56">
        <v>0</v>
      </c>
      <c r="AN112" s="56">
        <v>0</v>
      </c>
    </row>
    <row r="113" spans="1:40" outlineLevel="1" x14ac:dyDescent="0.3">
      <c r="A113" s="20" t="s">
        <v>473</v>
      </c>
      <c r="B113" s="17" t="s">
        <v>214</v>
      </c>
      <c r="AB113" s="19"/>
      <c r="AC113" s="56">
        <f>IF(COUNT('Raw Data - financials'!AC150,'Raw Data - financials'!AC152,'Raw Data - financials'!AC153,'Raw Data - financials'!AC154)=0,"",SUM('Raw Data - financials'!AC150,'Raw Data - financials'!AC152,'Raw Data - financials'!AC153,'Raw Data - financials'!AC154))</f>
        <v>-1270.76</v>
      </c>
      <c r="AD113" s="56">
        <f>IF(COUNT('Raw Data - financials'!AD150,'Raw Data - financials'!AD152,'Raw Data - financials'!AD153,'Raw Data - financials'!AD154)=0,"",SUM('Raw Data - financials'!AD150,'Raw Data - financials'!AD152,'Raw Data - financials'!AD153,'Raw Data - financials'!AD154))</f>
        <v>605.73</v>
      </c>
      <c r="AE113" s="56">
        <f>IF(COUNT('Raw Data - financials'!AE150,'Raw Data - financials'!AE152,'Raw Data - financials'!AE153,'Raw Data - financials'!AE154)=0,"",SUM('Raw Data - financials'!AE150,'Raw Data - financials'!AE152,'Raw Data - financials'!AE153,'Raw Data - financials'!AE154))</f>
        <v>-896.6</v>
      </c>
      <c r="AF113" s="56">
        <f>IF(COUNT('Raw Data - financials'!AF150,'Raw Data - financials'!AF152,'Raw Data - financials'!AF153,'Raw Data - financials'!AF154)=0,"",SUM('Raw Data - financials'!AF150,'Raw Data - financials'!AF152,'Raw Data - financials'!AF153,'Raw Data - financials'!AF154))</f>
        <v>-4740.04</v>
      </c>
      <c r="AG113" s="56">
        <f>IF(COUNT('Raw Data - financials'!AG150,'Raw Data - financials'!AG152,'Raw Data - financials'!AG153,'Raw Data - financials'!AG154)=0,"",SUM('Raw Data - financials'!AG150,'Raw Data - financials'!AG152,'Raw Data - financials'!AG153,'Raw Data - financials'!AG154))</f>
        <v>3998.86</v>
      </c>
      <c r="AH113" s="56">
        <f>IF(COUNT('Raw Data - financials'!AH150,'Raw Data - financials'!AH152,'Raw Data - financials'!AH153,'Raw Data - financials'!AH154)=0,"",SUM('Raw Data - financials'!AH150,'Raw Data - financials'!AH152,'Raw Data - financials'!AH153,'Raw Data - financials'!AH154))</f>
        <v>787.89</v>
      </c>
      <c r="AI113" s="56">
        <f>IF(COUNT('Raw Data - financials'!AI150,'Raw Data - financials'!AI152,'Raw Data - financials'!AI153,'Raw Data - financials'!AI154)=0,"",SUM('Raw Data - financials'!AI150,'Raw Data - financials'!AI152,'Raw Data - financials'!AI153,'Raw Data - financials'!AI154))</f>
        <v>-587.59999999999991</v>
      </c>
      <c r="AJ113" s="56">
        <f>IF(COUNT('Raw Data - financials'!AJ150,'Raw Data - financials'!AJ152,'Raw Data - financials'!AJ153,'Raw Data - financials'!AJ154)=0,"",SUM('Raw Data - financials'!AJ150,'Raw Data - financials'!AJ152,'Raw Data - financials'!AJ153,'Raw Data - financials'!AJ154))</f>
        <v>-274.39999999999998</v>
      </c>
      <c r="AK113" s="56">
        <f>IFERROR(-((Projections!AK145-Projections!AJ145)+(Projections!AK146-Projections!AJ146)+(Projections!AK160-Projections!AJ160)),"")</f>
        <v>0</v>
      </c>
      <c r="AL113" s="56">
        <f>IFERROR(-((Projections!AL145-Projections!AK145)+(Projections!AL146-Projections!AK146)+(Projections!AL160-Projections!AK160)),"")</f>
        <v>0</v>
      </c>
      <c r="AM113" s="56">
        <f>IFERROR(-((Projections!AM145-Projections!AL145)+(Projections!AM146-Projections!AL146)+(Projections!AM160-Projections!AL160)),"")</f>
        <v>0</v>
      </c>
      <c r="AN113" s="56">
        <f>IFERROR(-((Projections!AN145-Projections!AM145)+(Projections!AN146-Projections!AM146)+(Projections!AN160-Projections!AM160)),"")</f>
        <v>0</v>
      </c>
    </row>
    <row r="114" spans="1:40" outlineLevel="1" x14ac:dyDescent="0.3">
      <c r="A114" s="20" t="s">
        <v>474</v>
      </c>
      <c r="B114" s="17" t="s">
        <v>214</v>
      </c>
      <c r="AB114" s="19"/>
      <c r="AC114" s="56">
        <f>IF(COUNT('Raw Data - financials'!AC151,'Raw Data - financials'!AC155,'Raw Data - financials'!AC156)=0,"",SUM('Raw Data - financials'!AC151,'Raw Data - financials'!AC155,'Raw Data - financials'!AC156))</f>
        <v>-0.43</v>
      </c>
      <c r="AD114" s="56">
        <f>IF(COUNT('Raw Data - financials'!AD151,'Raw Data - financials'!AD155,'Raw Data - financials'!AD156)=0,"",SUM('Raw Data - financials'!AD151,'Raw Data - financials'!AD155,'Raw Data - financials'!AD156))</f>
        <v>0</v>
      </c>
      <c r="AE114" s="56">
        <f>IF(COUNT('Raw Data - financials'!AE151,'Raw Data - financials'!AE155,'Raw Data - financials'!AE156)=0,"",SUM('Raw Data - financials'!AE151,'Raw Data - financials'!AE155,'Raw Data - financials'!AE156))</f>
        <v>-16.149999999999999</v>
      </c>
      <c r="AF114" s="56">
        <f>IF(COUNT('Raw Data - financials'!AF151,'Raw Data - financials'!AF155,'Raw Data - financials'!AF156)=0,"",SUM('Raw Data - financials'!AF151,'Raw Data - financials'!AF155,'Raw Data - financials'!AF156))</f>
        <v>-513.68999999999994</v>
      </c>
      <c r="AG114" s="56">
        <f>IF(COUNT('Raw Data - financials'!AG151,'Raw Data - financials'!AG155,'Raw Data - financials'!AG156)=0,"",SUM('Raw Data - financials'!AG151,'Raw Data - financials'!AG155,'Raw Data - financials'!AG156))</f>
        <v>-702.42000000000007</v>
      </c>
      <c r="AH114" s="56">
        <f>IF(COUNT('Raw Data - financials'!AH151,'Raw Data - financials'!AH155,'Raw Data - financials'!AH156)=0,"",SUM('Raw Data - financials'!AH151,'Raw Data - financials'!AH155,'Raw Data - financials'!AH156))</f>
        <v>0</v>
      </c>
      <c r="AI114" s="56">
        <f>IF(COUNT('Raw Data - financials'!AI151,'Raw Data - financials'!AI155,'Raw Data - financials'!AI156)=0,"",SUM('Raw Data - financials'!AI151,'Raw Data - financials'!AI155,'Raw Data - financials'!AI156))</f>
        <v>-290.2</v>
      </c>
      <c r="AJ114" s="56">
        <f>IF(COUNT('Raw Data - financials'!AJ151,'Raw Data - financials'!AJ155,'Raw Data - financials'!AJ156)=0,"",SUM('Raw Data - financials'!AJ151,'Raw Data - financials'!AJ155,'Raw Data - financials'!AJ156))</f>
        <v>0</v>
      </c>
      <c r="AK114" s="56">
        <v>0</v>
      </c>
      <c r="AL114" s="56">
        <v>0</v>
      </c>
      <c r="AM114" s="56">
        <v>0</v>
      </c>
      <c r="AN114" s="56">
        <v>0</v>
      </c>
    </row>
    <row r="115" spans="1:40" outlineLevel="1" x14ac:dyDescent="0.3">
      <c r="A115" s="20" t="s">
        <v>167</v>
      </c>
      <c r="B115" s="17" t="s">
        <v>214</v>
      </c>
      <c r="AB115" s="19"/>
      <c r="AC115" s="56">
        <f>IF('Raw Data - financials'!AC157="","",'Raw Data - financials'!AC157)</f>
        <v>0.78</v>
      </c>
      <c r="AD115" s="56">
        <f>IF('Raw Data - financials'!AD157="","",'Raw Data - financials'!AD157)</f>
        <v>0.54</v>
      </c>
      <c r="AE115" s="56">
        <f>IF('Raw Data - financials'!AE157="","",'Raw Data - financials'!AE157)</f>
        <v>36.020000000000003</v>
      </c>
      <c r="AF115" s="56">
        <f>IF('Raw Data - financials'!AF157="","",'Raw Data - financials'!AF157)</f>
        <v>165.57</v>
      </c>
      <c r="AG115" s="56">
        <f>IF('Raw Data - financials'!AG157="","",'Raw Data - financials'!AG157)</f>
        <v>180.94</v>
      </c>
      <c r="AH115" s="56">
        <f>IF('Raw Data - financials'!AH157="","",'Raw Data - financials'!AH157)</f>
        <v>218.28</v>
      </c>
      <c r="AI115" s="56">
        <f>IF('Raw Data - financials'!AI157="","",'Raw Data - financials'!AI157)</f>
        <v>95.7</v>
      </c>
      <c r="AJ115" s="56">
        <f>IF('Raw Data - financials'!AJ157="","",'Raw Data - financials'!AJ157)</f>
        <v>202.7</v>
      </c>
      <c r="AK115" s="56">
        <f>IFERROR(AK7,"")</f>
        <v>434.7793174008317</v>
      </c>
      <c r="AL115" s="56">
        <f>IFERROR(AL7,"")</f>
        <v>571.17048059201375</v>
      </c>
      <c r="AM115" s="56">
        <f>IFERROR(AM7,"")</f>
        <v>750.36560271176052</v>
      </c>
      <c r="AN115" s="56">
        <f>IFERROR(AN7,"")</f>
        <v>985.80384924365808</v>
      </c>
    </row>
    <row r="116" spans="1:40" x14ac:dyDescent="0.3">
      <c r="A116" s="72" t="s">
        <v>168</v>
      </c>
      <c r="B116" s="17" t="s">
        <v>214</v>
      </c>
      <c r="AB116" s="19"/>
      <c r="AC116" s="60">
        <f t="shared" ref="AC116:AN116" si="30">IFERROR(AC111+AC112+AC113+AC114+AC115,"")</f>
        <v>-1619.54</v>
      </c>
      <c r="AD116" s="60">
        <f t="shared" si="30"/>
        <v>149.22999999999999</v>
      </c>
      <c r="AE116" s="60">
        <f t="shared" si="30"/>
        <v>-1297.44</v>
      </c>
      <c r="AF116" s="60">
        <f t="shared" si="30"/>
        <v>-6027.89</v>
      </c>
      <c r="AG116" s="60">
        <f t="shared" si="30"/>
        <v>1395.77</v>
      </c>
      <c r="AH116" s="60">
        <f t="shared" si="30"/>
        <v>-101.10999999999999</v>
      </c>
      <c r="AI116" s="60">
        <f t="shared" si="30"/>
        <v>-2054.3000000000002</v>
      </c>
      <c r="AJ116" s="60">
        <f t="shared" si="30"/>
        <v>-1589.3999999999999</v>
      </c>
      <c r="AK116" s="60">
        <f t="shared" si="30"/>
        <v>-3781.2625483042034</v>
      </c>
      <c r="AL116" s="60">
        <f t="shared" si="30"/>
        <v>-4967.4523615123617</v>
      </c>
      <c r="AM116" s="60">
        <f t="shared" si="30"/>
        <v>-6525.9069084325847</v>
      </c>
      <c r="AN116" s="60">
        <f t="shared" si="30"/>
        <v>-8573.5062040281773</v>
      </c>
    </row>
    <row r="117" spans="1:40" x14ac:dyDescent="0.3">
      <c r="AB117" s="19"/>
    </row>
    <row r="118" spans="1:40" x14ac:dyDescent="0.3">
      <c r="A118" s="9" t="s">
        <v>169</v>
      </c>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46"/>
      <c r="AC118" s="9"/>
      <c r="AD118" s="9"/>
      <c r="AE118" s="9"/>
      <c r="AF118" s="9"/>
      <c r="AG118" s="9"/>
      <c r="AH118" s="9"/>
      <c r="AI118" s="9"/>
      <c r="AJ118" s="9"/>
      <c r="AK118" s="9"/>
      <c r="AL118" s="9"/>
      <c r="AM118" s="9"/>
      <c r="AN118" s="9"/>
    </row>
    <row r="119" spans="1:40" outlineLevel="1" x14ac:dyDescent="0.3">
      <c r="A119" s="20" t="s">
        <v>475</v>
      </c>
      <c r="B119" s="17" t="s">
        <v>214</v>
      </c>
      <c r="AB119" s="19"/>
      <c r="AC119" s="56">
        <f>IF(COUNT('Raw Data - financials'!AC161,'Raw Data - financials'!AC162,'Raw Data - financials'!AC163,'Raw Data - financials'!AC164,'Raw Data - financials'!AC166,'Raw Data - financials'!AC167)=0,"",SUM('Raw Data - financials'!AC161,'Raw Data - financials'!AC162,'Raw Data - financials'!AC163,'Raw Data - financials'!AC164,'Raw Data - financials'!AC166,'Raw Data - financials'!AC167))</f>
        <v>1339.7399999999998</v>
      </c>
      <c r="AD119" s="56">
        <f>IF(COUNT('Raw Data - financials'!AD161,'Raw Data - financials'!AD162,'Raw Data - financials'!AD163,'Raw Data - financials'!AD164,'Raw Data - financials'!AD166,'Raw Data - financials'!AD167)=0,"",SUM('Raw Data - financials'!AD161,'Raw Data - financials'!AD162,'Raw Data - financials'!AD163,'Raw Data - financials'!AD164,'Raw Data - financials'!AD166,'Raw Data - financials'!AD167))</f>
        <v>1037.3000000000002</v>
      </c>
      <c r="AE119" s="56">
        <f>IF(COUNT('Raw Data - financials'!AE161,'Raw Data - financials'!AE162,'Raw Data - financials'!AE163,'Raw Data - financials'!AE164,'Raw Data - financials'!AE166,'Raw Data - financials'!AE167)=0,"",SUM('Raw Data - financials'!AE161,'Raw Data - financials'!AE162,'Raw Data - financials'!AE163,'Raw Data - financials'!AE164,'Raw Data - financials'!AE166,'Raw Data - financials'!AE167))</f>
        <v>1028.6199999999999</v>
      </c>
      <c r="AF119" s="56">
        <f>IF(COUNT('Raw Data - financials'!AF161,'Raw Data - financials'!AF162,'Raw Data - financials'!AF163,'Raw Data - financials'!AF164,'Raw Data - financials'!AF166,'Raw Data - financials'!AF167)=0,"",SUM('Raw Data - financials'!AF161,'Raw Data - financials'!AF162,'Raw Data - financials'!AF163,'Raw Data - financials'!AF164,'Raw Data - financials'!AF166,'Raw Data - financials'!AF167))</f>
        <v>8727.2800000000007</v>
      </c>
      <c r="AG119" s="56">
        <f>IF(COUNT('Raw Data - financials'!AG161,'Raw Data - financials'!AG162,'Raw Data - financials'!AG163,'Raw Data - financials'!AG164,'Raw Data - financials'!AG166,'Raw Data - financials'!AG167)=0,"",SUM('Raw Data - financials'!AG161,'Raw Data - financials'!AG162,'Raw Data - financials'!AG163,'Raw Data - financials'!AG164,'Raw Data - financials'!AG166,'Raw Data - financials'!AG167))</f>
        <v>288.36</v>
      </c>
      <c r="AH119" s="56">
        <f>IF(COUNT('Raw Data - financials'!AH161,'Raw Data - financials'!AH162,'Raw Data - financials'!AH163,'Raw Data - financials'!AH164,'Raw Data - financials'!AH166,'Raw Data - financials'!AH167)=0,"",SUM('Raw Data - financials'!AH161,'Raw Data - financials'!AH162,'Raw Data - financials'!AH163,'Raw Data - financials'!AH164,'Raw Data - financials'!AH166,'Raw Data - financials'!AH167))</f>
        <v>279.38</v>
      </c>
      <c r="AI119" s="56">
        <f>IF(COUNT('Raw Data - financials'!AI161,'Raw Data - financials'!AI162,'Raw Data - financials'!AI163,'Raw Data - financials'!AI164,'Raw Data - financials'!AI166,'Raw Data - financials'!AI167)=0,"",SUM('Raw Data - financials'!AI161,'Raw Data - financials'!AI162,'Raw Data - financials'!AI163,'Raw Data - financials'!AI164,'Raw Data - financials'!AI166,'Raw Data - financials'!AI167))</f>
        <v>-2367.6</v>
      </c>
      <c r="AJ119" s="56">
        <f>IF(COUNT('Raw Data - financials'!AJ161,'Raw Data - financials'!AJ162,'Raw Data - financials'!AJ163,'Raw Data - financials'!AJ164,'Raw Data - financials'!AJ166,'Raw Data - financials'!AJ167)=0,"",SUM('Raw Data - financials'!AJ161,'Raw Data - financials'!AJ162,'Raw Data - financials'!AJ163,'Raw Data - financials'!AJ164,'Raw Data - financials'!AJ166,'Raw Data - financials'!AJ167))</f>
        <v>672.5</v>
      </c>
      <c r="AK119" s="56">
        <f>IFERROR(AK68-AJ68,"")</f>
        <v>0</v>
      </c>
      <c r="AL119" s="56">
        <f>IFERROR(AL68-AK68,"")</f>
        <v>0</v>
      </c>
      <c r="AM119" s="56">
        <f>IFERROR(AM68-AL68,"")</f>
        <v>0</v>
      </c>
      <c r="AN119" s="56">
        <f>IFERROR(AN68-AM68,"")</f>
        <v>0</v>
      </c>
    </row>
    <row r="120" spans="1:40" outlineLevel="1" x14ac:dyDescent="0.3">
      <c r="A120" s="20" t="s">
        <v>476</v>
      </c>
      <c r="B120" s="17" t="s">
        <v>214</v>
      </c>
      <c r="AB120" s="19"/>
      <c r="AC120" s="56">
        <f>IF(COUNT('Raw Data - financials'!AC168,'Raw Data - financials'!AC169,'Raw Data - financials'!AC170,'Raw Data - financials'!AC171)=0,"",SUM('Raw Data - financials'!AC168,'Raw Data - financials'!AC169,'Raw Data - financials'!AC170,'Raw Data - financials'!AC171))</f>
        <v>1425.74</v>
      </c>
      <c r="AD120" s="56">
        <f>IF(COUNT('Raw Data - financials'!AD168,'Raw Data - financials'!AD169,'Raw Data - financials'!AD170,'Raw Data - financials'!AD171)=0,"",SUM('Raw Data - financials'!AD168,'Raw Data - financials'!AD169,'Raw Data - financials'!AD170,'Raw Data - financials'!AD171))</f>
        <v>419</v>
      </c>
      <c r="AE120" s="56">
        <f>IF(COUNT('Raw Data - financials'!AE168,'Raw Data - financials'!AE169,'Raw Data - financials'!AE170,'Raw Data - financials'!AE171)=0,"",SUM('Raw Data - financials'!AE168,'Raw Data - financials'!AE169,'Raw Data - financials'!AE170,'Raw Data - financials'!AE171))</f>
        <v>-800.11</v>
      </c>
      <c r="AF120" s="56">
        <f>IF(COUNT('Raw Data - financials'!AF168,'Raw Data - financials'!AF169,'Raw Data - financials'!AF170,'Raw Data - financials'!AF171)=0,"",SUM('Raw Data - financials'!AF168,'Raw Data - financials'!AF169,'Raw Data - financials'!AF170,'Raw Data - financials'!AF171))</f>
        <v>1455.6799999999998</v>
      </c>
      <c r="AG120" s="56">
        <f>IF(COUNT('Raw Data - financials'!AG168,'Raw Data - financials'!AG169,'Raw Data - financials'!AG170,'Raw Data - financials'!AG171)=0,"",SUM('Raw Data - financials'!AG168,'Raw Data - financials'!AG169,'Raw Data - financials'!AG170,'Raw Data - financials'!AG171))</f>
        <v>1263.19</v>
      </c>
      <c r="AH120" s="56">
        <f>IF(COUNT('Raw Data - financials'!AH168,'Raw Data - financials'!AH169,'Raw Data - financials'!AH170,'Raw Data - financials'!AH171)=0,"",SUM('Raw Data - financials'!AH168,'Raw Data - financials'!AH169,'Raw Data - financials'!AH170,'Raw Data - financials'!AH171))</f>
        <v>2200.33</v>
      </c>
      <c r="AI120" s="56">
        <f>IF(COUNT('Raw Data - financials'!AI168,'Raw Data - financials'!AI169,'Raw Data - financials'!AI170,'Raw Data - financials'!AI171)=0,"",SUM('Raw Data - financials'!AI168,'Raw Data - financials'!AI169,'Raw Data - financials'!AI170,'Raw Data - financials'!AI171))</f>
        <v>2767.8</v>
      </c>
      <c r="AJ120" s="56">
        <f>IF(COUNT('Raw Data - financials'!AJ168,'Raw Data - financials'!AJ169,'Raw Data - financials'!AJ170,'Raw Data - financials'!AJ171)=0,"",SUM('Raw Data - financials'!AJ168,'Raw Data - financials'!AJ169,'Raw Data - financials'!AJ170,'Raw Data - financials'!AJ171))</f>
        <v>-2078.8999999999996</v>
      </c>
      <c r="AK120" s="56">
        <f>IFERROR((Projections!AK183-Projections!AJ183)+(Projections!AK191-Projections!AJ191),"")</f>
        <v>0</v>
      </c>
      <c r="AL120" s="56">
        <f>IFERROR((Projections!AL183-Projections!AK183)+(Projections!AL191-Projections!AK191),"")</f>
        <v>0</v>
      </c>
      <c r="AM120" s="56">
        <f>IFERROR((Projections!AM183-Projections!AL183)+(Projections!AM191-Projections!AL191),"")</f>
        <v>0</v>
      </c>
      <c r="AN120" s="56">
        <f>IFERROR((Projections!AN183-Projections!AM183)+(Projections!AN191-Projections!AM191),"")</f>
        <v>0</v>
      </c>
    </row>
    <row r="121" spans="1:40" outlineLevel="1" x14ac:dyDescent="0.3">
      <c r="A121" s="20" t="s">
        <v>477</v>
      </c>
      <c r="B121" s="17" t="s">
        <v>214</v>
      </c>
      <c r="AB121" s="19"/>
      <c r="AC121" s="56">
        <f>IF('Raw Data - financials'!AC173="","",'Raw Data - financials'!AC173)</f>
        <v>-146.09</v>
      </c>
      <c r="AD121" s="56">
        <f>IF('Raw Data - financials'!AD173="","",'Raw Data - financials'!AD173)</f>
        <v>-330.96</v>
      </c>
      <c r="AE121" s="56">
        <f>IF('Raw Data - financials'!AE173="","",'Raw Data - financials'!AE173)</f>
        <v>-299.5</v>
      </c>
      <c r="AF121" s="56">
        <f>IF('Raw Data - financials'!AF173="","",'Raw Data - financials'!AF173)</f>
        <v>-449.8</v>
      </c>
      <c r="AG121" s="56">
        <f>IF('Raw Data - financials'!AG173="","",'Raw Data - financials'!AG173)</f>
        <v>-820.07</v>
      </c>
      <c r="AH121" s="56">
        <f>IF('Raw Data - financials'!AH173="","",'Raw Data - financials'!AH173)</f>
        <v>-1166.52</v>
      </c>
      <c r="AI121" s="56">
        <f>IF('Raw Data - financials'!AI173="","",'Raw Data - financials'!AI173)</f>
        <v>-1464.9</v>
      </c>
      <c r="AJ121" s="56">
        <f>IF('Raw Data - financials'!AJ173="","",'Raw Data - financials'!AJ173)</f>
        <v>-1734</v>
      </c>
      <c r="AK121" s="56">
        <f>IFERROR((Projections!AK184-Projections!AJ184)+(Projections!AK192-Projections!AJ192),"")</f>
        <v>0</v>
      </c>
      <c r="AL121" s="56">
        <f>IFERROR((Projections!AL184-Projections!AK184)+(Projections!AL192-Projections!AK192),"")</f>
        <v>0</v>
      </c>
      <c r="AM121" s="56">
        <f>IFERROR((Projections!AM184-Projections!AL184)+(Projections!AM192-Projections!AL192),"")</f>
        <v>0</v>
      </c>
      <c r="AN121" s="56">
        <f>IFERROR((Projections!AN184-Projections!AM184)+(Projections!AN192-Projections!AM192),"")</f>
        <v>0</v>
      </c>
    </row>
    <row r="122" spans="1:40" outlineLevel="1" x14ac:dyDescent="0.3">
      <c r="A122" s="20" t="s">
        <v>478</v>
      </c>
      <c r="B122" s="17" t="s">
        <v>214</v>
      </c>
      <c r="AB122" s="19"/>
      <c r="AC122" s="56">
        <f>IF(COUNT('Raw Data - financials'!AC172,'Raw Data - financials'!AC174)=0,"",SUM('Raw Data - financials'!AC172,'Raw Data - financials'!AC174))</f>
        <v>-262.48</v>
      </c>
      <c r="AD122" s="56">
        <f>IF(COUNT('Raw Data - financials'!AD172,'Raw Data - financials'!AD174)=0,"",SUM('Raw Data - financials'!AD172,'Raw Data - financials'!AD174))</f>
        <v>-438.13</v>
      </c>
      <c r="AE122" s="56">
        <f>IF(COUNT('Raw Data - financials'!AE172,'Raw Data - financials'!AE174)=0,"",SUM('Raw Data - financials'!AE172,'Raw Data - financials'!AE174))</f>
        <v>-306.24</v>
      </c>
      <c r="AF122" s="56">
        <f>IF(COUNT('Raw Data - financials'!AF172,'Raw Data - financials'!AF174)=0,"",SUM('Raw Data - financials'!AF172,'Raw Data - financials'!AF174))</f>
        <v>-464.66999999999996</v>
      </c>
      <c r="AG122" s="56">
        <f>IF(COUNT('Raw Data - financials'!AG172,'Raw Data - financials'!AG174)=0,"",SUM('Raw Data - financials'!AG172,'Raw Data - financials'!AG174))</f>
        <v>-682.79</v>
      </c>
      <c r="AH122" s="56">
        <f>IF(COUNT('Raw Data - financials'!AH172,'Raw Data - financials'!AH174)=0,"",SUM('Raw Data - financials'!AH172,'Raw Data - financials'!AH174))</f>
        <v>-870.58</v>
      </c>
      <c r="AI122" s="56">
        <f>IF(COUNT('Raw Data - financials'!AI172,'Raw Data - financials'!AI174)=0,"",SUM('Raw Data - financials'!AI172,'Raw Data - financials'!AI174))</f>
        <v>-1055.7</v>
      </c>
      <c r="AJ122" s="56">
        <f>IF(COUNT('Raw Data - financials'!AJ172,'Raw Data - financials'!AJ174)=0,"",SUM('Raw Data - financials'!AJ172,'Raw Data - financials'!AJ174))</f>
        <v>-1190.5999999999999</v>
      </c>
      <c r="AK122" s="56">
        <f>IFERROR(-AK15,"")</f>
        <v>-1541.4903071484034</v>
      </c>
      <c r="AL122" s="56">
        <f>IFERROR(-AL15,"")</f>
        <v>-2025.0589766444123</v>
      </c>
      <c r="AM122" s="56">
        <f>IFERROR(-AM15,"")</f>
        <v>-2660.387136887151</v>
      </c>
      <c r="AN122" s="56">
        <f>IFERROR(-AN15,"")</f>
        <v>-3495.1227382275151</v>
      </c>
    </row>
    <row r="123" spans="1:40" x14ac:dyDescent="0.3">
      <c r="A123" s="72" t="s">
        <v>184</v>
      </c>
      <c r="B123" s="17" t="s">
        <v>214</v>
      </c>
      <c r="AB123" s="19"/>
      <c r="AC123" s="60">
        <f t="shared" ref="AC123:AN123" si="31">IFERROR(AC119+AC120+AC121+AC122,"")</f>
        <v>2356.9099999999994</v>
      </c>
      <c r="AD123" s="60">
        <f t="shared" si="31"/>
        <v>687.21000000000015</v>
      </c>
      <c r="AE123" s="60">
        <f t="shared" si="31"/>
        <v>-377.23000000000013</v>
      </c>
      <c r="AF123" s="60">
        <f t="shared" si="31"/>
        <v>9268.4900000000016</v>
      </c>
      <c r="AG123" s="60">
        <f t="shared" si="31"/>
        <v>48.690000000000168</v>
      </c>
      <c r="AH123" s="60">
        <f t="shared" si="31"/>
        <v>442.61</v>
      </c>
      <c r="AI123" s="60">
        <f t="shared" si="31"/>
        <v>-2120.3999999999996</v>
      </c>
      <c r="AJ123" s="60">
        <f t="shared" si="31"/>
        <v>-4331</v>
      </c>
      <c r="AK123" s="60">
        <f t="shared" si="31"/>
        <v>-1541.4903071484034</v>
      </c>
      <c r="AL123" s="60">
        <f t="shared" si="31"/>
        <v>-2025.0589766444123</v>
      </c>
      <c r="AM123" s="60">
        <f t="shared" si="31"/>
        <v>-2660.387136887151</v>
      </c>
      <c r="AN123" s="60">
        <f t="shared" si="31"/>
        <v>-3495.1227382275151</v>
      </c>
    </row>
    <row r="124" spans="1:40" x14ac:dyDescent="0.3">
      <c r="AB124" s="19"/>
    </row>
    <row r="125" spans="1:40" x14ac:dyDescent="0.3">
      <c r="A125" s="72" t="s">
        <v>185</v>
      </c>
      <c r="B125" s="17" t="s">
        <v>214</v>
      </c>
      <c r="AB125" s="19"/>
      <c r="AC125" s="60">
        <f t="shared" ref="AC125:AN125" si="32">IFERROR(AC108+AC116+AC123,"")</f>
        <v>-301.51000000000113</v>
      </c>
      <c r="AD125" s="60">
        <f t="shared" si="32"/>
        <v>813.63999999999749</v>
      </c>
      <c r="AE125" s="60">
        <f t="shared" si="32"/>
        <v>-190.72999999999922</v>
      </c>
      <c r="AF125" s="60">
        <f t="shared" si="32"/>
        <v>-340.90000000000146</v>
      </c>
      <c r="AG125" s="60">
        <f t="shared" si="32"/>
        <v>-41.47999999999513</v>
      </c>
      <c r="AH125" s="60">
        <f t="shared" si="32"/>
        <v>241.9099999999967</v>
      </c>
      <c r="AI125" s="60">
        <f t="shared" si="32"/>
        <v>401.89999999999964</v>
      </c>
      <c r="AJ125" s="60">
        <f t="shared" si="32"/>
        <v>444.39999999998963</v>
      </c>
      <c r="AK125" s="60">
        <f t="shared" si="32"/>
        <v>14275.155490501027</v>
      </c>
      <c r="AL125" s="60">
        <f t="shared" si="32"/>
        <v>4079.5566348231546</v>
      </c>
      <c r="AM125" s="60">
        <f t="shared" si="32"/>
        <v>5332.1626260513058</v>
      </c>
      <c r="AN125" s="60">
        <f t="shared" si="32"/>
        <v>6968.8782499085155</v>
      </c>
    </row>
    <row r="126" spans="1:40" outlineLevel="1" x14ac:dyDescent="0.3">
      <c r="A126" s="20" t="s">
        <v>186</v>
      </c>
      <c r="B126" s="17" t="s">
        <v>214</v>
      </c>
      <c r="AB126" s="19"/>
      <c r="AC126" s="56">
        <f>IF('Raw Data - financials'!AC178="","",'Raw Data - financials'!AC178)</f>
        <v>0.11</v>
      </c>
      <c r="AD126" s="56">
        <f>IF('Raw Data - financials'!AD178="","",'Raw Data - financials'!AD178)</f>
        <v>-0.14000000000000001</v>
      </c>
      <c r="AE126" s="56">
        <f>IF('Raw Data - financials'!AE178="","",'Raw Data - financials'!AE178)</f>
        <v>0.15</v>
      </c>
      <c r="AF126" s="56">
        <f>IF('Raw Data - financials'!AF178="","",'Raw Data - financials'!AF178)</f>
        <v>0</v>
      </c>
      <c r="AG126" s="56">
        <f>IF('Raw Data - financials'!AG178="","",'Raw Data - financials'!AG178)</f>
        <v>0</v>
      </c>
      <c r="AH126" s="56">
        <f>IF('Raw Data - financials'!AH178="","",'Raw Data - financials'!AH178)</f>
        <v>0</v>
      </c>
      <c r="AI126" s="56">
        <f>IF('Raw Data - financials'!AI178="","",'Raw Data - financials'!AI178)</f>
        <v>0</v>
      </c>
      <c r="AJ126" s="56">
        <f>IF('Raw Data - financials'!AJ178="","",'Raw Data - financials'!AJ178)</f>
        <v>0</v>
      </c>
      <c r="AK126" s="56">
        <v>0</v>
      </c>
      <c r="AL126" s="56">
        <v>0</v>
      </c>
      <c r="AM126" s="56">
        <v>0</v>
      </c>
      <c r="AN126" s="56">
        <v>0</v>
      </c>
    </row>
    <row r="127" spans="1:40" outlineLevel="1" x14ac:dyDescent="0.3">
      <c r="A127" s="20" t="s">
        <v>187</v>
      </c>
      <c r="B127" s="17" t="s">
        <v>214</v>
      </c>
      <c r="AB127" s="19"/>
      <c r="AC127" s="56">
        <f t="shared" ref="AC127:AN127" si="33">IFERROR(AB57,"")</f>
        <v>0</v>
      </c>
      <c r="AD127" s="56">
        <f t="shared" si="33"/>
        <v>114.1</v>
      </c>
      <c r="AE127" s="56">
        <f t="shared" si="33"/>
        <v>1011.91</v>
      </c>
      <c r="AF127" s="56">
        <f t="shared" si="33"/>
        <v>835.82</v>
      </c>
      <c r="AG127" s="56">
        <f t="shared" si="33"/>
        <v>658.9</v>
      </c>
      <c r="AH127" s="56">
        <f t="shared" si="33"/>
        <v>413.76</v>
      </c>
      <c r="AI127" s="56">
        <f t="shared" si="33"/>
        <v>757.77</v>
      </c>
      <c r="AJ127" s="56">
        <f t="shared" si="33"/>
        <v>1249.4000000000001</v>
      </c>
      <c r="AK127" s="56">
        <f t="shared" si="33"/>
        <v>1772</v>
      </c>
      <c r="AL127" s="56">
        <f t="shared" si="33"/>
        <v>16047.155490501029</v>
      </c>
      <c r="AM127" s="56">
        <f t="shared" si="33"/>
        <v>20126.712125324175</v>
      </c>
      <c r="AN127" s="56">
        <f t="shared" si="33"/>
        <v>25458.874751375472</v>
      </c>
    </row>
    <row r="128" spans="1:40" x14ac:dyDescent="0.3">
      <c r="A128" s="72" t="s">
        <v>188</v>
      </c>
      <c r="B128" s="17" t="s">
        <v>214</v>
      </c>
      <c r="AB128" s="19"/>
      <c r="AC128" s="60">
        <f t="shared" ref="AC128:AN128" si="34">IFERROR(AC125+AC126+AC127,"")</f>
        <v>-301.40000000000111</v>
      </c>
      <c r="AD128" s="60">
        <f t="shared" si="34"/>
        <v>927.59999999999752</v>
      </c>
      <c r="AE128" s="60">
        <f t="shared" si="34"/>
        <v>821.33000000000072</v>
      </c>
      <c r="AF128" s="60">
        <f t="shared" si="34"/>
        <v>494.91999999999859</v>
      </c>
      <c r="AG128" s="60">
        <f t="shared" si="34"/>
        <v>617.42000000000485</v>
      </c>
      <c r="AH128" s="60">
        <f t="shared" si="34"/>
        <v>655.66999999999666</v>
      </c>
      <c r="AI128" s="60">
        <f t="shared" si="34"/>
        <v>1159.6699999999996</v>
      </c>
      <c r="AJ128" s="60">
        <f t="shared" si="34"/>
        <v>1693.7999999999897</v>
      </c>
      <c r="AK128" s="60">
        <f t="shared" si="34"/>
        <v>16047.155490501027</v>
      </c>
      <c r="AL128" s="60">
        <f t="shared" si="34"/>
        <v>20126.712125324182</v>
      </c>
      <c r="AM128" s="60">
        <f t="shared" si="34"/>
        <v>25458.874751375479</v>
      </c>
      <c r="AN128" s="60">
        <f t="shared" si="34"/>
        <v>32427.753001283985</v>
      </c>
    </row>
    <row r="129" spans="1:40" outlineLevel="1" x14ac:dyDescent="0.3">
      <c r="A129" s="20" t="s">
        <v>479</v>
      </c>
      <c r="B129" s="17" t="s">
        <v>214</v>
      </c>
      <c r="AB129" s="19"/>
      <c r="AC129" s="56">
        <f t="shared" ref="AC129:AN129" si="35">IFERROR(AC128-AC57,"")</f>
        <v>-415.50000000000114</v>
      </c>
      <c r="AD129" s="56">
        <f t="shared" si="35"/>
        <v>-84.310000000002447</v>
      </c>
      <c r="AE129" s="56">
        <f t="shared" si="35"/>
        <v>-14.489999999999327</v>
      </c>
      <c r="AF129" s="56">
        <f t="shared" si="35"/>
        <v>-163.98000000000138</v>
      </c>
      <c r="AG129" s="56">
        <f t="shared" si="35"/>
        <v>203.66000000000486</v>
      </c>
      <c r="AH129" s="56">
        <f t="shared" si="35"/>
        <v>-102.10000000000332</v>
      </c>
      <c r="AI129" s="56">
        <f t="shared" si="35"/>
        <v>-89.730000000000473</v>
      </c>
      <c r="AJ129" s="56">
        <f t="shared" si="35"/>
        <v>-78.200000000010277</v>
      </c>
      <c r="AK129" s="56">
        <f t="shared" si="35"/>
        <v>-1.8189894035458565E-12</v>
      </c>
      <c r="AL129" s="56">
        <f t="shared" si="35"/>
        <v>7.2759576141834259E-12</v>
      </c>
      <c r="AM129" s="56">
        <f t="shared" si="35"/>
        <v>7.2759576141834259E-12</v>
      </c>
      <c r="AN129" s="56">
        <f t="shared" si="35"/>
        <v>-2.1827872842550278E-11</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Projections</vt:lpstr>
      <vt:lpstr>Raw Data - financials</vt:lpstr>
      <vt:lpstr>Raw Data - Ops KPIs</vt:lpstr>
      <vt:lpstr>Financial Statements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Parth Shah</cp:lastModifiedBy>
  <cp:lastPrinted>2026-07-30T09:12:30Z</cp:lastPrinted>
  <dcterms:created xsi:type="dcterms:W3CDTF">2026-07-22T12:06:08Z</dcterms:created>
  <dcterms:modified xsi:type="dcterms:W3CDTF">2026-08-04T09:24:55Z</dcterms:modified>
</cp:coreProperties>
</file>