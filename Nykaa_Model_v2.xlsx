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2" autoFilterDateGrouping="1"/>
  </bookViews>
  <sheets>
    <sheet xmlns:r="http://schemas.openxmlformats.org/officeDocument/2006/relationships" name="Projections" sheetId="1" state="visible" r:id="rId1"/>
    <sheet xmlns:r="http://schemas.openxmlformats.org/officeDocument/2006/relationships" name="Raw Data - financials" sheetId="2" state="visible" r:id="rId2"/>
    <sheet xmlns:r="http://schemas.openxmlformats.org/officeDocument/2006/relationships" name="Raw Data - Ops KPIs" sheetId="3" state="visible" r:id="rId3"/>
    <sheet xmlns:r="http://schemas.openxmlformats.org/officeDocument/2006/relationships" name="Financial Statements" sheetId="4" state="visible" r:id="rId4"/>
  </sheets>
  <definedNames/>
  <calcPr calcId="191029" fullCalcOnLoad="1" iterateDelta="0.0001"/>
</workbook>
</file>

<file path=xl/styles.xml><?xml version="1.0" encoding="utf-8"?>
<styleSheet xmlns="http://schemas.openxmlformats.org/spreadsheetml/2006/main">
  <numFmts count="4">
    <numFmt numFmtId="164" formatCode="#,##0.0"/>
    <numFmt numFmtId="165" formatCode="0.0%"/>
    <numFmt numFmtId="166" formatCode="_-* #,##0_-;\-* #,##0_-;_-* &quot;-&quot;_-;_-@_-"/>
    <numFmt numFmtId="167" formatCode="_-* #,##0_-;-* #,##0_-;_-* &quot;-&quot;_-;_-@_-"/>
  </numFmts>
  <fonts count="17">
    <font>
      <name val="Calibri"/>
      <family val="2"/>
      <color theme="1"/>
      <sz val="11"/>
      <scheme val="minor"/>
    </font>
    <font>
      <name val="Calibri"/>
      <b val="1"/>
      <color rgb="FF000000"/>
      <sz val="10"/>
    </font>
    <font>
      <name val="Calibri"/>
      <i val="1"/>
      <color rgb="FF000000"/>
      <sz val="10"/>
    </font>
    <font>
      <name val="Calibri"/>
      <b val="1"/>
      <i val="1"/>
      <color rgb="FF000000"/>
      <sz val="10"/>
    </font>
    <font>
      <name val="Calibri"/>
      <b val="1"/>
      <color rgb="FFFFFFFF"/>
      <sz val="11"/>
    </font>
    <font>
      <name val="Calibri"/>
      <color rgb="FF000000"/>
      <sz val="10"/>
    </font>
    <font>
      <name val="Calibri"/>
      <i val="1"/>
      <color rgb="FF000000"/>
      <sz val="9"/>
    </font>
    <font>
      <name val="Calibri"/>
      <color rgb="FF0070C0"/>
      <sz val="10"/>
    </font>
    <font>
      <name val="Calibri"/>
      <i val="1"/>
      <color rgb="FF808080"/>
      <sz val="9"/>
    </font>
    <font>
      <name val="Calibri"/>
      <b val="1"/>
      <sz val="12"/>
    </font>
    <font>
      <name val="Calibri"/>
      <sz val="10"/>
    </font>
    <font>
      <name val="Calibri"/>
      <i val="1"/>
      <color rgb="FF808080"/>
      <sz val="10"/>
    </font>
    <font>
      <name val="Calibri"/>
      <color rgb="FF808080"/>
      <sz val="9"/>
    </font>
    <font>
      <name val="Calibri"/>
      <i val="1"/>
      <color rgb="FF0070C0"/>
      <sz val="10"/>
    </font>
    <font>
      <name val="Calibri"/>
      <color rgb="FFA20000"/>
      <sz val="10"/>
    </font>
    <font>
      <name val="Calibri"/>
      <i val="1"/>
      <color rgb="FFA20000"/>
      <sz val="9"/>
    </font>
    <font>
      <name val="Calibri"/>
      <b val="1"/>
      <sz val="10"/>
    </font>
  </fonts>
  <fills count="6">
    <fill>
      <patternFill/>
    </fill>
    <fill>
      <patternFill patternType="gray125"/>
    </fill>
    <fill>
      <patternFill patternType="solid">
        <fgColor rgb="FF1F3864"/>
        <bgColor rgb="FF1F3864"/>
      </patternFill>
    </fill>
    <fill>
      <patternFill patternType="solid">
        <fgColor rgb="FFFFF2CC"/>
        <bgColor rgb="FFFFF2CC"/>
      </patternFill>
    </fill>
    <fill>
      <patternFill patternType="solid">
        <fgColor rgb="FFFFFF00"/>
        <bgColor indexed="64"/>
      </patternFill>
    </fill>
    <fill>
      <patternFill patternType="solid">
        <fgColor rgb="FFEFEFEF"/>
        <bgColor rgb="FFEFEFEF"/>
      </patternFill>
    </fill>
  </fills>
  <borders count="2">
    <border>
      <left/>
      <right/>
      <top/>
      <bottom/>
      <diagonal/>
    </border>
    <border>
      <left/>
      <right/>
      <top/>
      <bottom style="thin">
        <color rgb="FFDDDDDD"/>
      </bottom>
      <diagonal/>
    </border>
  </borders>
  <cellStyleXfs count="1">
    <xf numFmtId="0" fontId="0" fillId="0" borderId="0"/>
  </cellStyleXfs>
  <cellXfs count="77">
    <xf numFmtId="0" fontId="0" fillId="0" borderId="0" pivotButton="0" quotePrefix="0" xfId="0"/>
    <xf numFmtId="0" fontId="1" fillId="0" borderId="0" pivotButton="0" quotePrefix="0" xfId="0"/>
    <xf numFmtId="0" fontId="1" fillId="0" borderId="0" applyAlignment="1" pivotButton="0" quotePrefix="0" xfId="0">
      <alignment horizontal="center"/>
    </xf>
    <xf numFmtId="0" fontId="2" fillId="0" borderId="0" pivotButton="0" quotePrefix="0" xfId="0"/>
    <xf numFmtId="17" fontId="3" fillId="0" borderId="0" applyAlignment="1" pivotButton="0" quotePrefix="0" xfId="0">
      <alignment horizontal="center"/>
    </xf>
    <xf numFmtId="0" fontId="4" fillId="2" borderId="0" pivotButton="0" quotePrefix="0" xfId="0"/>
    <xf numFmtId="0" fontId="0" fillId="2" borderId="0" pivotButton="0" quotePrefix="0" xfId="0"/>
    <xf numFmtId="0" fontId="5" fillId="0" borderId="0" applyAlignment="1" pivotButton="0" quotePrefix="0" xfId="0">
      <alignment indent="1"/>
    </xf>
    <xf numFmtId="0" fontId="6" fillId="0" borderId="0" pivotButton="0" quotePrefix="0" xfId="0"/>
    <xf numFmtId="0" fontId="3" fillId="0" borderId="0" pivotButton="0" quotePrefix="0" xfId="0"/>
    <xf numFmtId="0" fontId="5" fillId="0" borderId="0" applyAlignment="1" pivotButton="0" quotePrefix="0" xfId="0">
      <alignment indent="2"/>
    </xf>
    <xf numFmtId="2" fontId="7" fillId="0" borderId="0" pivotButton="0" quotePrefix="0" xfId="0"/>
    <xf numFmtId="0" fontId="5" fillId="0" borderId="0" pivotButton="0" quotePrefix="0" xfId="0"/>
    <xf numFmtId="2" fontId="5" fillId="0" borderId="0" pivotButton="0" quotePrefix="0" xfId="0"/>
    <xf numFmtId="0" fontId="0" fillId="3" borderId="0" pivotButton="0" quotePrefix="0" xfId="0"/>
    <xf numFmtId="164" fontId="0" fillId="0" borderId="0" pivotButton="0" quotePrefix="0" xfId="0"/>
    <xf numFmtId="164" fontId="0" fillId="4" borderId="0" pivotButton="0" quotePrefix="0" xfId="0"/>
    <xf numFmtId="0" fontId="8" fillId="0" borderId="0" pivotButton="0" quotePrefix="0" xfId="0"/>
    <xf numFmtId="0" fontId="9" fillId="0" borderId="0" pivotButton="0" quotePrefix="0" xfId="0"/>
    <xf numFmtId="0" fontId="0" fillId="5" borderId="0" pivotButton="0" quotePrefix="0" xfId="0"/>
    <xf numFmtId="0" fontId="10" fillId="0" borderId="0" pivotButton="0" quotePrefix="0" xfId="0"/>
    <xf numFmtId="0" fontId="11" fillId="0" borderId="0" pivotButton="0" quotePrefix="0" xfId="0"/>
    <xf numFmtId="0" fontId="12" fillId="0" borderId="0" pivotButton="0" quotePrefix="0" xfId="0"/>
    <xf numFmtId="165" fontId="2" fillId="0" borderId="1" pivotButton="0" quotePrefix="0" xfId="0"/>
    <xf numFmtId="165" fontId="7" fillId="0" borderId="1" pivotButton="0" quotePrefix="0" xfId="0"/>
    <xf numFmtId="4" fontId="10" fillId="0" borderId="0" pivotButton="0" quotePrefix="0" xfId="0"/>
    <xf numFmtId="4" fontId="11" fillId="0" borderId="0" pivotButton="0" quotePrefix="0" xfId="0"/>
    <xf numFmtId="4" fontId="12" fillId="0" borderId="0" pivotButton="0" quotePrefix="0" xfId="0"/>
    <xf numFmtId="4" fontId="7" fillId="0" borderId="1" pivotButton="0" quotePrefix="0" xfId="0"/>
    <xf numFmtId="4" fontId="0" fillId="5" borderId="0" pivotButton="0" quotePrefix="0" xfId="0"/>
    <xf numFmtId="4" fontId="2" fillId="0" borderId="1" pivotButton="0" quotePrefix="0" xfId="0"/>
    <xf numFmtId="4" fontId="0" fillId="0" borderId="0" pivotButton="0" quotePrefix="0" xfId="0"/>
    <xf numFmtId="164" fontId="10" fillId="0" borderId="0" pivotButton="0" quotePrefix="0" xfId="0"/>
    <xf numFmtId="164" fontId="11" fillId="0" borderId="0" pivotButton="0" quotePrefix="0" xfId="0"/>
    <xf numFmtId="164" fontId="12" fillId="0" borderId="0" pivotButton="0" quotePrefix="0" xfId="0"/>
    <xf numFmtId="164" fontId="0" fillId="5" borderId="0" pivotButton="0" quotePrefix="0" xfId="0"/>
    <xf numFmtId="164" fontId="2" fillId="0" borderId="1" pivotButton="0" quotePrefix="0" xfId="0"/>
    <xf numFmtId="3" fontId="10" fillId="0" borderId="0" pivotButton="0" quotePrefix="0" xfId="0"/>
    <xf numFmtId="3" fontId="11" fillId="0" borderId="0" pivotButton="0" quotePrefix="0" xfId="0"/>
    <xf numFmtId="3" fontId="12" fillId="0" borderId="0" pivotButton="0" quotePrefix="0" xfId="0"/>
    <xf numFmtId="3" fontId="0" fillId="5" borderId="0" pivotButton="0" quotePrefix="0" xfId="0"/>
    <xf numFmtId="3" fontId="2" fillId="0" borderId="1" pivotButton="0" quotePrefix="0" xfId="0"/>
    <xf numFmtId="3" fontId="0" fillId="0" borderId="0" pivotButton="0" quotePrefix="0" xfId="0"/>
    <xf numFmtId="0" fontId="1" fillId="5" borderId="0" pivotButton="0" quotePrefix="0" xfId="0"/>
    <xf numFmtId="0" fontId="4" fillId="5" borderId="0" pivotButton="0" quotePrefix="0" xfId="0"/>
    <xf numFmtId="0" fontId="8" fillId="5" borderId="0" pivotButton="0" quotePrefix="0" xfId="0"/>
    <xf numFmtId="0" fontId="3" fillId="5" borderId="0" pivotButton="0" quotePrefix="0" xfId="0"/>
    <xf numFmtId="17" fontId="3" fillId="0" borderId="0" pivotButton="0" quotePrefix="0" xfId="0"/>
    <xf numFmtId="0" fontId="15" fillId="0" borderId="0" pivotButton="0" quotePrefix="0" xfId="0"/>
    <xf numFmtId="165" fontId="2" fillId="0" borderId="0" pivotButton="0" quotePrefix="0" xfId="0"/>
    <xf numFmtId="165" fontId="14" fillId="0" borderId="0" pivotButton="0" quotePrefix="0" xfId="0"/>
    <xf numFmtId="2" fontId="14" fillId="0" borderId="0" pivotButton="0" quotePrefix="0" xfId="0"/>
    <xf numFmtId="165" fontId="5" fillId="0" borderId="0" pivotButton="0" quotePrefix="0" xfId="0"/>
    <xf numFmtId="164" fontId="5" fillId="0" borderId="0" pivotButton="0" quotePrefix="0" xfId="0"/>
    <xf numFmtId="2" fontId="2" fillId="0" borderId="0" pivotButton="0" quotePrefix="0" xfId="0"/>
    <xf numFmtId="166" fontId="2" fillId="0" borderId="0" pivotButton="0" quotePrefix="0" xfId="0"/>
    <xf numFmtId="166" fontId="5" fillId="0" borderId="0" pivotButton="0" quotePrefix="0" xfId="0"/>
    <xf numFmtId="3" fontId="2" fillId="0" borderId="0" pivotButton="0" quotePrefix="0" xfId="0"/>
    <xf numFmtId="3" fontId="5" fillId="0" borderId="0" pivotButton="0" quotePrefix="0" xfId="0"/>
    <xf numFmtId="166" fontId="7" fillId="0" borderId="0" pivotButton="0" quotePrefix="0" xfId="0"/>
    <xf numFmtId="166" fontId="1" fillId="0" borderId="0" pivotButton="0" quotePrefix="0" xfId="0"/>
    <xf numFmtId="166" fontId="6" fillId="3" borderId="0" pivotButton="0" quotePrefix="0" xfId="0"/>
    <xf numFmtId="166" fontId="6" fillId="0" borderId="0" pivotButton="0" quotePrefix="0" xfId="0"/>
    <xf numFmtId="164" fontId="7" fillId="0" borderId="1" pivotButton="0" quotePrefix="0" xfId="0"/>
    <xf numFmtId="165" fontId="11" fillId="0" borderId="1" pivotButton="0" quotePrefix="0" xfId="0"/>
    <xf numFmtId="166" fontId="7" fillId="0" borderId="1" pivotButton="0" quotePrefix="0" xfId="0"/>
    <xf numFmtId="166" fontId="2" fillId="0" borderId="1" pivotButton="0" quotePrefix="0" xfId="0"/>
    <xf numFmtId="164" fontId="13" fillId="0" borderId="1" pivotButton="0" quotePrefix="0" xfId="0"/>
    <xf numFmtId="2" fontId="2" fillId="0" borderId="1" pivotButton="0" quotePrefix="0" xfId="0"/>
    <xf numFmtId="3" fontId="7" fillId="0" borderId="1" pivotButton="0" quotePrefix="0" xfId="0"/>
    <xf numFmtId="0" fontId="7" fillId="0" borderId="0" pivotButton="0" quotePrefix="0" xfId="0"/>
    <xf numFmtId="167" fontId="2" fillId="0" borderId="0" pivotButton="0" quotePrefix="0" xfId="0"/>
    <xf numFmtId="167" fontId="5" fillId="0" borderId="0" pivotButton="0" quotePrefix="0" xfId="0"/>
    <xf numFmtId="164" fontId="14" fillId="0" borderId="0" pivotButton="0" quotePrefix="0" xfId="0"/>
    <xf numFmtId="0" fontId="16" fillId="0" borderId="0" pivotButton="0" quotePrefix="0" xfId="0"/>
    <xf numFmtId="167" fontId="3" fillId="0" borderId="0" pivotButton="0" quotePrefix="0" xfId="0"/>
    <xf numFmtId="167"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Claude</author>
  </authors>
  <commentList>
    <comment ref="A11" authorId="0" shapeId="0">
      <text>
        <t>New Business Gross Profit isn't separately disclosed -- its Contribution profit is used here as the closest available proxy (Contribution &lt;= Gross Profit, so this slightly understates true consolidated GP).</t>
      </text>
    </comment>
    <comment ref="C27" authorId="0" shapeId="0">
      <text>
        <t>AUTC YoY growth assumption -- historical growth shown in the row above for reference.</t>
      </text>
    </comment>
    <comment ref="C28" authorId="0" shapeId="0">
      <text>
        <t>Orders per AUTC per year, held flat at the FY26 actual level by default.</t>
      </text>
    </comment>
    <comment ref="C31" authorId="0" shapeId="0">
      <text>
        <t>AOV YoY growth assumption.</t>
      </text>
    </comment>
    <comment ref="C44" authorId="0" shapeId="0">
      <text>
        <t>Marketing + S&amp;D combined, since Nykaa itself stopped splitting these from ~1Q26.</t>
      </text>
    </comment>
    <comment ref="C56" authorId="0" shapeId="0">
      <text>
        <t>AUTC YoY growth assumption -- historical growth shown in the row above for reference.</t>
      </text>
    </comment>
    <comment ref="C57" authorId="0" shapeId="0">
      <text>
        <t>Orders per AUTC per year, held flat at the FY26 actual level by default.</t>
      </text>
    </comment>
    <comment ref="C60" authorId="0" shapeId="0">
      <text>
        <t>AOV YoY growth assumption.</t>
      </text>
    </comment>
    <comment ref="C73" authorId="0" shapeId="0">
      <text>
        <t>Marketing + S&amp;D combined, since Nykaa itself stopped splitting these from ~1Q26.</t>
      </text>
    </comment>
    <comment ref="C85" authorId="0" shapeId="0">
      <text>
        <t>FY25-&gt;FY26 actual growth was +121% off a very small base -- defaulted to a more conservative 30%/yr here rather than extrapolating that rate. Edit freely.</t>
      </text>
    </comment>
    <comment ref="C92" authorId="0" shapeId="0">
      <text>
        <t>Negative in FY26 actuals -- an artefact of this segment being a residual (Total - Beauty - Fashion), not a real cost credit. Review before relying on this line.</t>
      </text>
    </comment>
    <comment ref="C113" authorId="0" shapeId="0">
      <text>
        <t>Implied diluted share count (PAT / diluted EPS) from FY26 actuals, held flat -- edit for ESOP dilution.</t>
      </text>
    </comment>
    <comment ref="C122" authorId="0" shapeId="0">
      <text>
        <t>Calibrated near the FY26 historical ratio -- edit freely.</t>
      </text>
    </comment>
    <comment ref="A123" authorId="0" shapeId="0">
      <text>
        <t>Historical = Cost of material consumed + Purchase of traded goods + Changes in inventories (Raw Data - financials rows 10-12), combined into one line.</t>
      </text>
    </comment>
    <comment ref="A128" authorId="0" shapeId="0">
      <text>
        <t>Projected years: plug = Total Income - COGS - Employee benefits - Finance costs - D&amp;A - PBT (Consolidated Bridge row 108), so PBT/PAT/EPS keep tying to the segment build above.</t>
      </text>
    </comment>
    <comment ref="A138" authorId="0" shapeId="0">
      <text>
        <t>Capex isn't disclosed quarterly, only annually (Raw Data - financials row 148, Cash Flow section) -- historical link is annual-only.</t>
      </text>
    </comment>
    <comment ref="C138" authorId="0" shapeId="0">
      <text>
        <t>Calibrated near the FY26 historical ratio.</t>
      </text>
    </comment>
    <comment ref="A139" authorId="0" shapeId="0">
      <text>
        <t>= PP&amp;E + CWIP + Goodwill + Other intangibles + ROU assets + Intangibles under development (Raw Data - financials rows 49-54). Projected years roll forward: prior + Capex - D&amp;A.</t>
      </text>
    </comment>
    <comment ref="A140" authorId="0" shapeId="0">
      <text>
        <t>Held flat at the FY26 actual for projected years -- edit if you expect Nykaa to build/draw down its investment book. Historical = Investments (equity method) + Financial assets - Investments (non-current + current), rows 55+56+66.</t>
      </text>
    </comment>
    <comment ref="C141" authorId="0" shapeId="0">
      <text>
        <t>Calibrated near the FY26 historical level.</t>
      </text>
    </comment>
    <comment ref="C143" authorId="0" shapeId="0">
      <text>
        <t>Calibrated near the FY26 historical level.</t>
      </text>
    </comment>
    <comment ref="C145" authorId="0" shapeId="0">
      <text>
        <t>Calibrated near the FY26 historical ratio.</t>
      </text>
    </comment>
    <comment ref="A146" authorId="0" shapeId="0">
      <text>
        <t>= Financial assets - Loans (NC+C) + Other financial assets (NC+C) + Deferred tax assets + Non-current tax assets + Other non-current assets + Other current assets (rows 57,58,59,60,61,70,71,72).</t>
      </text>
    </comment>
    <comment ref="A147" authorId="0" shapeId="0">
      <text>
        <t>= Cash and cash equivalents + Bank balance other than cash (rows 68+69). Projected years: balancing plug, not an assumption.</t>
      </text>
    </comment>
    <comment ref="A152" authorId="0" shapeId="0">
      <text>
        <t>Nykaa hasn't paid a dividend historically -- defaulted to 0%. Edit if you expect this to change.</t>
      </text>
    </comment>
    <comment ref="A153" authorId="0" shapeId="0">
      <text>
        <t>= Other equity + Non-controlling interest (rows 80+82). Projected years roll forward: prior + PAT x (1 - dividend payout %).</t>
      </text>
    </comment>
    <comment ref="A154" authorId="0" shapeId="0">
      <text>
        <t>= Non-current + Current borrowings (rows 86+93). Held flat at the FY26 actual for projected years -- edit for planned debt raises/repayments.</t>
      </text>
    </comment>
    <comment ref="C155" authorId="0" shapeId="0">
      <text>
        <t>Calibrated near the FY26 historical ratio.</t>
      </text>
    </comment>
    <comment ref="A156" authorId="0" shapeId="0">
      <text>
        <t>= Non-current + Current lease liabilities (rows 87+94).</t>
      </text>
    </comment>
    <comment ref="C157" authorId="0" shapeId="0">
      <text>
        <t>Calibrated near the FY26 historical level.</t>
      </text>
    </comment>
    <comment ref="A158" authorId="0" shapeId="0">
      <text>
        <t>= Micro &amp; small + Other creditors (rows 95+96).</t>
      </text>
    </comment>
    <comment ref="C159" authorId="0" shapeId="0">
      <text>
        <t>Calibrated near the FY26 historical ratio.</t>
      </text>
    </comment>
    <comment ref="A160" authorId="0" shapeId="0">
      <text>
        <t>= Other financial liabilities (NC+C) + Provisions (NC+C) + Contract liabilities + Current tax liabilities + Other current liabilities (rows 88,89,97,98,99,100,101).</t>
      </text>
    </comment>
  </commentList>
</comments>
</file>

<file path=xl/comments/comment2.xml><?xml version="1.0" encoding="utf-8"?>
<comments xmlns="http://schemas.openxmlformats.org/spreadsheetml/2006/main">
  <authors>
    <author>Claude</author>
  </authors>
  <commentList>
    <comment ref="A38" authorId="0" shapeId="0">
      <text>
        <t>Not systematically extracted from the quarterly result filings for this build (immaterial line, typically well under Rs10mn/quarter). Leave blank or fill manually from the filing if needed.</t>
      </text>
    </comment>
    <comment ref="A46" authorId="0" shapeId="0">
      <text>
        <t>Balance Sheet quarterly columns: only filled for the dates where a Statement of Assets and Liabilities was actually filed (Q4-FY22, Q2 &amp; Q4-FY23, Q2 &amp; Q4-FY24, Q4-FY25, Q2 &amp; Q4-FY26). 2Q-FY22 and 2Q-FY25 are highlighted as gaps because no Financial-Results PDF for those quarters was provided in the folder -- add the PDFs and I can fill them. All other quarterly columns are intentionally blank: Nykaa (like most listed cos.) only discloses a Balance Sheet at half-year and full-year, not every quarter.</t>
      </text>
    </comment>
    <comment ref="A109" authorId="0" shapeId="0">
      <text>
        <t>Cash Flow Statement intentionally left blank for all quarterly columns (D:W). Nykaa only discloses Cash Flow on a CUMULATIVE basis at half-year (Q2, six months ended) and full-year (Q4, year ended) -- never as a standalone single quarter. Showing the Q2 cumulative H1 figure or the Q4 cumulative FY figure (which duplicates the annual column, Y:AF) in a single quarter column would misrepresent it as that quarter's own cash flow. Flagging per your request rather than filling with assumption-laden derived figures -- let me know if you'd like the H1/FY cumulative figures added as-is with a clear label instead.</t>
      </text>
    </comment>
  </commentList>
</comments>
</file>

<file path=xl/comments/comment3.xml><?xml version="1.0" encoding="utf-8"?>
<comments xmlns="http://schemas.openxmlformats.org/spreadsheetml/2006/main">
  <authors>
    <author>Claude</author>
  </authors>
  <commentList>
    <comment ref="D22" authorId="0" shapeId="0">
      <text>
        <t>Source: Nykaa_Raw_Data.xlsx rows (125, 126) (combined: Marketing &amp; advertisement expense + Selling &amp; distribution expense)</t>
      </text>
    </comment>
    <comment ref="E22" authorId="0" shapeId="0">
      <text>
        <t>Source: Nykaa_Raw_Data.xlsx rows (125, 126) (combined: Marketing &amp; advertisement expense + Selling &amp; distribution expense)</t>
      </text>
    </comment>
    <comment ref="F22" authorId="0" shapeId="0">
      <text>
        <t>Source: Nykaa_Raw_Data.xlsx rows (125, 126) (combined: Marketing &amp; advertisement expense + Selling &amp; distribution expense)</t>
      </text>
    </comment>
    <comment ref="G22" authorId="0" shapeId="0">
      <text>
        <t>Source: Nykaa_Raw_Data.xlsx rows (125, 126) (combined: Marketing &amp; advertisement expense + Selling &amp; distribution expense)</t>
      </text>
    </comment>
    <comment ref="H22" authorId="0" shapeId="0">
      <text>
        <t>Source: Nykaa_Raw_Data.xlsx rows (125, 126) (combined: Marketing &amp; advertisement expense + Selling &amp; distribution expense)</t>
      </text>
    </comment>
    <comment ref="I22" authorId="0" shapeId="0">
      <text>
        <t>Source: Nykaa_Raw_Data.xlsx rows (125, 126) (combined: Marketing &amp; advertisement expense + Selling &amp; distribution expense)</t>
      </text>
    </comment>
    <comment ref="J22" authorId="0" shapeId="0">
      <text>
        <t>Source: Nykaa_Raw_Data.xlsx rows (125, 126) (combined: Marketing &amp; advertisement expense + Selling &amp; distribution expense)</t>
      </text>
    </comment>
    <comment ref="K22" authorId="0" shapeId="0">
      <text>
        <t>Source: Nykaa_Raw_Data.xlsx rows (125, 126) (combined: Marketing &amp; advertisement expense + Selling &amp; distribution expense)</t>
      </text>
    </comment>
    <comment ref="L22" authorId="0" shapeId="0">
      <text>
        <t>Source: Nykaa_Raw_Data.xlsx rows (125, 126) (combined: Marketing &amp; advertisement expense + Selling &amp; distribution expense)</t>
      </text>
    </comment>
    <comment ref="M22" authorId="0" shapeId="0">
      <text>
        <t>Source: Nykaa_Raw_Data.xlsx rows (125, 126) (combined: Marketing &amp; advertisement expense + Selling &amp; distribution expense)</t>
      </text>
    </comment>
    <comment ref="N22" authorId="0" shapeId="0">
      <text>
        <t>Source: Nykaa_Raw_Data.xlsx rows (125, 126) (combined: Marketing &amp; advertisement expense + Selling &amp; distribution expense)</t>
      </text>
    </comment>
    <comment ref="O22" authorId="0" shapeId="0">
      <text>
        <t>Source: Nykaa_Raw_Data.xlsx rows (125, 126) (combined: Marketing &amp; advertisement expense + Selling &amp; distribution expense)</t>
      </text>
    </comment>
    <comment ref="P22" authorId="0" shapeId="0">
      <text>
        <t>Source: Nykaa_Raw_Data.xlsx rows (125, 126) (combined: Marketing &amp; advertisement expense + Selling &amp; distribution expense)</t>
      </text>
    </comment>
    <comment ref="Q22" authorId="0" shapeId="0">
      <text>
        <t>Source: Nykaa_Raw_Data.xlsx rows (125, 126) (combined: Marketing &amp; advertisement expense + Selling &amp; distribution expense)</t>
      </text>
    </comment>
    <comment ref="R22" authorId="0" shapeId="0">
      <text>
        <t>Source: Nykaa_Raw_Data.xlsx rows (125, 126) (combined: Marketing &amp; advertisement expense + Selling &amp; distribution expense)</t>
      </text>
    </comment>
    <comment ref="S22" authorId="0" shapeId="0">
      <text>
        <t>Source: Nykaa_Raw_Data.xlsx rows (125, 126) (combined: Marketing &amp; advertisement expense + Selling &amp; distribution expense)</t>
      </text>
    </comment>
    <comment ref="T22" authorId="0" shapeId="0">
      <text>
        <t>Source: 2Q26 deck, comparative column 'Q1FY26' (Total column, cr), converted to Rs mn</t>
      </text>
    </comment>
    <comment ref="V22" authorId="0" shapeId="0">
      <text>
        <t>Source: 4Q26 deck, comparative column 'Q3FY26' (Total column, cr), converted to Rs mn</t>
      </text>
    </comment>
    <comment ref="D31" authorId="0" shapeId="0">
      <text>
        <t>Source: 1Q24 deck (Jul-2023), 'BPC: Key Operational Metrics' / combined 'Key Operational Metrics' table, p11/p53 -- restates Q1FY22-Q1FY24 in one consistent table. Cross-checked against 1Q23/2Q23/3Q23/4Q23 decks' own-quarter disclosures (all matched to the last reported digit).</t>
      </text>
    </comment>
    <comment ref="L31" authorId="0" shapeId="0">
      <text>
        <t>Source: 1Q25 deck, comparative column 'Q1FY24'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M31" authorId="0" shapeId="0">
      <text>
        <t>Derived: FY24 annual Beauty Visits (1,170mn, 4Q25 deck, 'FY24' annual column (Key Performance Metrics, p60)) minus Q1FY24 (269) + Q3FY24 (311) + Q4FY24 (303) disclosed quarters = 287mn. Q2FY24 itself is not separately disclosed in any deck available. NOTE: this table defines 'Beauty' as the BPC Vertical (per deck glossary), which is narrower than the 'Beauty incl. SuperStore' scope used for b_gmv/b_nsv/b_rev above (BPC vertical appears to exclude SuperStore GMV -- see row-level caveat).</t>
      </text>
    </comment>
    <comment ref="N31" authorId="0" shapeId="0">
      <text>
        <t>Source: 3Q25 deck, comparative column 'Q3FY24' (Key Operational Metrics, p44) -- no MAUV row in this deck edition (Beauty column). NOTE: this table defines 'Beauty' as the BPC Vertical (per deck glossary), which is narrower than the 'Beauty incl. SuperStore' scope used for b_gmv/b_nsv/b_rev above (BPC vertical appears to exclude SuperStore GMV -- see row-level caveat).</t>
      </text>
    </comment>
    <comment ref="O31" authorId="0" shapeId="0">
      <text>
        <t>Source: 4Q25 deck, comparative column 'Q4FY24'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P31" authorId="0" shapeId="0">
      <text>
        <t>Source: 1Q25 deck (own quarter,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Q31" authorId="0" shapeId="0">
      <text>
        <t>Source: 2Q26 deck, comparative column 'Q2FY25'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R31" authorId="0" shapeId="0">
      <text>
        <t>Source: 3Q25 deck (own quarter, Key Operational Metrics, p44); MAUV cross-confirmed via 3Q26 deck's comparative column (Beauty column). NOTE: this table defines 'Beauty' as the BPC Vertical (per deck glossary), which is narrower than the 'Beauty incl. SuperStore' scope used for b_gmv/b_nsv/b_rev above (BPC vertical appears to exclude SuperStore GMV -- see row-level caveat).</t>
      </text>
    </comment>
    <comment ref="S31" authorId="0" shapeId="0">
      <text>
        <t>Source: 4Q25 deck (own quarter,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U31" authorId="0" shapeId="0">
      <text>
        <t>Source: 2Q26 deck (own quarter,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V31" authorId="0" shapeId="0">
      <text>
        <t>Source: 3Q26 deck (own quarter, Key Performance Metrics, p52) (Beauty column). NOTE: this table defines 'Beauty' as the BPC Vertical (per deck glossary), which is narrower than the 'Beauty incl. SuperStore' scope used for b_gmv/b_nsv/b_rev above (BPC vertical appears to exclude SuperStore GMV -- see row-level caveat).</t>
      </text>
    </comment>
    <comment ref="L32" authorId="0" shapeId="0">
      <text>
        <t>Source: 1Q25 deck, comparative column 'Q1FY24'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O32" authorId="0" shapeId="0">
      <text>
        <t>Source: 4Q25 deck, comparative column 'Q4FY24'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P32" authorId="0" shapeId="0">
      <text>
        <t>Source: 1Q25 deck (own quarter,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Q32" authorId="0" shapeId="0">
      <text>
        <t>Source: 2Q26 deck, comparative column 'Q2FY25'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R32" authorId="0" shapeId="0">
      <text>
        <t>Source: 3Q25 deck (own quarter, Key Operational Metrics, p44); MAUV cross-confirmed via 3Q26 deck's comparative column (Beauty column). NOTE: this table defines 'Beauty' as the BPC Vertical (per deck glossary), which is narrower than the 'Beauty incl. SuperStore' scope used for b_gmv/b_nsv/b_rev above (BPC vertical appears to exclude SuperStore GMV -- see row-level caveat).</t>
      </text>
    </comment>
    <comment ref="S32" authorId="0" shapeId="0">
      <text>
        <t>Source: 4Q25 deck (own quarter,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U32" authorId="0" shapeId="0">
      <text>
        <t>Source: 2Q26 deck (own quarter,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V32" authorId="0" shapeId="0">
      <text>
        <t>Source: 3Q26 deck (own quarter, Key Performance Metrics, p52) (Beauty column). NOTE: this table defines 'Beauty' as the BPC Vertical (per deck glossary), which is narrower than the 'Beauty incl. SuperStore' scope used for b_gmv/b_nsv/b_rev above (BPC vertical appears to exclude SuperStore GMV -- see row-level caveat).</t>
      </text>
    </comment>
    <comment ref="L35" authorId="0" shapeId="0">
      <text>
        <t>Source: 1Q25 deck, comparative column 'Q1FY24' (Key Operational Metrics) (Beauty column). Deck-disclosed AOV for cross-check: Rs 1922. NOTE: this table defines 'Beauty' as the BPC Vertical (per deck glossary), which is narrower than the 'Beauty incl. SuperStore' scope used for b_gmv/b_nsv/b_rev above (BPC vertical appears to exclude SuperStore GMV -- see row-level caveat).</t>
      </text>
    </comment>
    <comment ref="N35" authorId="0" shapeId="0">
      <text>
        <t>Source: 3Q25 deck, comparative column 'Q3FY24' (Key Operational Metrics, p44) -- no MAUV row in this deck edition (Beauty column). Deck-disclosed AOV for cross-check: Rs 2121. NOTE: this table defines 'Beauty' as the BPC Vertical (per deck glossary), which is narrower than the 'Beauty incl. SuperStore' scope used for b_gmv/b_nsv/b_rev above (BPC vertical appears to exclude SuperStore GMV -- see row-level caveat).</t>
      </text>
    </comment>
    <comment ref="O35" authorId="0" shapeId="0">
      <text>
        <t>Source: 4Q25 deck, comparative column 'Q4FY24' (Key Performance Metrics, p60) (Beauty column). Deck-disclosed AOV for cross-check: Rs 1898. NOTE: this table defines 'Beauty' as the BPC Vertical (per deck glossary), which is narrower than the 'Beauty incl. SuperStore' scope used for b_gmv/b_nsv/b_rev above (BPC vertical appears to exclude SuperStore GMV -- see row-level caveat).</t>
      </text>
    </comment>
    <comment ref="P35" authorId="0" shapeId="0">
      <text>
        <t>Source: 1Q25 deck (own quarter, Key Operational Metrics) (Beauty column). Deck-disclosed AOV for cross-check: Rs 1924. NOTE: this table defines 'Beauty' as the BPC Vertical (per deck glossary), which is narrower than the 'Beauty incl. SuperStore' scope used for b_gmv/b_nsv/b_rev above (BPC vertical appears to exclude SuperStore GMV -- see row-level caveat).</t>
      </text>
    </comment>
    <comment ref="Q35" authorId="0" shapeId="0">
      <text>
        <t>Source: 2Q26 deck, comparative column 'Q2FY25' (Key Performance Metrics, p57) (Beauty column). Deck-disclosed AOV for cross-check: Rs 2038. NOTE: this table defines 'Beauty' as the BPC Vertical (per deck glossary), which is narrower than the 'Beauty incl. SuperStore' scope used for b_gmv/b_nsv/b_rev above (BPC vertical appears to exclude SuperStore GMV -- see row-level caveat).</t>
      </text>
    </comment>
    <comment ref="R35" authorId="0" shapeId="0">
      <text>
        <t>Source: 3Q25 deck (own quarter, Key Operational Metrics, p44); MAUV cross-confirmed via 3Q26 deck's comparative column (Beauty column). Deck-disclosed AOV for cross-check: Rs 2127. NOTE: this table defines 'Beauty' as the BPC Vertical (per deck glossary), which is narrower than the 'Beauty incl. SuperStore' scope used for b_gmv/b_nsv/b_rev above (BPC vertical appears to exclude SuperStore GMV -- see row-level caveat).</t>
      </text>
    </comment>
    <comment ref="S35" authorId="0" shapeId="0">
      <text>
        <t>Source: 4Q25 deck (own quarter, Key Performance Metrics, p60) (Beauty column). Deck-disclosed AOV for cross-check: Rs 1978. NOTE: this table defines 'Beauty' as the BPC Vertical (per deck glossary), which is narrower than the 'Beauty incl. SuperStore' scope used for b_gmv/b_nsv/b_rev above (BPC vertical appears to exclude SuperStore GMV -- see row-level caveat).</t>
      </text>
    </comment>
    <comment ref="T35" authorId="0" shapeId="0">
      <text>
        <t>Source: 1Q26 deck (own quarter, 'Key metrics that we are excited to share', p10) -- Beauty only; Visits/MAUV/Orders and all Fashion metrics not disclosed this edition (Beauty column). Deck-disclosed AOV for cross-check: Rs 2009. NOTE: this table defines 'Beauty' as the BPC Vertical (per deck glossary), which is narrower than the 'Beauty incl. SuperStore' scope used for b_gmv/b_nsv/b_rev above (BPC vertical appears to exclude SuperStore GMV -- see row-level caveat).</t>
      </text>
    </comment>
    <comment ref="U35" authorId="0" shapeId="0">
      <text>
        <t>Source: 2Q26 deck (own quarter, Key Performance Metrics, p57) (Beauty column). Deck-disclosed AOV for cross-check: Rs 2049. NOTE: this table defines 'Beauty' as the BPC Vertical (per deck glossary), which is narrower than the 'Beauty incl. SuperStore' scope used for b_gmv/b_nsv/b_rev above (BPC vertical appears to exclude SuperStore GMV -- see row-level caveat).</t>
      </text>
    </comment>
    <comment ref="V35" authorId="0" shapeId="0">
      <text>
        <t>Source: 3Q26 deck (own quarter, Key Performance Metrics, p52) (Beauty column). Deck-disclosed AOV for cross-check: Rs 2173. NOTE: this table defines 'Beauty' as the BPC Vertical (per deck glossary), which is narrower than the 'Beauty incl. SuperStore' scope used for b_gmv/b_nsv/b_rev above (BPC vertical appears to exclude SuperStore GMV -- see row-level caveat).</t>
      </text>
    </comment>
    <comment ref="W35" authorId="0" shapeId="0">
      <text>
        <t>FY26 annual AUTC from 4Q26 deck (Key Performance Metrics, p52) used directly as the Q4FY26 value, since AUTC is itself a trailing-12-month figure (FY value = Q4 value -- confirmed identical at 4Q25: FY25 AUTC == Q4FY25 AUTC exactly). NOTE: this table defines 'Beauty' as the BPC Vertical (per deck glossary), which is narrower than the 'Beauty incl. SuperStore' scope used for b_gmv/b_nsv/b_rev above (BPC vertical appears to exclude SuperStore GMV -- see row-level caveat).</t>
      </text>
    </comment>
    <comment ref="D37" authorId="0" shapeId="0">
      <text>
        <t>Proxy: old 'BPC (ex-SuperStore)' number of orders -- see note on b_visits.</t>
      </text>
    </comment>
    <comment ref="E37" authorId="0" shapeId="0">
      <text>
        <t>Proxy: old 'BPC (ex-SuperStore)' number of orders -- see note on b_visits.</t>
      </text>
    </comment>
    <comment ref="F37" authorId="0" shapeId="0">
      <text>
        <t>Proxy: old 'BPC (ex-SuperStore)' number of orders -- see note on b_visits.</t>
      </text>
    </comment>
    <comment ref="G37" authorId="0" shapeId="0">
      <text>
        <t>Proxy: old 'BPC (ex-SuperStore)' number of orders -- see note on b_visits.</t>
      </text>
    </comment>
    <comment ref="H37" authorId="0" shapeId="0">
      <text>
        <t>Proxy: old 'BPC (ex-SuperStore)' number of orders -- see note on b_visits.</t>
      </text>
    </comment>
    <comment ref="I37" authorId="0" shapeId="0">
      <text>
        <t>Proxy: old 'BPC (ex-SuperStore)' number of orders -- see note on b_visits.</t>
      </text>
    </comment>
    <comment ref="J37" authorId="0" shapeId="0">
      <text>
        <t>Proxy: old 'BPC (ex-SuperStore)' number of orders -- see note on b_visits.</t>
      </text>
    </comment>
    <comment ref="K37" authorId="0" shapeId="0">
      <text>
        <t>Proxy: old 'BPC (ex-SuperStore)' number of orders -- see note on b_visits.</t>
      </text>
    </comment>
    <comment ref="L37" authorId="0" shapeId="0">
      <text>
        <t>Source: 1Q25 deck, comparative column 'Q1FY24' (Key Operational Metrics). Replaces the old ex-SuperStore-scope proxy previously here with the deck-disclosed BPC Vertical figure. NOTE: this table defines 'Beauty' as the BPC Vertical (per deck glossary), which is narrower than the 'Beauty incl. SuperStore' scope used for b_gmv/b_nsv/b_rev above (BPC vertical appears to exclude SuperStore GMV -- see row-level caveat).</t>
      </text>
    </comment>
    <comment ref="M37" authorId="0" shapeId="0">
      <text>
        <t>Derived: FY24 annual Beauty Orders (43.7mn, 4Q25 deck, 'FY24' annual column (Key Performance Metrics, p60)) minus Q1FY24 (9.9) + Q3FY24 (11.6) + Q4FY24 (11.7) disclosed quarters = 10.5mn. Replaces the old ex-SuperStore-scope proxy previously here. NOTE: this table defines 'Beauty' as the BPC Vertical (per deck glossary), which is narrower than the 'Beauty incl. SuperStore' scope used for b_gmv/b_nsv/b_rev above (BPC vertical appears to exclude SuperStore GMV -- see row-level caveat).</t>
      </text>
    </comment>
    <comment ref="N37" authorId="0" shapeId="0">
      <text>
        <t>Source: 3Q25 deck, comparative column 'Q3FY24' (Key Operational Metrics, p44). Replaces the old ex-SuperStore-scope proxy previously here with the deck-disclosed BPC Vertical figure. NOTE: this table defines 'Beauty' as the BPC Vertical (per deck glossary), which is narrower than the 'Beauty incl. SuperStore' scope used for b_gmv/b_nsv/b_rev above (BPC vertical appears to exclude SuperStore GMV -- see row-level caveat).</t>
      </text>
    </comment>
    <comment ref="O37" authorId="0" shapeId="0">
      <text>
        <t>Source: 4Q25 deck, comparative column 'Q4FY24' (Key Performance Metrics, p60). Replaces the old ex-SuperStore-scope proxy previously here with the deck-disclosed BPC Vertical figure. NOTE: this table defines 'Beauty' as the BPC Vertical (per deck glossary), which is narrower than the 'Beauty incl. SuperStore' scope used for b_gmv/b_nsv/b_rev above (BPC vertical appears to exclude SuperStore GMV -- see row-level caveat).</t>
      </text>
    </comment>
    <comment ref="P37" authorId="0" shapeId="0">
      <text>
        <t>Source: 1Q25 deck (own quarter,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Q37" authorId="0" shapeId="0">
      <text>
        <t>Source: 2Q26 deck, comparative column 'Q2FY25'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R37" authorId="0" shapeId="0">
      <text>
        <t>Source: 3Q25 deck (own quarter, Key Operational Metrics, p44); MAUV cross-confirmed via 3Q26 deck's comparative column (Beauty column). NOTE: this table defines 'Beauty' as the BPC Vertical (per deck glossary), which is narrower than the 'Beauty incl. SuperStore' scope used for b_gmv/b_nsv/b_rev above (BPC vertical appears to exclude SuperStore GMV -- see row-level caveat).</t>
      </text>
    </comment>
    <comment ref="S37" authorId="0" shapeId="0">
      <text>
        <t>Source: 4Q25 deck (own quarter,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U37" authorId="0" shapeId="0">
      <text>
        <t>Source: 2Q26 deck (own quarter,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V37" authorId="0" shapeId="0">
      <text>
        <t>Source: 3Q26 deck (own quarter, Key Performance Metrics, p52) (Beauty column). NOTE: this table defines 'Beauty' as the BPC Vertical (per deck glossary), which is narrower than the 'Beauty incl. SuperStore' scope used for b_gmv/b_nsv/b_rev above (BPC vertical appears to exclude SuperStore GMV -- see row-level caveat).</t>
      </text>
    </comment>
    <comment ref="L44" authorId="0" shapeId="0">
      <text>
        <t>Source: 1Q25 deck, comparative column 'Q1FY24' (Beauty column, mn), converted to Rs mn</t>
      </text>
    </comment>
    <comment ref="N44" authorId="0" shapeId="0">
      <text>
        <t>Source: 3Q25 deck, comparative column 'Q3FY24' (Beauty column, mn), converted to Rs mn</t>
      </text>
    </comment>
    <comment ref="O44" authorId="0" shapeId="0">
      <text>
        <t>Source: 4Q25 deck, comparative column 'Q4FY24' (Beauty column, cr), converted to Rs mn</t>
      </text>
    </comment>
    <comment ref="Q44" authorId="0" shapeId="0">
      <text>
        <t>Source: 3Q25 deck, comparative column 'Q2FY25' (Beauty column, mn), converted to Rs mn</t>
      </text>
    </comment>
    <comment ref="T44" authorId="0" shapeId="0">
      <text>
        <t>Source: 2Q26 deck, comparative column 'Q1FY26' (Beauty column, cr), converted to Rs mn</t>
      </text>
    </comment>
    <comment ref="V44" authorId="0" shapeId="0">
      <text>
        <t>Source: 4Q26 deck, comparative column 'Q3FY26' (Beauty column, cr), converted to Rs mn</t>
      </text>
    </comment>
    <comment ref="L46" authorId="0" shapeId="0">
      <text>
        <t>Source: 1Q25 deck, comparative column 'Q1FY24' (Beauty column, mn), converted to Rs mn</t>
      </text>
    </comment>
    <comment ref="N46" authorId="0" shapeId="0">
      <text>
        <t>Source: 3Q25 deck, comparative column 'Q3FY24' (Beauty column, mn), converted to Rs mn</t>
      </text>
    </comment>
    <comment ref="O46" authorId="0" shapeId="0">
      <text>
        <t>Source: 4Q25 deck, comparative column 'Q4FY24' (Beauty column, cr), converted to Rs mn</t>
      </text>
    </comment>
    <comment ref="Q46" authorId="0" shapeId="0">
      <text>
        <t>Source: 3Q25 deck, comparative column 'Q2FY25' (Beauty column, mn), converted to Rs mn</t>
      </text>
    </comment>
    <comment ref="T46" authorId="0" shapeId="0">
      <text>
        <t>Source: 2Q26 deck, comparative column 'Q1FY26' (Beauty column, cr), converted to Rs mn</t>
      </text>
    </comment>
    <comment ref="V46" authorId="0" shapeId="0">
      <text>
        <t>Source: 4Q26 deck, comparative column 'Q3FY26' (Beauty column, cr), converted to Rs mn</t>
      </text>
    </comment>
    <comment ref="L48" authorId="0" shapeId="0">
      <text>
        <t>Source: 1Q25 deck, comparative column 'Q1FY24' (Beauty column, mn), converted to Rs mn</t>
      </text>
    </comment>
    <comment ref="N48" authorId="0" shapeId="0">
      <text>
        <t>Source: 3Q25 deck, comparative column 'Q3FY24' (Beauty column, mn), converted to Rs mn</t>
      </text>
    </comment>
    <comment ref="O48" authorId="0" shapeId="0">
      <text>
        <t>Source: 4Q25 deck, comparative column 'Q4FY24' (Beauty column, cr), converted to Rs mn</t>
      </text>
    </comment>
    <comment ref="Q48" authorId="0" shapeId="0">
      <text>
        <t>Source: 3Q25 deck, comparative column 'Q2FY25' (Beauty column, mn), converted to Rs mn</t>
      </text>
    </comment>
    <comment ref="T48" authorId="0" shapeId="0">
      <text>
        <t>Source: 2Q26 deck, comparative column 'Q1FY26' (Beauty column, cr), converted to Rs mn</t>
      </text>
    </comment>
    <comment ref="V48" authorId="0" shapeId="0">
      <text>
        <t>Source: 4Q26 deck, comparative column 'Q3FY26' (Beauty column, cr), converted to Rs mn</t>
      </text>
    </comment>
    <comment ref="L49" authorId="0" shapeId="0">
      <text>
        <t>Source: 1Q25 deck, comparative column 'Q1FY24' (Beauty column, mn), converted to Rs mn</t>
      </text>
    </comment>
    <comment ref="N49" authorId="0" shapeId="0">
      <text>
        <t>Source: 3Q25 deck, comparative column 'Q3FY24' (Beauty column, mn), converted to Rs mn</t>
      </text>
    </comment>
    <comment ref="O49" authorId="0" shapeId="0">
      <text>
        <t>Source: 4Q25 deck, comparative column 'Q4FY24' (Beauty column, cr), converted to Rs mn</t>
      </text>
    </comment>
    <comment ref="Q49" authorId="0" shapeId="0">
      <text>
        <t>Source: 3Q25 deck, comparative column 'Q2FY25' (Beauty column, mn), converted to Rs mn</t>
      </text>
    </comment>
    <comment ref="T49" authorId="0" shapeId="0">
      <text>
        <t>Source: 2Q26 deck, comparative column 'Q1FY26' (Beauty column, cr) -- Marketing &amp; S&amp;D combined by Nykaa from this quarter; entered whole into Marketing row.</t>
      </text>
    </comment>
    <comment ref="U49" authorId="0" shapeId="0">
      <text>
        <t>Source: 2Q26 deck (own quarter) (Beauty column, cr) -- Marketing &amp; S&amp;D combined by Nykaa from this quarter; entered whole into Marketing row.</t>
      </text>
    </comment>
    <comment ref="V49" authorId="0" shapeId="0">
      <text>
        <t>Source: 4Q26 deck, comparative column 'Q3FY26' (Beauty column, cr) -- Marketing &amp; S&amp;D combined by Nykaa from this quarter; entered whole into Marketing row.</t>
      </text>
    </comment>
    <comment ref="W49" authorId="0" shapeId="0">
      <text>
        <t>Source: 4Q26 deck (own quarter) (Beauty column, cr) -- Marketing &amp; S&amp;D combined by Nykaa from this quarter; entered whole into Marketing row.</t>
      </text>
    </comment>
    <comment ref="L50" authorId="0" shapeId="0">
      <text>
        <t>Source: 1Q25 deck, comparative column 'Q1FY24' (Beauty column, mn), converted to Rs mn</t>
      </text>
    </comment>
    <comment ref="N50" authorId="0" shapeId="0">
      <text>
        <t>Source: 3Q25 deck, comparative column 'Q3FY24' (Beauty column, mn), converted to Rs mn</t>
      </text>
    </comment>
    <comment ref="O50" authorId="0" shapeId="0">
      <text>
        <t>Source: 4Q25 deck, comparative column 'Q4FY24' (Beauty column, cr), converted to Rs mn</t>
      </text>
    </comment>
    <comment ref="Q50" authorId="0" shapeId="0">
      <text>
        <t>Source: 3Q25 deck, comparative column 'Q2FY25' (Beauty column, mn), converted to Rs mn</t>
      </text>
    </comment>
    <comment ref="T50" authorId="0" shapeId="0">
      <text>
        <t>Set to 0: Nykaa combined Marketing &amp; S&amp;D into one line from Q1FY26 onward (see Marketing row above for the combined figure).</t>
      </text>
    </comment>
    <comment ref="U50" authorId="0" shapeId="0">
      <text>
        <t>Set to 0: Nykaa combined Marketing &amp; S&amp;D into one line from Q2FY26 onward (see Marketing row above for the combined figure).</t>
      </text>
    </comment>
    <comment ref="V50" authorId="0" shapeId="0">
      <text>
        <t>Set to 0: Nykaa combined Marketing &amp; S&amp;D into one line from Q3FY26 onward (see Marketing row above for the combined figure).</t>
      </text>
    </comment>
    <comment ref="W50" authorId="0" shapeId="0">
      <text>
        <t>Set to 0: Nykaa combined Marketing &amp; S&amp;D into one line from Q4FY26 onward (see Marketing row above for the combined figure).</t>
      </text>
    </comment>
    <comment ref="L53" authorId="0" shapeId="0">
      <text>
        <t>Source: 1Q25 deck, comparative column 'Q1FY24' (Beauty column, mn), converted to Rs mn</t>
      </text>
    </comment>
    <comment ref="N53" authorId="0" shapeId="0">
      <text>
        <t>Source: 3Q25 deck, comparative column 'Q3FY24' (Beauty column, mn), converted to Rs mn</t>
      </text>
    </comment>
    <comment ref="O53" authorId="0" shapeId="0">
      <text>
        <t>Source: 4Q25 deck, comparative column 'Q4FY24' (Beauty column, cr), converted to Rs mn</t>
      </text>
    </comment>
    <comment ref="Q53" authorId="0" shapeId="0">
      <text>
        <t>Source: 3Q25 deck, comparative column 'Q2FY25' (Beauty column, mn), converted to Rs mn</t>
      </text>
    </comment>
    <comment ref="T53" authorId="0" shapeId="0">
      <text>
        <t>Source: 2Q26 deck, comparative column 'Q1FY26' (Beauty column, cr), converted to Rs mn</t>
      </text>
    </comment>
    <comment ref="V53" authorId="0" shapeId="0">
      <text>
        <t>Source: 4Q26 deck, comparative column 'Q3FY26' (Beauty column, cr), converted to Rs mn</t>
      </text>
    </comment>
    <comment ref="A64" authorId="0" shapeId="0">
      <text>
        <t>Started being separately disclosed recently -- fill from the quarter it first appears; leave earlier quarters blank.</t>
      </text>
    </comment>
    <comment ref="A65" authorId="0" shapeId="0">
      <text>
        <t>Started being separately disclosed recently -- fill from the quarter it first appears; leave earlier quarters blank.</t>
      </text>
    </comment>
    <comment ref="A75" authorId="0" shapeId="0">
      <text>
        <t>Not consistently disclosed -- leave blank if unavailable</t>
      </text>
    </comment>
    <comment ref="D88" authorId="0" shapeId="0">
      <text>
        <t>Source: 1Q24 deck (Jul-2023), 'Key Operational Metrics' combined table (Beauty/Fashion/Others), p53. Cross-checked against 1Q23/2Q23/3Q23/4Q23 decks' own-quarter disclosures.</t>
      </text>
    </comment>
    <comment ref="L88" authorId="0" shapeId="0">
      <text>
        <t>Source: 1Q25 deck, comparative column 'Q1FY24' (Key Operational Metrics) (Fashion column).</t>
      </text>
    </comment>
    <comment ref="M88" authorId="0" shapeId="0">
      <text>
        <t>Derived: FY24 annual Fashion Visits (572mn, 4Q25 deck, 'FY24' annual column (Key Performance Metrics, p60)) minus Q1FY24 (126) + Q3FY24 (157) + Q4FY24 (144) disclosed quarters = 145mn. Q2FY24 itself is not separately disclosed in any deck available.</t>
      </text>
    </comment>
    <comment ref="N88" authorId="0" shapeId="0">
      <text>
        <t>Source: 3Q25 deck, comparative column 'Q3FY24' (Key Operational Metrics, p44) -- no MAUV row in this deck edition (Fashion column).</t>
      </text>
    </comment>
    <comment ref="O88" authorId="0" shapeId="0">
      <text>
        <t>Source: 4Q25 deck, comparative column 'Q4FY24' (Key Performance Metrics, p60) (Fashion column).</t>
      </text>
    </comment>
    <comment ref="P88" authorId="0" shapeId="0">
      <text>
        <t>Source: 1Q25 deck (own quarter, Key Operational Metrics) (Fashion column).</t>
      </text>
    </comment>
    <comment ref="Q88" authorId="0" shapeId="0">
      <text>
        <t>Source: 2Q26 deck, comparative column 'Q2FY25' (Key Performance Metrics, p57) (Fashion column).</t>
      </text>
    </comment>
    <comment ref="R88" authorId="0" shapeId="0">
      <text>
        <t>Source: 3Q25 deck (own quarter, Key Operational Metrics, p44); MAUV cross-confirmed via 3Q26 deck's comparative column (Fashion column).</t>
      </text>
    </comment>
    <comment ref="S88" authorId="0" shapeId="0">
      <text>
        <t>Source: 4Q25 deck (own quarter, Key Performance Metrics, p60) (Fashion column).</t>
      </text>
    </comment>
    <comment ref="U88" authorId="0" shapeId="0">
      <text>
        <t>Source: 2Q26 deck (own quarter, Key Performance Metrics, p57) (Fashion column).</t>
      </text>
    </comment>
    <comment ref="V88" authorId="0" shapeId="0">
      <text>
        <t>Source: 3Q26 deck (own quarter, Key Performance Metrics, p52) (Fashion column).</t>
      </text>
    </comment>
    <comment ref="AJ88" authorId="0" shapeId="0">
      <text>
        <t>OVERRIDE (was formula ==IF(COUNT(T88:W88)=0,"",SUM(T88:W88))): 4Q26 deck, 'FY26' annual column (Key Performance Metrics, p52) -- used directly since Q1FY26 &amp; Q4FY26 quarterly Visits aren't disclosed.</t>
      </text>
    </comment>
    <comment ref="L89" authorId="0" shapeId="0">
      <text>
        <t>Source: 1Q25 deck, comparative column 'Q1FY24' (Key Operational Metrics) (Fashion column).</t>
      </text>
    </comment>
    <comment ref="O89" authorId="0" shapeId="0">
      <text>
        <t>Source: 4Q25 deck, comparative column 'Q4FY24' (Key Performance Metrics, p60) (Fashion column).</t>
      </text>
    </comment>
    <comment ref="P89" authorId="0" shapeId="0">
      <text>
        <t>Source: 1Q25 deck (own quarter, Key Operational Metrics) (Fashion column).</t>
      </text>
    </comment>
    <comment ref="Q89" authorId="0" shapeId="0">
      <text>
        <t>Source: 2Q26 deck, comparative column 'Q2FY25' (Key Performance Metrics, p57) (Fashion column).</t>
      </text>
    </comment>
    <comment ref="R89" authorId="0" shapeId="0">
      <text>
        <t>Source: 3Q25 deck (own quarter, Key Operational Metrics, p44); MAUV cross-confirmed via 3Q26 deck's comparative column (Fashion column).</t>
      </text>
    </comment>
    <comment ref="S89" authorId="0" shapeId="0">
      <text>
        <t>Source: 4Q25 deck (own quarter, Key Performance Metrics, p60) (Fashion column).</t>
      </text>
    </comment>
    <comment ref="U89" authorId="0" shapeId="0">
      <text>
        <t>Source: 2Q26 deck (own quarter, Key Performance Metrics, p57) (Fashion column).</t>
      </text>
    </comment>
    <comment ref="V89" authorId="0" shapeId="0">
      <text>
        <t>Source: 3Q26 deck (own quarter, Key Performance Metrics, p52) (Fashion column).</t>
      </text>
    </comment>
    <comment ref="AH89" authorId="0" shapeId="0">
      <text>
        <t>OVERRIDE (was formula ==IFERROR(AVERAGE(L89:O89),"")): 4Q25 deck, 'FY24' annual column (Key Performance Metrics, p60) -- used directly since no Fashion MAUV is disclosed for any FY24 quarter.</t>
      </text>
    </comment>
    <comment ref="AJ89" authorId="0" shapeId="0">
      <text>
        <t>OVERRIDE (was formula ==IFERROR(AVERAGE(T89:W89),"")): 4Q26 deck, 'FY26' annual column (Key Performance Metrics, p52) -- used directly since Q1FY26 &amp; Q4FY26 quarterly MAUV aren't disclosed.</t>
      </text>
    </comment>
    <comment ref="L92" authorId="0" shapeId="0">
      <text>
        <t>Source: 1Q25 deck, comparative column 'Q1FY24' (Key Operational Metrics) (Fashion column). Deck-disclosed AOV for cross-check: Rs 4058.</t>
      </text>
    </comment>
    <comment ref="N92" authorId="0" shapeId="0">
      <text>
        <t>Source: 3Q25 deck, comparative column 'Q3FY24' (Key Operational Metrics, p44) -- no MAUV row in this deck edition (Fashion column). Deck-disclosed AOV for cross-check: Rs 4681.</t>
      </text>
    </comment>
    <comment ref="O92" authorId="0" shapeId="0">
      <text>
        <t>Source: 4Q25 deck, comparative column 'Q4FY24' (Key Performance Metrics, p60) (Fashion column). Deck-disclosed AOV for cross-check: Rs 4546.</t>
      </text>
    </comment>
    <comment ref="P92" authorId="0" shapeId="0">
      <text>
        <t>Source: 1Q25 deck (own quarter, Key Operational Metrics) (Fashion column). Deck-disclosed AOV for cross-check: Rs 4237.</t>
      </text>
    </comment>
    <comment ref="Q92" authorId="0" shapeId="0">
      <text>
        <t>Source: 2Q26 deck, comparative column 'Q2FY25' (Key Performance Metrics, p57) (Fashion column). Deck-disclosed AOV for cross-check: Rs 4464.</t>
      </text>
    </comment>
    <comment ref="R92" authorId="0" shapeId="0">
      <text>
        <t>Source: 3Q25 deck (own quarter, Key Operational Metrics, p44); MAUV cross-confirmed via 3Q26 deck's comparative column (Fashion column). Deck-disclosed AOV for cross-check: Rs 4901.</t>
      </text>
    </comment>
    <comment ref="S92" authorId="0" shapeId="0">
      <text>
        <t>Source: 4Q25 deck (own quarter, Key Performance Metrics, p60) (Fashion column). Deck-disclosed AOV for cross-check: Rs 4738.</t>
      </text>
    </comment>
    <comment ref="U92" authorId="0" shapeId="0">
      <text>
        <t>Source: 2Q26 deck (own quarter, Key Performance Metrics, p57) (Fashion column). Deck-disclosed AOV for cross-check: Rs 4651.</t>
      </text>
    </comment>
    <comment ref="V92" authorId="0" shapeId="0">
      <text>
        <t>Source: 3Q26 deck (own quarter, Key Performance Metrics, p52) (Fashion column). Deck-disclosed AOV for cross-check: Rs 4794.</t>
      </text>
    </comment>
    <comment ref="W92" authorId="0" shapeId="0">
      <text>
        <t>FY26 annual AUTC from 4Q26 deck (Key Performance Metrics, p52) used directly as the Q4FY26 value, since AUTC is itself a trailing-12-month figure (FY value = Q4 value -- confirmed identical at 4Q25: FY25 AUTC == Q4FY25 AUTC exactly).</t>
      </text>
    </comment>
    <comment ref="L94" authorId="0" shapeId="0">
      <text>
        <t>Source: 1Q25 deck, comparative column 'Q1FY24' (Key Operational Metrics) (Fashion column).</t>
      </text>
    </comment>
    <comment ref="M94" authorId="0" shapeId="0">
      <text>
        <t>Derived: FY24 annual Fashion Orders (7.0mn, 4Q25 deck, 'FY24' annual column (Key Performance Metrics, p60)) minus Q1FY24 (1.5) + Q3FY24 (2.1) + Q4FY24 (1.8) disclosed quarters = 1.6mn. Q2FY24 itself is not separately disclosed in any deck available.</t>
      </text>
    </comment>
    <comment ref="N94" authorId="0" shapeId="0">
      <text>
        <t>Source: 3Q25 deck, comparative column 'Q3FY24' (Key Operational Metrics, p44) -- no MAUV row in this deck edition (Fashion column).</t>
      </text>
    </comment>
    <comment ref="O94" authorId="0" shapeId="0">
      <text>
        <t>Source: 4Q25 deck, comparative column 'Q4FY24' (Key Performance Metrics, p60) (Fashion column).</t>
      </text>
    </comment>
    <comment ref="P94" authorId="0" shapeId="0">
      <text>
        <t>Source: 1Q25 deck (own quarter, Key Operational Metrics) (Fashion column).</t>
      </text>
    </comment>
    <comment ref="Q94" authorId="0" shapeId="0">
      <text>
        <t>Source: 2Q26 deck, comparative column 'Q2FY25' (Key Performance Metrics, p57) (Fashion column).</t>
      </text>
    </comment>
    <comment ref="R94" authorId="0" shapeId="0">
      <text>
        <t>Source: 3Q25 deck (own quarter, Key Operational Metrics, p44); MAUV cross-confirmed via 3Q26 deck's comparative column (Fashion column).</t>
      </text>
    </comment>
    <comment ref="S94" authorId="0" shapeId="0">
      <text>
        <t>Source: 4Q25 deck (own quarter, Key Performance Metrics, p60) (Fashion column).</t>
      </text>
    </comment>
    <comment ref="U94" authorId="0" shapeId="0">
      <text>
        <t>Source: 2Q26 deck (own quarter, Key Performance Metrics, p57) (Fashion column).</t>
      </text>
    </comment>
    <comment ref="V94" authorId="0" shapeId="0">
      <text>
        <t>Source: 3Q26 deck (own quarter, Key Performance Metrics, p52) (Fashion column).</t>
      </text>
    </comment>
    <comment ref="AJ94" authorId="0" shapeId="0">
      <text>
        <t>OVERRIDE (was formula ==IF(COUNT(T94:W94)=0,"",SUM(T94:W94))): 4Q26 deck, 'FY26' annual column (Key Performance Metrics, p52) -- used directly since Q1FY26 &amp; Q4FY26 quarterly Orders aren't disclosed (SUM of just Q2+Q3 would be 5.4mn, materially understated).</t>
      </text>
    </comment>
    <comment ref="L106" authorId="0" shapeId="0">
      <text>
        <t>Source: 1Q25 deck, comparative column 'Q1FY24' (Fashion column, mn), converted to Rs mn</t>
      </text>
    </comment>
    <comment ref="N106" authorId="0" shapeId="0">
      <text>
        <t>Source: 3Q25 deck, comparative column 'Q3FY24' (Fashion column, mn), converted to Rs mn</t>
      </text>
    </comment>
    <comment ref="O106" authorId="0" shapeId="0">
      <text>
        <t>Source: 4Q25 deck, comparative column 'Q4FY24' (Fashion column, cr), converted to Rs mn</t>
      </text>
    </comment>
    <comment ref="Q106" authorId="0" shapeId="0">
      <text>
        <t>Source: 3Q25 deck, comparative column 'Q2FY25' (Fashion column, mn), converted to Rs mn</t>
      </text>
    </comment>
    <comment ref="T106" authorId="0" shapeId="0">
      <text>
        <t>Source: 2Q26 deck, comparative column 'Q1FY26' (Fashion column, cr) -- Marketing &amp; S&amp;D combined by Nykaa from this quarter; entered whole into Marketing row.</t>
      </text>
    </comment>
    <comment ref="U106" authorId="0" shapeId="0">
      <text>
        <t>Source: 2Q26 deck (own quarter) (Fashion column, cr) -- Marketing &amp; S&amp;D combined by Nykaa from this quarter; entered whole into Marketing row.</t>
      </text>
    </comment>
    <comment ref="V106" authorId="0" shapeId="0">
      <text>
        <t>Source: 4Q26 deck, comparative column 'Q3FY26' (Fashion column, cr) -- Marketing &amp; S&amp;D combined by Nykaa from this quarter; entered whole into Marketing row.</t>
      </text>
    </comment>
    <comment ref="W106" authorId="0" shapeId="0">
      <text>
        <t>Source: 4Q26 deck (own quarter) (Fashion column, cr) -- Marketing &amp; S&amp;D combined by Nykaa from this quarter; entered whole into Marketing row.</t>
      </text>
    </comment>
    <comment ref="L107" authorId="0" shapeId="0">
      <text>
        <t>Source: 1Q25 deck, comparative column 'Q1FY24' (Fashion column, mn), converted to Rs mn</t>
      </text>
    </comment>
    <comment ref="N107" authorId="0" shapeId="0">
      <text>
        <t>Source: 3Q25 deck, comparative column 'Q3FY24' (Fashion column, mn), converted to Rs mn</t>
      </text>
    </comment>
    <comment ref="O107" authorId="0" shapeId="0">
      <text>
        <t>Source: 4Q25 deck, comparative column 'Q4FY24' (Fashion column, cr), converted to Rs mn</t>
      </text>
    </comment>
    <comment ref="Q107" authorId="0" shapeId="0">
      <text>
        <t>Source: 3Q25 deck, comparative column 'Q2FY25' (Fashion column, mn), converted to Rs mn</t>
      </text>
    </comment>
    <comment ref="T107" authorId="0" shapeId="0">
      <text>
        <t>Set to 0: Nykaa combined Marketing &amp; S&amp;D into one line from Q1FY26 onward (see Marketing row above for the combined figure).</t>
      </text>
    </comment>
    <comment ref="U107" authorId="0" shapeId="0">
      <text>
        <t>Set to 0: Nykaa combined Marketing &amp; S&amp;D into one line from Q2FY26 onward (see Marketing row above for the combined figure).</t>
      </text>
    </comment>
    <comment ref="V107" authorId="0" shapeId="0">
      <text>
        <t>Set to 0: Nykaa combined Marketing &amp; S&amp;D into one line from Q3FY26 onward (see Marketing row above for the combined figure).</t>
      </text>
    </comment>
    <comment ref="W107" authorId="0" shapeId="0">
      <text>
        <t>Set to 0: Nykaa combined Marketing &amp; S&amp;D into one line from Q4FY26 onward (see Marketing row above for the combined figure).</t>
      </text>
    </comment>
    <comment ref="L110" authorId="0" shapeId="0">
      <text>
        <t>Source: 1Q25 deck, comparative column 'Q1FY24' (Fashion column, mn), converted to Rs mn</t>
      </text>
    </comment>
    <comment ref="N110" authorId="0" shapeId="0">
      <text>
        <t>Source: 3Q25 deck, comparative column 'Q3FY24' (Fashion column, mn), converted to Rs mn</t>
      </text>
    </comment>
    <comment ref="O110" authorId="0" shapeId="0">
      <text>
        <t>Source: 4Q25 deck, comparative column 'Q4FY24' (Fashion column, cr), converted to Rs mn</t>
      </text>
    </comment>
    <comment ref="Q110" authorId="0" shapeId="0">
      <text>
        <t>Source: 3Q25 deck, comparative column 'Q2FY25' (Fashion column, mn), converted to Rs mn</t>
      </text>
    </comment>
    <comment ref="T110" authorId="0" shapeId="0">
      <text>
        <t>Source: 2Q26 deck, comparative column 'Q1FY26' (Fashion column, cr), converted to Rs mn</t>
      </text>
    </comment>
    <comment ref="V110" authorId="0" shapeId="0">
      <text>
        <t>Source: 4Q26 deck, comparative column 'Q3FY26' (Fashion column, cr), converted to Rs mn</t>
      </text>
    </comment>
    <comment ref="A121" authorId="0" shapeId="0">
      <text>
        <t>Rarely disclosed standalone -- leave blank if unavailable</t>
      </text>
    </comment>
    <comment ref="A122" authorId="0" shapeId="0">
      <text>
        <t>Rarely disclosed standalone -- leave blank if unavailable</t>
      </text>
    </comment>
    <comment ref="A123" authorId="0" shapeId="0">
      <text>
        <t>Rarely disclosed standalone -- leave blank if unavailable</t>
      </text>
    </comment>
    <comment ref="O146" authorId="0" shapeId="0">
      <text>
        <t>As first reported in the 4Q24 deck (own quarter): 1,788. Later decks (from 4Q25 onward) restate this same quarter to 1,898 as their YoY comparator, once 'Beauty' was redefined to include SuperStore. Both are shown here as the figure Nykaa disclosed at the time (1,788); the restated 1,898 is the more scope-consistent comparator to today's 'Beauty incl. SuperStore' numbers. This is the visible seam where the AOV series changes scope -- see the note above the section.</t>
      </text>
    </comment>
    <comment ref="Q146" authorId="0" shapeId="0">
      <text>
        <t>2Q25 deck itself did not publish a numeric Key Operational/Performance Metrics table for this quarter (only unlabelled bar charts). Sourced instead from the 2Q26 deck's Q2FY25 YoY-comparator column.</t>
      </text>
    </comment>
    <comment ref="W146" authorId="0" shapeId="0">
      <text>
        <t>Q4FY26 AOV was not disclosed at the quarterly grain in the 4Q26 deck -- only the FY26 full-year figure (2,068) appears. Left blank rather than backed into, to avoid implying a precision the source doesn't support.</t>
      </text>
    </comment>
    <comment ref="Q151" authorId="0" shapeId="0">
      <text>
        <t>2Q25 deck itself did not publish a numeric Key Operational/Performance Metrics table for this quarter (only unlabelled bar charts). Sourced instead from the 2Q26 deck's Q2FY25 YoY-comparator column.</t>
      </text>
    </comment>
    <comment ref="W151" authorId="0" shapeId="0">
      <text>
        <t>Q4FY26 AOV was not disclosed at the quarterly grain in the 4Q26 deck -- only the FY26 full-year figure (4,652) appears. Left blank rather than backed into, to avoid implying a precision the source doesn't support.</t>
      </text>
    </comment>
  </commentList>
</comments>
</file>

<file path=xl/comments/comment4.xml><?xml version="1.0" encoding="utf-8"?>
<comments xmlns="http://schemas.openxmlformats.org/spreadsheetml/2006/main">
  <authors>
    <author>Claude</author>
  </authors>
  <commentList>
    <comment ref="A11" authorId="0" shapeId="0">
      <text>
        <t>Combined COGS assumption from Projections sits here for FY27E-30E (Purchase of traded goods / Changes in inventories below are left at 0 for those years) -- split further if you build separate assumptions.</t>
      </text>
    </comment>
    <comment ref="AK57" authorId="0" shapeId="0">
      <text>
        <t>= Projections sheet's combined Cash plug minus Bank balance other than cash (held flat, row above) -- keeps 'Cash and cash equivalents' on the same narrow definition Nykaa itself uses in its Cash Flow Statement (row 180 in Raw Data - financials reconciles to this line alone, not the combined figure), so the Cash Flow section below ties out with no artificial jump at the FY26/FY27E boundary.</t>
      </text>
    </comment>
    <comment ref="AL57" authorId="0" shapeId="0">
      <text>
        <t>= Projections sheet's combined Cash plug minus Bank balance other than cash (held flat, row above) -- keeps 'Cash and cash equivalents' on the same narrow definition Nykaa itself uses in its Cash Flow Statement (row 180 in Raw Data - financials reconciles to this line alone, not the combined figure), so the Cash Flow section below ties out with no artificial jump at the FY26/FY27E boundary.</t>
      </text>
    </comment>
    <comment ref="AM57" authorId="0" shapeId="0">
      <text>
        <t>= Projections sheet's combined Cash plug minus Bank balance other than cash (held flat, row above) -- keeps 'Cash and cash equivalents' on the same narrow definition Nykaa itself uses in its Cash Flow Statement (row 180 in Raw Data - financials reconciles to this line alone, not the combined figure), so the Cash Flow section below ties out with no artificial jump at the FY26/FY27E boundary.</t>
      </text>
    </comment>
    <comment ref="AN57" authorId="0" shapeId="0">
      <text>
        <t>= Projections sheet's combined Cash plug minus Bank balance other than cash (held flat, row above) -- keeps 'Cash and cash equivalents' on the same narrow definition Nykaa itself uses in its Cash Flow Statement (row 180 in Raw Data - financials reconciles to this line alone, not the combined figure), so the Cash Flow section below ties out with no artificial jump at the FY26/FY27E boundary.</t>
      </text>
    </comment>
    <comment ref="A103" authorId="0" shapeId="0">
      <text>
        <t>Combines FX gain/loss, share-based expense, gratuity, compensated absences, expected credit loss, liabilities written back, loss on sale of PP&amp;E, bad debts written off, gain on lease termination -- 0 for FY27E-30E (none separately modeled).</t>
      </text>
    </comment>
    <comment ref="A105" authorId="0" shapeId="0">
      <text>
        <t>Historical = sum of all working-capital line items in Raw Data - financials. Projected = derived from this sheet's own Balance Sheet: -(Δ Inventories) - (Δ Receivables) - (Δ Other assets, both NC &amp; C) + (Δ Trade payables) + (Δ Other liabilities, both NC &amp; C).</t>
      </text>
    </comment>
    <comment ref="A107" authorId="0" shapeId="0">
      <text>
        <t>Projected = Total Tax Expense from the P&amp;L above (assumes cash tax paid equals accrued tax expense, i.e. no deferred-tax timing difference modeled).</t>
      </text>
    </comment>
    <comment ref="A111" authorId="0" shapeId="0">
      <text>
        <t>Projected = -(Capex), backed out from the Balance Sheet's Fixed assets roll-forward: -(this year Fixed assets - prior year Fixed assets + D&amp;A).</t>
      </text>
    </comment>
    <comment ref="A113" authorId="0" shapeId="0">
      <text>
        <t>Combines sale of mutual funds, fixed deposits, bank deposits, and proceeds/purchase of investments (Raw Data rows 150,152,153,154). Projected = -(Δ Investments) = 0, since Investments are held flat on the Balance Sheet.</t>
      </text>
    </comment>
    <comment ref="A114" authorId="0" shapeId="0">
      <text>
        <t>Combines rows 151, 155, 156. 0 for projected (not modeled).</t>
      </text>
    </comment>
    <comment ref="A115" authorId="0" shapeId="0">
      <text>
        <t>Projected = Other income from the P&amp;L above (simplifying assumption: all Other income is cash interest received in the same period).</t>
      </text>
    </comment>
    <comment ref="A119" authorId="0" shapeId="0">
      <text>
        <t>Combines rows 161-164, 166, 167. Projected = Δ Equity share capital = 0 (held flat on the Balance Sheet).</t>
      </text>
    </comment>
    <comment ref="A120" authorId="0" shapeId="0">
      <text>
        <t>Combines non-current + current borrowings (rows 168,169,170,171). Projected = Δ Borrowings = 0 (held flat on the Balance Sheet).</t>
      </text>
    </comment>
    <comment ref="A121" authorId="0" shapeId="0">
      <text>
        <t>Historical = Principal payment of lease liabilities (row 173) as reported. Projected = Δ Lease liabilities from the Balance Sheet (which is modeled as % of Revenue and typically grows) -- so for FY27E-30E this line reflects net new leases added, not strictly a 'repayment', since new lease signings aren't modeled separately from repayments.</t>
      </text>
    </comment>
    <comment ref="A122" authorId="0" shapeId="0">
      <text>
        <t>Combines interest paid on borrowings and on lease liabilities (rows 172, 174). Projected = -(Finance costs) from the P&amp;L above.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0"/>
    <pageSetUpPr/>
  </sheetPr>
  <dimension ref="A1:AN163"/>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4.4" outlineLevelRow="2"/>
  <cols>
    <col width="58" customWidth="1" min="1" max="1"/>
    <col width="10" customWidth="1" min="2" max="2"/>
    <col width="22" customWidth="1" min="3" max="3"/>
    <col hidden="1" outlineLevel="1" width="11" customWidth="1" min="4" max="15"/>
    <col collapsed="1" width="11" customWidth="1" min="16" max="16"/>
    <col width="11" customWidth="1" min="17" max="27"/>
    <col width="3" customWidth="1" min="28" max="28"/>
    <col hidden="1" outlineLevel="1" width="12" customWidth="1" min="29" max="33"/>
    <col collapsed="1" width="12" customWidth="1" min="34" max="34"/>
    <col width="12" customWidth="1" min="35" max="40"/>
  </cols>
  <sheetData>
    <row r="1">
      <c r="A1" s="1" t="inlineStr">
        <is>
          <t>INR Mn</t>
        </is>
      </c>
      <c r="B1" s="1" t="inlineStr">
        <is>
          <t>Unit</t>
        </is>
      </c>
      <c r="C1" s="1" t="inlineStr">
        <is>
          <t>Source / Driver</t>
        </is>
      </c>
      <c r="D1" s="1" t="inlineStr">
        <is>
          <t>1Q22</t>
        </is>
      </c>
      <c r="E1" s="1" t="inlineStr">
        <is>
          <t>2Q22</t>
        </is>
      </c>
      <c r="F1" s="1" t="inlineStr">
        <is>
          <t>3Q22</t>
        </is>
      </c>
      <c r="G1" s="1" t="inlineStr">
        <is>
          <t>4Q22</t>
        </is>
      </c>
      <c r="H1" s="1" t="inlineStr">
        <is>
          <t>1Q23</t>
        </is>
      </c>
      <c r="I1" s="1" t="inlineStr">
        <is>
          <t>2Q23</t>
        </is>
      </c>
      <c r="J1" s="1" t="inlineStr">
        <is>
          <t>3Q23</t>
        </is>
      </c>
      <c r="K1" s="1" t="inlineStr">
        <is>
          <t>4Q23</t>
        </is>
      </c>
      <c r="L1" s="1" t="inlineStr">
        <is>
          <t>1Q24</t>
        </is>
      </c>
      <c r="M1" s="1" t="inlineStr">
        <is>
          <t>2Q24</t>
        </is>
      </c>
      <c r="N1" s="1" t="inlineStr">
        <is>
          <t>3Q24</t>
        </is>
      </c>
      <c r="O1" s="1" t="inlineStr">
        <is>
          <t>4Q24</t>
        </is>
      </c>
      <c r="P1" s="1" t="inlineStr">
        <is>
          <t>1Q25</t>
        </is>
      </c>
      <c r="Q1" s="1" t="inlineStr">
        <is>
          <t>2Q25</t>
        </is>
      </c>
      <c r="R1" s="1" t="inlineStr">
        <is>
          <t>3Q25</t>
        </is>
      </c>
      <c r="S1" s="1" t="inlineStr">
        <is>
          <t>4Q25</t>
        </is>
      </c>
      <c r="T1" s="1" t="inlineStr">
        <is>
          <t>1Q26</t>
        </is>
      </c>
      <c r="U1" s="1" t="inlineStr">
        <is>
          <t>2Q26</t>
        </is>
      </c>
      <c r="V1" s="1" t="inlineStr">
        <is>
          <t>3Q26</t>
        </is>
      </c>
      <c r="W1" s="1" t="inlineStr">
        <is>
          <t>4Q26</t>
        </is>
      </c>
      <c r="X1" s="1" t="inlineStr">
        <is>
          <t>1Q27</t>
        </is>
      </c>
      <c r="Y1" s="1" t="inlineStr">
        <is>
          <t>2Q27</t>
        </is>
      </c>
      <c r="Z1" s="1" t="inlineStr">
        <is>
          <t>3Q27</t>
        </is>
      </c>
      <c r="AA1" s="1" t="inlineStr">
        <is>
          <t>4Q27</t>
        </is>
      </c>
      <c r="AB1" s="19" t="n"/>
      <c r="AC1" s="1" t="inlineStr">
        <is>
          <t>FY19</t>
        </is>
      </c>
      <c r="AD1" s="1" t="inlineStr">
        <is>
          <t>FY20</t>
        </is>
      </c>
      <c r="AE1" s="1" t="inlineStr">
        <is>
          <t>FY21</t>
        </is>
      </c>
      <c r="AF1" s="1" t="inlineStr">
        <is>
          <t>FY22</t>
        </is>
      </c>
      <c r="AG1" s="1" t="inlineStr">
        <is>
          <t>FY23</t>
        </is>
      </c>
      <c r="AH1" s="1" t="inlineStr">
        <is>
          <t>FY24</t>
        </is>
      </c>
      <c r="AI1" s="1" t="inlineStr">
        <is>
          <t>FY25</t>
        </is>
      </c>
      <c r="AJ1" s="1" t="inlineStr">
        <is>
          <t>FY26</t>
        </is>
      </c>
      <c r="AK1" s="1" t="inlineStr">
        <is>
          <t>FY27E</t>
        </is>
      </c>
      <c r="AL1" s="1" t="inlineStr">
        <is>
          <t>FY28E</t>
        </is>
      </c>
      <c r="AM1" s="1" t="inlineStr">
        <is>
          <t>FY29E</t>
        </is>
      </c>
      <c r="AN1" s="1" t="inlineStr">
        <is>
          <t>FY30E</t>
        </is>
      </c>
    </row>
    <row r="2">
      <c r="A2" s="9" t="inlineStr">
        <is>
          <t>Fiscal Year End</t>
        </is>
      </c>
      <c r="D2" s="47">
        <f>DATE(2021,6,30)</f>
        <v/>
      </c>
      <c r="E2" s="47">
        <f>EOMONTH(D2,-3)</f>
        <v/>
      </c>
      <c r="F2" s="47">
        <f>EOMONTH(E2,-3)</f>
        <v/>
      </c>
      <c r="G2" s="47">
        <f>EOMONTH(F2,-3)</f>
        <v/>
      </c>
      <c r="H2" s="47">
        <f>EOMONTH(G2,-3)</f>
        <v/>
      </c>
      <c r="I2" s="47">
        <f>EOMONTH(H2,-3)</f>
        <v/>
      </c>
      <c r="J2" s="47">
        <f>EOMONTH(I2,-3)</f>
        <v/>
      </c>
      <c r="K2" s="47">
        <f>EOMONTH(J2,-3)</f>
        <v/>
      </c>
      <c r="L2" s="47">
        <f>EOMONTH(K2,-3)</f>
        <v/>
      </c>
      <c r="M2" s="47">
        <f>EOMONTH(L2,-3)</f>
        <v/>
      </c>
      <c r="N2" s="47">
        <f>EOMONTH(M2,-3)</f>
        <v/>
      </c>
      <c r="O2" s="47">
        <f>EOMONTH(N2,-3)</f>
        <v/>
      </c>
      <c r="P2" s="47">
        <f>EOMONTH(O2,-3)</f>
        <v/>
      </c>
      <c r="Q2" s="47">
        <f>EOMONTH(P2,-3)</f>
        <v/>
      </c>
      <c r="R2" s="47">
        <f>EOMONTH(Q2,-3)</f>
        <v/>
      </c>
      <c r="S2" s="47">
        <f>EOMONTH(R2,-3)</f>
        <v/>
      </c>
      <c r="T2" s="47">
        <f>EOMONTH(S2,-3)</f>
        <v/>
      </c>
      <c r="U2" s="47">
        <f>EOMONTH(T2,-3)</f>
        <v/>
      </c>
      <c r="V2" s="47">
        <f>EOMONTH(U2,-3)</f>
        <v/>
      </c>
      <c r="W2" s="47">
        <f>EOMONTH(V2,-3)</f>
        <v/>
      </c>
      <c r="X2" s="47">
        <f>EOMONTH(W2,-3)</f>
        <v/>
      </c>
      <c r="Y2" s="47">
        <f>EOMONTH(X2,-3)</f>
        <v/>
      </c>
      <c r="Z2" s="47">
        <f>EOMONTH(Y2,-3)</f>
        <v/>
      </c>
      <c r="AA2" s="47">
        <f>EOMONTH(Z2,-3)</f>
        <v/>
      </c>
      <c r="AB2" s="19" t="n"/>
      <c r="AC2" s="47">
        <f>DATE(2019,3,31)</f>
        <v/>
      </c>
      <c r="AD2" s="47">
        <f>DATE(2020,3,31)</f>
        <v/>
      </c>
      <c r="AE2" s="47">
        <f>DATE(2021,3,31)</f>
        <v/>
      </c>
      <c r="AF2" s="47">
        <f>DATE(2022,3,31)</f>
        <v/>
      </c>
      <c r="AG2" s="47">
        <f>DATE(2023,3,31)</f>
        <v/>
      </c>
      <c r="AH2" s="47">
        <f>DATE(2024,3,31)</f>
        <v/>
      </c>
      <c r="AI2" s="47">
        <f>DATE(2025,3,31)</f>
        <v/>
      </c>
      <c r="AJ2" s="47">
        <f>DATE(2026,3,31)</f>
        <v/>
      </c>
      <c r="AK2" s="47">
        <f>DATE(2027,3,31)</f>
        <v/>
      </c>
      <c r="AL2" s="47">
        <f>DATE(2028,3,31)</f>
        <v/>
      </c>
      <c r="AM2" s="47">
        <f>DATE(2029,3,31)</f>
        <v/>
      </c>
      <c r="AN2" s="47">
        <f>DATE(2030,3,31)</f>
        <v/>
      </c>
    </row>
    <row r="3">
      <c r="A3" s="17" t="inlineStr">
        <is>
          <t>All figures in INR Mn unless stated otherwise. Historical quarters (1Q22-4Q26) and historical annual columns (FY19-FY26) link to the Raw Data tabs. 1Q27-4Q27 are left blank for a later quarterly-projection pass. FY27E-FY30E are annual projections, each chained off the preceding column in this sheet: red (#A20000) cells are hardcoded assumptions -- edit these to change the forecast; black cells are formulas.</t>
        </is>
      </c>
      <c r="AB3" s="19" t="n"/>
    </row>
    <row r="4">
      <c r="A4" s="5" t="inlineStr">
        <is>
          <t>SUMMARY</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44" t="n"/>
      <c r="AC4" s="5" t="n"/>
      <c r="AD4" s="5" t="n"/>
      <c r="AE4" s="5" t="n"/>
      <c r="AF4" s="5" t="n"/>
      <c r="AG4" s="5" t="n"/>
      <c r="AH4" s="5" t="n"/>
      <c r="AI4" s="5" t="n"/>
      <c r="AJ4" s="5" t="n"/>
      <c r="AK4" s="5" t="n"/>
      <c r="AL4" s="5" t="n"/>
      <c r="AM4" s="5" t="n"/>
      <c r="AN4" s="5" t="n"/>
    </row>
    <row r="5" outlineLevel="1">
      <c r="A5" s="20" t="inlineStr">
        <is>
          <t>Total GMV</t>
        </is>
      </c>
      <c r="B5" s="17" t="inlineStr">
        <is>
          <t>Rs Mn</t>
        </is>
      </c>
      <c r="C5" s="22" t="inlineStr">
        <is>
          <t>Formula</t>
        </is>
      </c>
      <c r="D5" s="55">
        <f>IFERROR(D32+D61+D84,"")</f>
        <v/>
      </c>
      <c r="E5" s="55">
        <f>IFERROR(E32+E61+E84,"")</f>
        <v/>
      </c>
      <c r="F5" s="55">
        <f>IFERROR(F32+F61+F84,"")</f>
        <v/>
      </c>
      <c r="G5" s="55">
        <f>IFERROR(G32+G61+G84,"")</f>
        <v/>
      </c>
      <c r="H5" s="55">
        <f>IFERROR(H32+H61+H84,"")</f>
        <v/>
      </c>
      <c r="I5" s="55">
        <f>IFERROR(I32+I61+I84,"")</f>
        <v/>
      </c>
      <c r="J5" s="55">
        <f>IFERROR(J32+J61+J84,"")</f>
        <v/>
      </c>
      <c r="K5" s="55">
        <f>IFERROR(K32+K61+K84,"")</f>
        <v/>
      </c>
      <c r="L5" s="55">
        <f>IFERROR(L32+L61+L84,"")</f>
        <v/>
      </c>
      <c r="M5" s="55">
        <f>IFERROR(M32+M61+M84,"")</f>
        <v/>
      </c>
      <c r="N5" s="55">
        <f>IFERROR(N32+N61+N84,"")</f>
        <v/>
      </c>
      <c r="O5" s="55">
        <f>IFERROR(O32+O61+O84,"")</f>
        <v/>
      </c>
      <c r="P5" s="55">
        <f>IFERROR(P32+P61+P84,"")</f>
        <v/>
      </c>
      <c r="Q5" s="55">
        <f>IFERROR(Q32+Q61+Q84,"")</f>
        <v/>
      </c>
      <c r="R5" s="55">
        <f>IFERROR(R32+R61+R84,"")</f>
        <v/>
      </c>
      <c r="S5" s="55">
        <f>IFERROR(S32+S61+S84,"")</f>
        <v/>
      </c>
      <c r="T5" s="55">
        <f>IFERROR(T32+T61+T84,"")</f>
        <v/>
      </c>
      <c r="U5" s="55">
        <f>IFERROR(U32+U61+U84,"")</f>
        <v/>
      </c>
      <c r="V5" s="55">
        <f>IFERROR(V32+V61+V84,"")</f>
        <v/>
      </c>
      <c r="W5" s="55">
        <f>IFERROR(W32+W61+W84,"")</f>
        <v/>
      </c>
      <c r="AB5" s="19" t="n"/>
      <c r="AC5" s="56">
        <f>IFERROR(AC32+AC61+AC84,"")</f>
        <v/>
      </c>
      <c r="AD5" s="56">
        <f>IFERROR(AD32+AD61+AD84,"")</f>
        <v/>
      </c>
      <c r="AE5" s="56">
        <f>IFERROR(AE32+AE61+AE84,"")</f>
        <v/>
      </c>
      <c r="AF5" s="56">
        <f>IFERROR(AF32+AF61+AF84,"")</f>
        <v/>
      </c>
      <c r="AG5" s="56">
        <f>IFERROR(AG32+AG61+AG84,"")</f>
        <v/>
      </c>
      <c r="AH5" s="56">
        <f>IFERROR(AH32+AH61+AH84,"")</f>
        <v/>
      </c>
      <c r="AI5" s="56">
        <f>IFERROR(AI32+AI61+AI84,"")</f>
        <v/>
      </c>
      <c r="AJ5" s="56">
        <f>IFERROR(AJ32+AJ61+AJ84,"")</f>
        <v/>
      </c>
      <c r="AK5" s="56">
        <f>IFERROR(AK32+AK61+AK84,"")</f>
        <v/>
      </c>
      <c r="AL5" s="56">
        <f>IFERROR(AL32+AL61+AL84,"")</f>
        <v/>
      </c>
      <c r="AM5" s="56">
        <f>IFERROR(AM32+AM61+AM84,"")</f>
        <v/>
      </c>
      <c r="AN5" s="56">
        <f>IFERROR(AN32+AN61+AN84,"")</f>
        <v/>
      </c>
    </row>
    <row r="6" outlineLevel="1">
      <c r="A6" s="20" t="inlineStr">
        <is>
          <t xml:space="preserve">  YoY growth</t>
        </is>
      </c>
      <c r="B6" s="17" t="inlineStr">
        <is>
          <t>%</t>
        </is>
      </c>
      <c r="C6" s="22" t="inlineStr">
        <is>
          <t>Formula</t>
        </is>
      </c>
      <c r="H6" s="49">
        <f>IFERROR(H5/D5-1,"")</f>
        <v/>
      </c>
      <c r="I6" s="49">
        <f>IFERROR(I5/E5-1,"")</f>
        <v/>
      </c>
      <c r="J6" s="49">
        <f>IFERROR(J5/F5-1,"")</f>
        <v/>
      </c>
      <c r="K6" s="49">
        <f>IFERROR(K5/G5-1,"")</f>
        <v/>
      </c>
      <c r="L6" s="49">
        <f>IFERROR(L5/H5-1,"")</f>
        <v/>
      </c>
      <c r="M6" s="49">
        <f>IFERROR(M5/I5-1,"")</f>
        <v/>
      </c>
      <c r="N6" s="49">
        <f>IFERROR(N5/J5-1,"")</f>
        <v/>
      </c>
      <c r="O6" s="49">
        <f>IFERROR(O5/K5-1,"")</f>
        <v/>
      </c>
      <c r="P6" s="49">
        <f>IFERROR(P5/L5-1,"")</f>
        <v/>
      </c>
      <c r="Q6" s="49">
        <f>IFERROR(Q5/M5-1,"")</f>
        <v/>
      </c>
      <c r="R6" s="49">
        <f>IFERROR(R5/N5-1,"")</f>
        <v/>
      </c>
      <c r="S6" s="49">
        <f>IFERROR(S5/O5-1,"")</f>
        <v/>
      </c>
      <c r="T6" s="49">
        <f>IFERROR(T5/P5-1,"")</f>
        <v/>
      </c>
      <c r="U6" s="49">
        <f>IFERROR(U5/Q5-1,"")</f>
        <v/>
      </c>
      <c r="V6" s="49">
        <f>IFERROR(V5/R5-1,"")</f>
        <v/>
      </c>
      <c r="W6" s="49">
        <f>IFERROR(W5/S5-1,"")</f>
        <v/>
      </c>
      <c r="AB6" s="19" t="n"/>
      <c r="AD6" s="52">
        <f>IFERROR(AD5/AC5-1,"")</f>
        <v/>
      </c>
      <c r="AE6" s="52">
        <f>IFERROR(AE5/AD5-1,"")</f>
        <v/>
      </c>
      <c r="AF6" s="52">
        <f>IFERROR(AF5/AE5-1,"")</f>
        <v/>
      </c>
      <c r="AG6" s="52">
        <f>IFERROR(AG5/AF5-1,"")</f>
        <v/>
      </c>
      <c r="AH6" s="52">
        <f>IFERROR(AH5/AG5-1,"")</f>
        <v/>
      </c>
      <c r="AI6" s="52">
        <f>IFERROR(AI5/AH5-1,"")</f>
        <v/>
      </c>
      <c r="AJ6" s="52">
        <f>IFERROR(AJ5/AI5-1,"")</f>
        <v/>
      </c>
      <c r="AK6" s="52">
        <f>IFERROR(AK5/AJ5-1,"")</f>
        <v/>
      </c>
      <c r="AL6" s="52">
        <f>IFERROR(AL5/AK5-1,"")</f>
        <v/>
      </c>
      <c r="AM6" s="52">
        <f>IFERROR(AM5/AL5-1,"")</f>
        <v/>
      </c>
      <c r="AN6" s="52">
        <f>IFERROR(AN5/AM5-1,"")</f>
        <v/>
      </c>
    </row>
    <row r="7" outlineLevel="1">
      <c r="A7" s="20" t="inlineStr">
        <is>
          <t>Total NSV</t>
        </is>
      </c>
      <c r="B7" s="17" t="inlineStr">
        <is>
          <t>Rs Mn</t>
        </is>
      </c>
      <c r="C7" s="22" t="inlineStr">
        <is>
          <t>Formula</t>
        </is>
      </c>
      <c r="D7" s="55">
        <f>IFERROR(D35+D64+D87,"")</f>
        <v/>
      </c>
      <c r="E7" s="55">
        <f>IFERROR(E35+E64+E87,"")</f>
        <v/>
      </c>
      <c r="F7" s="55">
        <f>IFERROR(F35+F64+F87,"")</f>
        <v/>
      </c>
      <c r="G7" s="55">
        <f>IFERROR(G35+G64+G87,"")</f>
        <v/>
      </c>
      <c r="H7" s="55">
        <f>IFERROR(H35+H64+H87,"")</f>
        <v/>
      </c>
      <c r="I7" s="55">
        <f>IFERROR(I35+I64+I87,"")</f>
        <v/>
      </c>
      <c r="J7" s="55">
        <f>IFERROR(J35+J64+J87,"")</f>
        <v/>
      </c>
      <c r="K7" s="55">
        <f>IFERROR(K35+K64+K87,"")</f>
        <v/>
      </c>
      <c r="L7" s="55">
        <f>IFERROR(L35+L64+L87,"")</f>
        <v/>
      </c>
      <c r="M7" s="55">
        <f>IFERROR(M35+M64+M87,"")</f>
        <v/>
      </c>
      <c r="N7" s="55">
        <f>IFERROR(N35+N64+N87,"")</f>
        <v/>
      </c>
      <c r="O7" s="55">
        <f>IFERROR(O35+O64+O87,"")</f>
        <v/>
      </c>
      <c r="P7" s="55">
        <f>IFERROR(P35+P64+P87,"")</f>
        <v/>
      </c>
      <c r="Q7" s="55">
        <f>IFERROR(Q35+Q64+Q87,"")</f>
        <v/>
      </c>
      <c r="R7" s="55">
        <f>IFERROR(R35+R64+R87,"")</f>
        <v/>
      </c>
      <c r="S7" s="55">
        <f>IFERROR(S35+S64+S87,"")</f>
        <v/>
      </c>
      <c r="T7" s="55">
        <f>IFERROR(T35+T64+T87,"")</f>
        <v/>
      </c>
      <c r="U7" s="55">
        <f>IFERROR(U35+U64+U87,"")</f>
        <v/>
      </c>
      <c r="V7" s="55">
        <f>IFERROR(V35+V64+V87,"")</f>
        <v/>
      </c>
      <c r="W7" s="55">
        <f>IFERROR(W35+W64+W87,"")</f>
        <v/>
      </c>
      <c r="AB7" s="19" t="n"/>
      <c r="AC7" s="56">
        <f>IFERROR(AC35+AC64+AC87,"")</f>
        <v/>
      </c>
      <c r="AD7" s="56">
        <f>IFERROR(AD35+AD64+AD87,"")</f>
        <v/>
      </c>
      <c r="AE7" s="56">
        <f>IFERROR(AE35+AE64+AE87,"")</f>
        <v/>
      </c>
      <c r="AF7" s="56">
        <f>IFERROR(AF35+AF64+AF87,"")</f>
        <v/>
      </c>
      <c r="AG7" s="56">
        <f>IFERROR(AG35+AG64+AG87,"")</f>
        <v/>
      </c>
      <c r="AH7" s="56">
        <f>IFERROR(AH35+AH64+AH87,"")</f>
        <v/>
      </c>
      <c r="AI7" s="56">
        <f>IFERROR(AI35+AI64+AI87,"")</f>
        <v/>
      </c>
      <c r="AJ7" s="56">
        <f>IFERROR(AJ35+AJ64+AJ87,"")</f>
        <v/>
      </c>
      <c r="AK7" s="56">
        <f>IFERROR(AK35+AK64+AK87,"")</f>
        <v/>
      </c>
      <c r="AL7" s="56">
        <f>IFERROR(AL35+AL64+AL87,"")</f>
        <v/>
      </c>
      <c r="AM7" s="56">
        <f>IFERROR(AM35+AM64+AM87,"")</f>
        <v/>
      </c>
      <c r="AN7" s="56">
        <f>IFERROR(AN35+AN64+AN87,"")</f>
        <v/>
      </c>
    </row>
    <row r="8" outlineLevel="1">
      <c r="A8" s="20" t="inlineStr">
        <is>
          <t xml:space="preserve">  NSV / GMV</t>
        </is>
      </c>
      <c r="B8" s="17" t="inlineStr">
        <is>
          <t>%</t>
        </is>
      </c>
      <c r="C8" s="22" t="inlineStr">
        <is>
          <t>Formula</t>
        </is>
      </c>
      <c r="D8" s="49">
        <f>IFERROR(D7/D5,"")</f>
        <v/>
      </c>
      <c r="E8" s="49">
        <f>IFERROR(E7/E5,"")</f>
        <v/>
      </c>
      <c r="F8" s="49">
        <f>IFERROR(F7/F5,"")</f>
        <v/>
      </c>
      <c r="G8" s="49">
        <f>IFERROR(G7/G5,"")</f>
        <v/>
      </c>
      <c r="H8" s="49">
        <f>IFERROR(H7/H5,"")</f>
        <v/>
      </c>
      <c r="I8" s="49">
        <f>IFERROR(I7/I5,"")</f>
        <v/>
      </c>
      <c r="J8" s="49">
        <f>IFERROR(J7/J5,"")</f>
        <v/>
      </c>
      <c r="K8" s="49">
        <f>IFERROR(K7/K5,"")</f>
        <v/>
      </c>
      <c r="L8" s="49">
        <f>IFERROR(L7/L5,"")</f>
        <v/>
      </c>
      <c r="M8" s="49">
        <f>IFERROR(M7/M5,"")</f>
        <v/>
      </c>
      <c r="N8" s="49">
        <f>IFERROR(N7/N5,"")</f>
        <v/>
      </c>
      <c r="O8" s="49">
        <f>IFERROR(O7/O5,"")</f>
        <v/>
      </c>
      <c r="P8" s="49">
        <f>IFERROR(P7/P5,"")</f>
        <v/>
      </c>
      <c r="Q8" s="49">
        <f>IFERROR(Q7/Q5,"")</f>
        <v/>
      </c>
      <c r="R8" s="49">
        <f>IFERROR(R7/R5,"")</f>
        <v/>
      </c>
      <c r="S8" s="49">
        <f>IFERROR(S7/S5,"")</f>
        <v/>
      </c>
      <c r="T8" s="49">
        <f>IFERROR(T7/T5,"")</f>
        <v/>
      </c>
      <c r="U8" s="49">
        <f>IFERROR(U7/U5,"")</f>
        <v/>
      </c>
      <c r="V8" s="49">
        <f>IFERROR(V7/V5,"")</f>
        <v/>
      </c>
      <c r="W8" s="49">
        <f>IFERROR(W7/W5,"")</f>
        <v/>
      </c>
      <c r="AB8" s="19" t="n"/>
      <c r="AC8" s="52">
        <f>IFERROR(AC7/AC5,"")</f>
        <v/>
      </c>
      <c r="AD8" s="52">
        <f>IFERROR(AD7/AD5,"")</f>
        <v/>
      </c>
      <c r="AE8" s="52">
        <f>IFERROR(AE7/AE5,"")</f>
        <v/>
      </c>
      <c r="AF8" s="52">
        <f>IFERROR(AF7/AF5,"")</f>
        <v/>
      </c>
      <c r="AG8" s="52">
        <f>IFERROR(AG7/AG5,"")</f>
        <v/>
      </c>
      <c r="AH8" s="52">
        <f>IFERROR(AH7/AH5,"")</f>
        <v/>
      </c>
      <c r="AI8" s="52">
        <f>IFERROR(AI7/AI5,"")</f>
        <v/>
      </c>
      <c r="AJ8" s="52">
        <f>IFERROR(AJ7/AJ5,"")</f>
        <v/>
      </c>
    </row>
    <row r="9" outlineLevel="1">
      <c r="A9" s="20" t="inlineStr">
        <is>
          <t>Total Revenue</t>
        </is>
      </c>
      <c r="B9" s="17" t="inlineStr">
        <is>
          <t>Rs Mn</t>
        </is>
      </c>
      <c r="C9" s="22" t="inlineStr">
        <is>
          <t>Formula</t>
        </is>
      </c>
      <c r="D9" s="55">
        <f>IFERROR(D37+D66+D89,"")</f>
        <v/>
      </c>
      <c r="E9" s="55">
        <f>IFERROR(E37+E66+E89,"")</f>
        <v/>
      </c>
      <c r="F9" s="55">
        <f>IFERROR(F37+F66+F89,"")</f>
        <v/>
      </c>
      <c r="G9" s="55">
        <f>IFERROR(G37+G66+G89,"")</f>
        <v/>
      </c>
      <c r="H9" s="55">
        <f>IFERROR(H37+H66+H89,"")</f>
        <v/>
      </c>
      <c r="I9" s="55">
        <f>IFERROR(I37+I66+I89,"")</f>
        <v/>
      </c>
      <c r="J9" s="55">
        <f>IFERROR(J37+J66+J89,"")</f>
        <v/>
      </c>
      <c r="K9" s="55">
        <f>IFERROR(K37+K66+K89,"")</f>
        <v/>
      </c>
      <c r="L9" s="55">
        <f>IFERROR(L37+L66+L89,"")</f>
        <v/>
      </c>
      <c r="M9" s="55">
        <f>IFERROR(M37+M66+M89,"")</f>
        <v/>
      </c>
      <c r="N9" s="55">
        <f>IFERROR(N37+N66+N89,"")</f>
        <v/>
      </c>
      <c r="O9" s="55">
        <f>IFERROR(O37+O66+O89,"")</f>
        <v/>
      </c>
      <c r="P9" s="55">
        <f>IFERROR(P37+P66+P89,"")</f>
        <v/>
      </c>
      <c r="Q9" s="55">
        <f>IFERROR(Q37+Q66+Q89,"")</f>
        <v/>
      </c>
      <c r="R9" s="55">
        <f>IFERROR(R37+R66+R89,"")</f>
        <v/>
      </c>
      <c r="S9" s="55">
        <f>IFERROR(S37+S66+S89,"")</f>
        <v/>
      </c>
      <c r="T9" s="55">
        <f>IFERROR(T37+T66+T89,"")</f>
        <v/>
      </c>
      <c r="U9" s="55">
        <f>IFERROR(U37+U66+U89,"")</f>
        <v/>
      </c>
      <c r="V9" s="55">
        <f>IFERROR(V37+V66+V89,"")</f>
        <v/>
      </c>
      <c r="W9" s="55">
        <f>IFERROR(W37+W66+W89,"")</f>
        <v/>
      </c>
      <c r="AB9" s="19" t="n"/>
      <c r="AC9" s="56">
        <f>IFERROR(AC37+AC66+AC89,"")</f>
        <v/>
      </c>
      <c r="AD9" s="56">
        <f>IFERROR(AD37+AD66+AD89,"")</f>
        <v/>
      </c>
      <c r="AE9" s="56">
        <f>IFERROR(AE37+AE66+AE89,"")</f>
        <v/>
      </c>
      <c r="AF9" s="56">
        <f>IFERROR(AF37+AF66+AF89,"")</f>
        <v/>
      </c>
      <c r="AG9" s="56">
        <f>IFERROR(AG37+AG66+AG89,"")</f>
        <v/>
      </c>
      <c r="AH9" s="56">
        <f>IFERROR(AH37+AH66+AH89,"")</f>
        <v/>
      </c>
      <c r="AI9" s="56">
        <f>IFERROR(AI37+AI66+AI89,"")</f>
        <v/>
      </c>
      <c r="AJ9" s="56">
        <f>IFERROR(AJ37+AJ66+AJ89,"")</f>
        <v/>
      </c>
      <c r="AK9" s="56">
        <f>IFERROR(AK37+AK66+AK89,"")</f>
        <v/>
      </c>
      <c r="AL9" s="56">
        <f>IFERROR(AL37+AL66+AL89,"")</f>
        <v/>
      </c>
      <c r="AM9" s="56">
        <f>IFERROR(AM37+AM66+AM89,"")</f>
        <v/>
      </c>
      <c r="AN9" s="56">
        <f>IFERROR(AN37+AN66+AN89,"")</f>
        <v/>
      </c>
    </row>
    <row r="10" outlineLevel="1">
      <c r="A10" s="20" t="inlineStr">
        <is>
          <t xml:space="preserve">  YoY growth</t>
        </is>
      </c>
      <c r="B10" s="17" t="inlineStr">
        <is>
          <t>%</t>
        </is>
      </c>
      <c r="C10" s="22" t="inlineStr">
        <is>
          <t>Formula</t>
        </is>
      </c>
      <c r="H10" s="49">
        <f>IFERROR(H9/D9-1,"")</f>
        <v/>
      </c>
      <c r="I10" s="49">
        <f>IFERROR(I9/E9-1,"")</f>
        <v/>
      </c>
      <c r="J10" s="49">
        <f>IFERROR(J9/F9-1,"")</f>
        <v/>
      </c>
      <c r="K10" s="49">
        <f>IFERROR(K9/G9-1,"")</f>
        <v/>
      </c>
      <c r="L10" s="49">
        <f>IFERROR(L9/H9-1,"")</f>
        <v/>
      </c>
      <c r="M10" s="49">
        <f>IFERROR(M9/I9-1,"")</f>
        <v/>
      </c>
      <c r="N10" s="49">
        <f>IFERROR(N9/J9-1,"")</f>
        <v/>
      </c>
      <c r="O10" s="49">
        <f>IFERROR(O9/K9-1,"")</f>
        <v/>
      </c>
      <c r="P10" s="49">
        <f>IFERROR(P9/L9-1,"")</f>
        <v/>
      </c>
      <c r="Q10" s="49">
        <f>IFERROR(Q9/M9-1,"")</f>
        <v/>
      </c>
      <c r="R10" s="49">
        <f>IFERROR(R9/N9-1,"")</f>
        <v/>
      </c>
      <c r="S10" s="49">
        <f>IFERROR(S9/O9-1,"")</f>
        <v/>
      </c>
      <c r="T10" s="49">
        <f>IFERROR(T9/P9-1,"")</f>
        <v/>
      </c>
      <c r="U10" s="49">
        <f>IFERROR(U9/Q9-1,"")</f>
        <v/>
      </c>
      <c r="V10" s="49">
        <f>IFERROR(V9/R9-1,"")</f>
        <v/>
      </c>
      <c r="W10" s="49">
        <f>IFERROR(W9/S9-1,"")</f>
        <v/>
      </c>
      <c r="AB10" s="19" t="n"/>
      <c r="AD10" s="52">
        <f>IFERROR(AD9/AC9-1,"")</f>
        <v/>
      </c>
      <c r="AE10" s="52">
        <f>IFERROR(AE9/AD9-1,"")</f>
        <v/>
      </c>
      <c r="AF10" s="52">
        <f>IFERROR(AF9/AE9-1,"")</f>
        <v/>
      </c>
      <c r="AG10" s="52">
        <f>IFERROR(AG9/AF9-1,"")</f>
        <v/>
      </c>
      <c r="AH10" s="52">
        <f>IFERROR(AH9/AG9-1,"")</f>
        <v/>
      </c>
      <c r="AI10" s="52">
        <f>IFERROR(AI9/AH9-1,"")</f>
        <v/>
      </c>
      <c r="AJ10" s="52">
        <f>IFERROR(AJ9/AI9-1,"")</f>
        <v/>
      </c>
      <c r="AK10" s="52">
        <f>IFERROR(AK9/AJ9-1,"")</f>
        <v/>
      </c>
      <c r="AL10" s="52">
        <f>IFERROR(AL9/AK9-1,"")</f>
        <v/>
      </c>
      <c r="AM10" s="52">
        <f>IFERROR(AM9/AL9-1,"")</f>
        <v/>
      </c>
      <c r="AN10" s="52">
        <f>IFERROR(AN9/AM9-1,"")</f>
        <v/>
      </c>
    </row>
    <row r="11" outlineLevel="1">
      <c r="A11" s="20" t="inlineStr">
        <is>
          <t>Gross Profit</t>
        </is>
      </c>
      <c r="B11" s="17" t="inlineStr">
        <is>
          <t>Rs Mn</t>
        </is>
      </c>
      <c r="C11" s="22" t="inlineStr">
        <is>
          <t>Formula</t>
        </is>
      </c>
      <c r="D11" s="55">
        <f>IFERROR(D39+D68+D91,"")</f>
        <v/>
      </c>
      <c r="E11" s="55">
        <f>IFERROR(E39+E68+E91,"")</f>
        <v/>
      </c>
      <c r="F11" s="55">
        <f>IFERROR(F39+F68+F91,"")</f>
        <v/>
      </c>
      <c r="G11" s="55">
        <f>IFERROR(G39+G68+G91,"")</f>
        <v/>
      </c>
      <c r="H11" s="55">
        <f>IFERROR(H39+H68+H91,"")</f>
        <v/>
      </c>
      <c r="I11" s="55">
        <f>IFERROR(I39+I68+I91,"")</f>
        <v/>
      </c>
      <c r="J11" s="55">
        <f>IFERROR(J39+J68+J91,"")</f>
        <v/>
      </c>
      <c r="K11" s="55">
        <f>IFERROR(K39+K68+K91,"")</f>
        <v/>
      </c>
      <c r="L11" s="55">
        <f>IFERROR(L39+L68+L91,"")</f>
        <v/>
      </c>
      <c r="M11" s="55">
        <f>IFERROR(M39+M68+M91,"")</f>
        <v/>
      </c>
      <c r="N11" s="55">
        <f>IFERROR(N39+N68+N91,"")</f>
        <v/>
      </c>
      <c r="O11" s="55">
        <f>IFERROR(O39+O68+O91,"")</f>
        <v/>
      </c>
      <c r="P11" s="55">
        <f>IFERROR(P39+P68+P91,"")</f>
        <v/>
      </c>
      <c r="Q11" s="55">
        <f>IFERROR(Q39+Q68+Q91,"")</f>
        <v/>
      </c>
      <c r="R11" s="55">
        <f>IFERROR(R39+R68+R91,"")</f>
        <v/>
      </c>
      <c r="S11" s="55">
        <f>IFERROR(S39+S68+S91,"")</f>
        <v/>
      </c>
      <c r="T11" s="55">
        <f>IFERROR(T39+T68+T91,"")</f>
        <v/>
      </c>
      <c r="U11" s="55">
        <f>IFERROR(U39+U68+U91,"")</f>
        <v/>
      </c>
      <c r="V11" s="55">
        <f>IFERROR(V39+V68+V91,"")</f>
        <v/>
      </c>
      <c r="W11" s="55">
        <f>IFERROR(W39+W68+W91,"")</f>
        <v/>
      </c>
      <c r="AB11" s="19" t="n"/>
      <c r="AC11" s="56">
        <f>IFERROR(AC39+AC68+AC91,"")</f>
        <v/>
      </c>
      <c r="AD11" s="56">
        <f>IFERROR(AD39+AD68+AD91,"")</f>
        <v/>
      </c>
      <c r="AE11" s="56">
        <f>IFERROR(AE39+AE68+AE91,"")</f>
        <v/>
      </c>
      <c r="AF11" s="56">
        <f>IFERROR(AF39+AF68+AF91,"")</f>
        <v/>
      </c>
      <c r="AG11" s="56">
        <f>IFERROR(AG39+AG68+AG91,"")</f>
        <v/>
      </c>
      <c r="AH11" s="56">
        <f>IFERROR(AH39+AH68+AH91,"")</f>
        <v/>
      </c>
      <c r="AI11" s="56">
        <f>IFERROR(AI39+AI68+AI91,"")</f>
        <v/>
      </c>
      <c r="AJ11" s="56">
        <f>IFERROR(AJ39+AJ68+AJ91,"")</f>
        <v/>
      </c>
      <c r="AK11" s="56">
        <f>IFERROR(AK39+AK68+AK91,"")</f>
        <v/>
      </c>
      <c r="AL11" s="56">
        <f>IFERROR(AL39+AL68+AL91,"")</f>
        <v/>
      </c>
      <c r="AM11" s="56">
        <f>IFERROR(AM39+AM68+AM91,"")</f>
        <v/>
      </c>
      <c r="AN11" s="56">
        <f>IFERROR(AN39+AN68+AN91,"")</f>
        <v/>
      </c>
    </row>
    <row r="12" outlineLevel="1">
      <c r="A12" s="20" t="inlineStr">
        <is>
          <t xml:space="preserve">  Gross margin (% of NSV)</t>
        </is>
      </c>
      <c r="B12" s="17" t="inlineStr">
        <is>
          <t>%</t>
        </is>
      </c>
      <c r="C12" s="22" t="inlineStr">
        <is>
          <t>Formula</t>
        </is>
      </c>
      <c r="D12" s="49">
        <f>IFERROR(D11/D7,"")</f>
        <v/>
      </c>
      <c r="E12" s="49">
        <f>IFERROR(E11/E7,"")</f>
        <v/>
      </c>
      <c r="F12" s="49">
        <f>IFERROR(F11/F7,"")</f>
        <v/>
      </c>
      <c r="G12" s="49">
        <f>IFERROR(G11/G7,"")</f>
        <v/>
      </c>
      <c r="H12" s="49">
        <f>IFERROR(H11/H7,"")</f>
        <v/>
      </c>
      <c r="I12" s="49">
        <f>IFERROR(I11/I7,"")</f>
        <v/>
      </c>
      <c r="J12" s="49">
        <f>IFERROR(J11/J7,"")</f>
        <v/>
      </c>
      <c r="K12" s="49">
        <f>IFERROR(K11/K7,"")</f>
        <v/>
      </c>
      <c r="L12" s="49">
        <f>IFERROR(L11/L7,"")</f>
        <v/>
      </c>
      <c r="M12" s="49">
        <f>IFERROR(M11/M7,"")</f>
        <v/>
      </c>
      <c r="N12" s="49">
        <f>IFERROR(N11/N7,"")</f>
        <v/>
      </c>
      <c r="O12" s="49">
        <f>IFERROR(O11/O7,"")</f>
        <v/>
      </c>
      <c r="P12" s="49">
        <f>IFERROR(P11/P7,"")</f>
        <v/>
      </c>
      <c r="Q12" s="49">
        <f>IFERROR(Q11/Q7,"")</f>
        <v/>
      </c>
      <c r="R12" s="49">
        <f>IFERROR(R11/R7,"")</f>
        <v/>
      </c>
      <c r="S12" s="49">
        <f>IFERROR(S11/S7,"")</f>
        <v/>
      </c>
      <c r="T12" s="49">
        <f>IFERROR(T11/T7,"")</f>
        <v/>
      </c>
      <c r="U12" s="49">
        <f>IFERROR(U11/U7,"")</f>
        <v/>
      </c>
      <c r="V12" s="49">
        <f>IFERROR(V11/V7,"")</f>
        <v/>
      </c>
      <c r="W12" s="49">
        <f>IFERROR(W11/W7,"")</f>
        <v/>
      </c>
      <c r="AB12" s="19" t="n"/>
      <c r="AC12" s="52">
        <f>IFERROR(AC11/AC7,"")</f>
        <v/>
      </c>
      <c r="AD12" s="52">
        <f>IFERROR(AD11/AD7,"")</f>
        <v/>
      </c>
      <c r="AE12" s="52">
        <f>IFERROR(AE11/AE7,"")</f>
        <v/>
      </c>
      <c r="AF12" s="52">
        <f>IFERROR(AF11/AF7,"")</f>
        <v/>
      </c>
      <c r="AG12" s="52">
        <f>IFERROR(AG11/AG7,"")</f>
        <v/>
      </c>
      <c r="AH12" s="52">
        <f>IFERROR(AH11/AH7,"")</f>
        <v/>
      </c>
      <c r="AI12" s="52">
        <f>IFERROR(AI11/AI7,"")</f>
        <v/>
      </c>
      <c r="AJ12" s="52">
        <f>IFERROR(AJ11/AJ7,"")</f>
        <v/>
      </c>
    </row>
    <row r="13" outlineLevel="1">
      <c r="A13" s="20" t="inlineStr">
        <is>
          <t>EBITDA</t>
        </is>
      </c>
      <c r="B13" s="17" t="inlineStr">
        <is>
          <t>Rs Mn</t>
        </is>
      </c>
      <c r="C13" s="22" t="inlineStr">
        <is>
          <t>Formula</t>
        </is>
      </c>
      <c r="D13" s="55">
        <f>D99</f>
        <v/>
      </c>
      <c r="E13" s="55">
        <f>E99</f>
        <v/>
      </c>
      <c r="F13" s="55">
        <f>F99</f>
        <v/>
      </c>
      <c r="G13" s="55">
        <f>G99</f>
        <v/>
      </c>
      <c r="H13" s="55">
        <f>H99</f>
        <v/>
      </c>
      <c r="I13" s="55">
        <f>I99</f>
        <v/>
      </c>
      <c r="J13" s="55">
        <f>J99</f>
        <v/>
      </c>
      <c r="K13" s="55">
        <f>K99</f>
        <v/>
      </c>
      <c r="L13" s="55">
        <f>L99</f>
        <v/>
      </c>
      <c r="M13" s="55">
        <f>M99</f>
        <v/>
      </c>
      <c r="N13" s="55">
        <f>N99</f>
        <v/>
      </c>
      <c r="O13" s="55">
        <f>O99</f>
        <v/>
      </c>
      <c r="P13" s="55">
        <f>P99</f>
        <v/>
      </c>
      <c r="Q13" s="55">
        <f>Q99</f>
        <v/>
      </c>
      <c r="R13" s="55">
        <f>R99</f>
        <v/>
      </c>
      <c r="S13" s="55">
        <f>S99</f>
        <v/>
      </c>
      <c r="T13" s="55">
        <f>T99</f>
        <v/>
      </c>
      <c r="U13" s="55">
        <f>U99</f>
        <v/>
      </c>
      <c r="V13" s="55">
        <f>V99</f>
        <v/>
      </c>
      <c r="W13" s="55">
        <f>W99</f>
        <v/>
      </c>
      <c r="AB13" s="19" t="n"/>
      <c r="AC13" s="56">
        <f>AC99</f>
        <v/>
      </c>
      <c r="AD13" s="56">
        <f>AD99</f>
        <v/>
      </c>
      <c r="AE13" s="56">
        <f>AE99</f>
        <v/>
      </c>
      <c r="AF13" s="56">
        <f>AF99</f>
        <v/>
      </c>
      <c r="AG13" s="56">
        <f>AG99</f>
        <v/>
      </c>
      <c r="AH13" s="56">
        <f>AH99</f>
        <v/>
      </c>
      <c r="AI13" s="56">
        <f>AI99</f>
        <v/>
      </c>
      <c r="AJ13" s="56">
        <f>AJ99</f>
        <v/>
      </c>
      <c r="AK13" s="56">
        <f>AK99</f>
        <v/>
      </c>
      <c r="AL13" s="56">
        <f>AL99</f>
        <v/>
      </c>
      <c r="AM13" s="56">
        <f>AM99</f>
        <v/>
      </c>
      <c r="AN13" s="56">
        <f>AN99</f>
        <v/>
      </c>
    </row>
    <row r="14" outlineLevel="1">
      <c r="A14" s="20" t="inlineStr">
        <is>
          <t xml:space="preserve">  EBITDA margin (% of NSV)</t>
        </is>
      </c>
      <c r="B14" s="17" t="inlineStr">
        <is>
          <t>%</t>
        </is>
      </c>
      <c r="C14" s="22" t="inlineStr">
        <is>
          <t>Formula</t>
        </is>
      </c>
      <c r="D14" s="49">
        <f>IFERROR(D13/D7,"")</f>
        <v/>
      </c>
      <c r="E14" s="49">
        <f>IFERROR(E13/E7,"")</f>
        <v/>
      </c>
      <c r="F14" s="49">
        <f>IFERROR(F13/F7,"")</f>
        <v/>
      </c>
      <c r="G14" s="49">
        <f>IFERROR(G13/G7,"")</f>
        <v/>
      </c>
      <c r="H14" s="49">
        <f>IFERROR(H13/H7,"")</f>
        <v/>
      </c>
      <c r="I14" s="49">
        <f>IFERROR(I13/I7,"")</f>
        <v/>
      </c>
      <c r="J14" s="49">
        <f>IFERROR(J13/J7,"")</f>
        <v/>
      </c>
      <c r="K14" s="49">
        <f>IFERROR(K13/K7,"")</f>
        <v/>
      </c>
      <c r="L14" s="49">
        <f>IFERROR(L13/L7,"")</f>
        <v/>
      </c>
      <c r="M14" s="49">
        <f>IFERROR(M13/M7,"")</f>
        <v/>
      </c>
      <c r="N14" s="49">
        <f>IFERROR(N13/N7,"")</f>
        <v/>
      </c>
      <c r="O14" s="49">
        <f>IFERROR(O13/O7,"")</f>
        <v/>
      </c>
      <c r="P14" s="49">
        <f>IFERROR(P13/P7,"")</f>
        <v/>
      </c>
      <c r="Q14" s="49">
        <f>IFERROR(Q13/Q7,"")</f>
        <v/>
      </c>
      <c r="R14" s="49">
        <f>IFERROR(R13/R7,"")</f>
        <v/>
      </c>
      <c r="S14" s="49">
        <f>IFERROR(S13/S7,"")</f>
        <v/>
      </c>
      <c r="T14" s="49">
        <f>IFERROR(T13/T7,"")</f>
        <v/>
      </c>
      <c r="U14" s="49">
        <f>IFERROR(U13/U7,"")</f>
        <v/>
      </c>
      <c r="V14" s="49">
        <f>IFERROR(V13/V7,"")</f>
        <v/>
      </c>
      <c r="W14" s="49">
        <f>IFERROR(W13/W7,"")</f>
        <v/>
      </c>
      <c r="AB14" s="19" t="n"/>
      <c r="AC14" s="52">
        <f>IFERROR(AC13/AC7,"")</f>
        <v/>
      </c>
      <c r="AD14" s="52">
        <f>IFERROR(AD13/AD7,"")</f>
        <v/>
      </c>
      <c r="AE14" s="52">
        <f>IFERROR(AE13/AE7,"")</f>
        <v/>
      </c>
      <c r="AF14" s="52">
        <f>IFERROR(AF13/AF7,"")</f>
        <v/>
      </c>
      <c r="AG14" s="52">
        <f>IFERROR(AG13/AG7,"")</f>
        <v/>
      </c>
      <c r="AH14" s="52">
        <f>IFERROR(AH13/AH7,"")</f>
        <v/>
      </c>
      <c r="AI14" s="52">
        <f>IFERROR(AI13/AI7,"")</f>
        <v/>
      </c>
      <c r="AJ14" s="52">
        <f>IFERROR(AJ13/AJ7,"")</f>
        <v/>
      </c>
    </row>
    <row r="15" outlineLevel="1">
      <c r="A15" s="20" t="inlineStr">
        <is>
          <t>PAT</t>
        </is>
      </c>
      <c r="B15" s="17" t="inlineStr">
        <is>
          <t>Rs Mn</t>
        </is>
      </c>
      <c r="C15" s="22" t="inlineStr">
        <is>
          <t>Formula</t>
        </is>
      </c>
      <c r="D15" s="55">
        <f>D111</f>
        <v/>
      </c>
      <c r="E15" s="55">
        <f>E111</f>
        <v/>
      </c>
      <c r="F15" s="55">
        <f>F111</f>
        <v/>
      </c>
      <c r="G15" s="55">
        <f>G111</f>
        <v/>
      </c>
      <c r="H15" s="55">
        <f>H111</f>
        <v/>
      </c>
      <c r="I15" s="55">
        <f>I111</f>
        <v/>
      </c>
      <c r="J15" s="55">
        <f>J111</f>
        <v/>
      </c>
      <c r="K15" s="55">
        <f>K111</f>
        <v/>
      </c>
      <c r="L15" s="55">
        <f>L111</f>
        <v/>
      </c>
      <c r="M15" s="55">
        <f>M111</f>
        <v/>
      </c>
      <c r="N15" s="55">
        <f>N111</f>
        <v/>
      </c>
      <c r="O15" s="55">
        <f>O111</f>
        <v/>
      </c>
      <c r="P15" s="55">
        <f>P111</f>
        <v/>
      </c>
      <c r="Q15" s="55">
        <f>Q111</f>
        <v/>
      </c>
      <c r="R15" s="55">
        <f>R111</f>
        <v/>
      </c>
      <c r="S15" s="55">
        <f>S111</f>
        <v/>
      </c>
      <c r="T15" s="55">
        <f>T111</f>
        <v/>
      </c>
      <c r="U15" s="55">
        <f>U111</f>
        <v/>
      </c>
      <c r="V15" s="55">
        <f>V111</f>
        <v/>
      </c>
      <c r="W15" s="55">
        <f>W111</f>
        <v/>
      </c>
      <c r="AB15" s="19" t="n"/>
      <c r="AC15" s="56">
        <f>AC111</f>
        <v/>
      </c>
      <c r="AD15" s="56">
        <f>AD111</f>
        <v/>
      </c>
      <c r="AE15" s="56">
        <f>AE111</f>
        <v/>
      </c>
      <c r="AF15" s="56">
        <f>AF111</f>
        <v/>
      </c>
      <c r="AG15" s="56">
        <f>AG111</f>
        <v/>
      </c>
      <c r="AH15" s="56">
        <f>AH111</f>
        <v/>
      </c>
      <c r="AI15" s="56">
        <f>AI111</f>
        <v/>
      </c>
      <c r="AJ15" s="56">
        <f>AJ111</f>
        <v/>
      </c>
      <c r="AK15" s="56">
        <f>AK111</f>
        <v/>
      </c>
      <c r="AL15" s="56">
        <f>AL111</f>
        <v/>
      </c>
      <c r="AM15" s="56">
        <f>AM111</f>
        <v/>
      </c>
      <c r="AN15" s="56">
        <f>AN111</f>
        <v/>
      </c>
    </row>
    <row r="16" outlineLevel="1">
      <c r="A16" s="20" t="inlineStr">
        <is>
          <t xml:space="preserve">  PAT margin (% of Revenue)</t>
        </is>
      </c>
      <c r="B16" s="17" t="inlineStr">
        <is>
          <t>%</t>
        </is>
      </c>
      <c r="C16" s="22" t="inlineStr">
        <is>
          <t>Formula</t>
        </is>
      </c>
      <c r="D16" s="49">
        <f>IFERROR(D15/D9,"")</f>
        <v/>
      </c>
      <c r="E16" s="49">
        <f>IFERROR(E15/E9,"")</f>
        <v/>
      </c>
      <c r="F16" s="49">
        <f>IFERROR(F15/F9,"")</f>
        <v/>
      </c>
      <c r="G16" s="49">
        <f>IFERROR(G15/G9,"")</f>
        <v/>
      </c>
      <c r="H16" s="49">
        <f>IFERROR(H15/H9,"")</f>
        <v/>
      </c>
      <c r="I16" s="49">
        <f>IFERROR(I15/I9,"")</f>
        <v/>
      </c>
      <c r="J16" s="49">
        <f>IFERROR(J15/J9,"")</f>
        <v/>
      </c>
      <c r="K16" s="49">
        <f>IFERROR(K15/K9,"")</f>
        <v/>
      </c>
      <c r="L16" s="49">
        <f>IFERROR(L15/L9,"")</f>
        <v/>
      </c>
      <c r="M16" s="49">
        <f>IFERROR(M15/M9,"")</f>
        <v/>
      </c>
      <c r="N16" s="49">
        <f>IFERROR(N15/N9,"")</f>
        <v/>
      </c>
      <c r="O16" s="49">
        <f>IFERROR(O15/O9,"")</f>
        <v/>
      </c>
      <c r="P16" s="49">
        <f>IFERROR(P15/P9,"")</f>
        <v/>
      </c>
      <c r="Q16" s="49">
        <f>IFERROR(Q15/Q9,"")</f>
        <v/>
      </c>
      <c r="R16" s="49">
        <f>IFERROR(R15/R9,"")</f>
        <v/>
      </c>
      <c r="S16" s="49">
        <f>IFERROR(S15/S9,"")</f>
        <v/>
      </c>
      <c r="T16" s="49">
        <f>IFERROR(T15/T9,"")</f>
        <v/>
      </c>
      <c r="U16" s="49">
        <f>IFERROR(U15/U9,"")</f>
        <v/>
      </c>
      <c r="V16" s="49">
        <f>IFERROR(V15/V9,"")</f>
        <v/>
      </c>
      <c r="W16" s="49">
        <f>IFERROR(W15/W9,"")</f>
        <v/>
      </c>
      <c r="AB16" s="19" t="n"/>
      <c r="AC16" s="52">
        <f>IFERROR(AC15/AC9,"")</f>
        <v/>
      </c>
      <c r="AD16" s="52">
        <f>IFERROR(AD15/AD9,"")</f>
        <v/>
      </c>
      <c r="AE16" s="52">
        <f>IFERROR(AE15/AE9,"")</f>
        <v/>
      </c>
      <c r="AF16" s="52">
        <f>IFERROR(AF15/AF9,"")</f>
        <v/>
      </c>
      <c r="AG16" s="52">
        <f>IFERROR(AG15/AG9,"")</f>
        <v/>
      </c>
      <c r="AH16" s="52">
        <f>IFERROR(AH15/AH9,"")</f>
        <v/>
      </c>
      <c r="AI16" s="52">
        <f>IFERROR(AI15/AI9,"")</f>
        <v/>
      </c>
      <c r="AJ16" s="52">
        <f>IFERROR(AJ15/AJ9,"")</f>
        <v/>
      </c>
    </row>
    <row r="17" outlineLevel="1">
      <c r="A17" s="20" t="inlineStr">
        <is>
          <t>EPS (diluted)</t>
        </is>
      </c>
      <c r="B17" s="17" t="inlineStr">
        <is>
          <t>Rs</t>
        </is>
      </c>
      <c r="C17" s="22" t="inlineStr">
        <is>
          <t>Formula</t>
        </is>
      </c>
      <c r="D17" s="54">
        <f>D114</f>
        <v/>
      </c>
      <c r="E17" s="54">
        <f>E114</f>
        <v/>
      </c>
      <c r="F17" s="54">
        <f>F114</f>
        <v/>
      </c>
      <c r="G17" s="54">
        <f>G114</f>
        <v/>
      </c>
      <c r="H17" s="54">
        <f>H114</f>
        <v/>
      </c>
      <c r="I17" s="54">
        <f>I114</f>
        <v/>
      </c>
      <c r="J17" s="54">
        <f>J114</f>
        <v/>
      </c>
      <c r="K17" s="54">
        <f>K114</f>
        <v/>
      </c>
      <c r="L17" s="54">
        <f>L114</f>
        <v/>
      </c>
      <c r="M17" s="54">
        <f>M114</f>
        <v/>
      </c>
      <c r="N17" s="54">
        <f>N114</f>
        <v/>
      </c>
      <c r="O17" s="54">
        <f>O114</f>
        <v/>
      </c>
      <c r="P17" s="54">
        <f>P114</f>
        <v/>
      </c>
      <c r="Q17" s="54">
        <f>Q114</f>
        <v/>
      </c>
      <c r="R17" s="54">
        <f>R114</f>
        <v/>
      </c>
      <c r="S17" s="54">
        <f>S114</f>
        <v/>
      </c>
      <c r="T17" s="54">
        <f>T114</f>
        <v/>
      </c>
      <c r="U17" s="54">
        <f>U114</f>
        <v/>
      </c>
      <c r="V17" s="54">
        <f>V114</f>
        <v/>
      </c>
      <c r="W17" s="54">
        <f>W114</f>
        <v/>
      </c>
      <c r="AB17" s="19" t="n"/>
      <c r="AC17" s="13">
        <f>AC114</f>
        <v/>
      </c>
      <c r="AD17" s="13">
        <f>AD114</f>
        <v/>
      </c>
      <c r="AE17" s="13">
        <f>AE114</f>
        <v/>
      </c>
      <c r="AF17" s="13">
        <f>AF114</f>
        <v/>
      </c>
      <c r="AG17" s="13">
        <f>AG114</f>
        <v/>
      </c>
      <c r="AH17" s="13">
        <f>AH114</f>
        <v/>
      </c>
      <c r="AI17" s="13">
        <f>AI114</f>
        <v/>
      </c>
      <c r="AJ17" s="13">
        <f>AJ114</f>
        <v/>
      </c>
      <c r="AK17" s="13">
        <f>AK114</f>
        <v/>
      </c>
      <c r="AL17" s="13">
        <f>AL114</f>
        <v/>
      </c>
      <c r="AM17" s="13">
        <f>AM114</f>
        <v/>
      </c>
      <c r="AN17" s="13">
        <f>AN114</f>
        <v/>
      </c>
    </row>
    <row r="18">
      <c r="AB18" s="19" t="n"/>
    </row>
    <row r="19">
      <c r="A19" s="9" t="inlineStr">
        <is>
          <t>Segment mix (% of Total GMV)</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46" t="n"/>
      <c r="AC19" s="9" t="n"/>
      <c r="AD19" s="9" t="n"/>
      <c r="AE19" s="9" t="n"/>
      <c r="AF19" s="9" t="n"/>
      <c r="AG19" s="9" t="n"/>
      <c r="AH19" s="9" t="n"/>
      <c r="AI19" s="9" t="n"/>
      <c r="AJ19" s="9" t="n"/>
      <c r="AK19" s="9" t="n"/>
      <c r="AL19" s="9" t="n"/>
      <c r="AM19" s="9" t="n"/>
      <c r="AN19" s="9" t="n"/>
    </row>
    <row r="20" outlineLevel="1">
      <c r="A20" s="20" t="inlineStr">
        <is>
          <t>Beauty</t>
        </is>
      </c>
      <c r="B20" s="17" t="inlineStr">
        <is>
          <t>%</t>
        </is>
      </c>
      <c r="C20" s="22" t="inlineStr">
        <is>
          <t>Formula</t>
        </is>
      </c>
      <c r="D20" s="49">
        <f>IFERROR(D32/D5,"")</f>
        <v/>
      </c>
      <c r="E20" s="49">
        <f>IFERROR(E32/E5,"")</f>
        <v/>
      </c>
      <c r="F20" s="49">
        <f>IFERROR(F32/F5,"")</f>
        <v/>
      </c>
      <c r="G20" s="49">
        <f>IFERROR(G32/G5,"")</f>
        <v/>
      </c>
      <c r="H20" s="49">
        <f>IFERROR(H32/H5,"")</f>
        <v/>
      </c>
      <c r="I20" s="49">
        <f>IFERROR(I32/I5,"")</f>
        <v/>
      </c>
      <c r="J20" s="49">
        <f>IFERROR(J32/J5,"")</f>
        <v/>
      </c>
      <c r="K20" s="49">
        <f>IFERROR(K32/K5,"")</f>
        <v/>
      </c>
      <c r="L20" s="49">
        <f>IFERROR(L32/L5,"")</f>
        <v/>
      </c>
      <c r="M20" s="49">
        <f>IFERROR(M32/M5,"")</f>
        <v/>
      </c>
      <c r="N20" s="49">
        <f>IFERROR(N32/N5,"")</f>
        <v/>
      </c>
      <c r="O20" s="49">
        <f>IFERROR(O32/O5,"")</f>
        <v/>
      </c>
      <c r="P20" s="49">
        <f>IFERROR(P32/P5,"")</f>
        <v/>
      </c>
      <c r="Q20" s="49">
        <f>IFERROR(Q32/Q5,"")</f>
        <v/>
      </c>
      <c r="R20" s="49">
        <f>IFERROR(R32/R5,"")</f>
        <v/>
      </c>
      <c r="S20" s="49">
        <f>IFERROR(S32/S5,"")</f>
        <v/>
      </c>
      <c r="T20" s="49">
        <f>IFERROR(T32/T5,"")</f>
        <v/>
      </c>
      <c r="U20" s="49">
        <f>IFERROR(U32/U5,"")</f>
        <v/>
      </c>
      <c r="V20" s="49">
        <f>IFERROR(V32/V5,"")</f>
        <v/>
      </c>
      <c r="W20" s="49">
        <f>IFERROR(W32/W5,"")</f>
        <v/>
      </c>
      <c r="AB20" s="19" t="n"/>
      <c r="AC20" s="52">
        <f>IFERROR(AC32/AC5,"")</f>
        <v/>
      </c>
      <c r="AD20" s="52">
        <f>IFERROR(AD32/AD5,"")</f>
        <v/>
      </c>
      <c r="AE20" s="52">
        <f>IFERROR(AE32/AE5,"")</f>
        <v/>
      </c>
      <c r="AF20" s="52">
        <f>IFERROR(AF32/AF5,"")</f>
        <v/>
      </c>
      <c r="AG20" s="52">
        <f>IFERROR(AG32/AG5,"")</f>
        <v/>
      </c>
      <c r="AH20" s="52">
        <f>IFERROR(AH32/AH5,"")</f>
        <v/>
      </c>
      <c r="AI20" s="52">
        <f>IFERROR(AI32/AI5,"")</f>
        <v/>
      </c>
      <c r="AJ20" s="52">
        <f>IFERROR(AJ32/AJ5,"")</f>
        <v/>
      </c>
      <c r="AK20" s="52">
        <f>IFERROR(AK32/AK5,"")</f>
        <v/>
      </c>
      <c r="AL20" s="52">
        <f>IFERROR(AL32/AL5,"")</f>
        <v/>
      </c>
      <c r="AM20" s="52">
        <f>IFERROR(AM32/AM5,"")</f>
        <v/>
      </c>
      <c r="AN20" s="52">
        <f>IFERROR(AN32/AN5,"")</f>
        <v/>
      </c>
    </row>
    <row r="21" outlineLevel="1">
      <c r="A21" s="20" t="inlineStr">
        <is>
          <t>Fashion</t>
        </is>
      </c>
      <c r="B21" s="17" t="inlineStr">
        <is>
          <t>%</t>
        </is>
      </c>
      <c r="C21" s="22" t="inlineStr">
        <is>
          <t>Formula</t>
        </is>
      </c>
      <c r="D21" s="49">
        <f>IFERROR(D61/D5,"")</f>
        <v/>
      </c>
      <c r="E21" s="49">
        <f>IFERROR(E61/E5,"")</f>
        <v/>
      </c>
      <c r="F21" s="49">
        <f>IFERROR(F61/F5,"")</f>
        <v/>
      </c>
      <c r="G21" s="49">
        <f>IFERROR(G61/G5,"")</f>
        <v/>
      </c>
      <c r="H21" s="49">
        <f>IFERROR(H61/H5,"")</f>
        <v/>
      </c>
      <c r="I21" s="49">
        <f>IFERROR(I61/I5,"")</f>
        <v/>
      </c>
      <c r="J21" s="49">
        <f>IFERROR(J61/J5,"")</f>
        <v/>
      </c>
      <c r="K21" s="49">
        <f>IFERROR(K61/K5,"")</f>
        <v/>
      </c>
      <c r="L21" s="49">
        <f>IFERROR(L61/L5,"")</f>
        <v/>
      </c>
      <c r="M21" s="49">
        <f>IFERROR(M61/M5,"")</f>
        <v/>
      </c>
      <c r="N21" s="49">
        <f>IFERROR(N61/N5,"")</f>
        <v/>
      </c>
      <c r="O21" s="49">
        <f>IFERROR(O61/O5,"")</f>
        <v/>
      </c>
      <c r="P21" s="49">
        <f>IFERROR(P61/P5,"")</f>
        <v/>
      </c>
      <c r="Q21" s="49">
        <f>IFERROR(Q61/Q5,"")</f>
        <v/>
      </c>
      <c r="R21" s="49">
        <f>IFERROR(R61/R5,"")</f>
        <v/>
      </c>
      <c r="S21" s="49">
        <f>IFERROR(S61/S5,"")</f>
        <v/>
      </c>
      <c r="T21" s="49">
        <f>IFERROR(T61/T5,"")</f>
        <v/>
      </c>
      <c r="U21" s="49">
        <f>IFERROR(U61/U5,"")</f>
        <v/>
      </c>
      <c r="V21" s="49">
        <f>IFERROR(V61/V5,"")</f>
        <v/>
      </c>
      <c r="W21" s="49">
        <f>IFERROR(W61/W5,"")</f>
        <v/>
      </c>
      <c r="AB21" s="19" t="n"/>
      <c r="AC21" s="52">
        <f>IFERROR(AC61/AC5,"")</f>
        <v/>
      </c>
      <c r="AD21" s="52">
        <f>IFERROR(AD61/AD5,"")</f>
        <v/>
      </c>
      <c r="AE21" s="52">
        <f>IFERROR(AE61/AE5,"")</f>
        <v/>
      </c>
      <c r="AF21" s="52">
        <f>IFERROR(AF61/AF5,"")</f>
        <v/>
      </c>
      <c r="AG21" s="52">
        <f>IFERROR(AG61/AG5,"")</f>
        <v/>
      </c>
      <c r="AH21" s="52">
        <f>IFERROR(AH61/AH5,"")</f>
        <v/>
      </c>
      <c r="AI21" s="52">
        <f>IFERROR(AI61/AI5,"")</f>
        <v/>
      </c>
      <c r="AJ21" s="52">
        <f>IFERROR(AJ61/AJ5,"")</f>
        <v/>
      </c>
      <c r="AK21" s="52">
        <f>IFERROR(AK61/AK5,"")</f>
        <v/>
      </c>
      <c r="AL21" s="52">
        <f>IFERROR(AL61/AL5,"")</f>
        <v/>
      </c>
      <c r="AM21" s="52">
        <f>IFERROR(AM61/AM5,"")</f>
        <v/>
      </c>
      <c r="AN21" s="52">
        <f>IFERROR(AN61/AN5,"")</f>
        <v/>
      </c>
    </row>
    <row r="22" outlineLevel="1">
      <c r="A22" s="20" t="inlineStr">
        <is>
          <t>New Business</t>
        </is>
      </c>
      <c r="B22" s="17" t="inlineStr">
        <is>
          <t>%</t>
        </is>
      </c>
      <c r="C22" s="22" t="inlineStr">
        <is>
          <t>Formula</t>
        </is>
      </c>
      <c r="D22" s="49">
        <f>IFERROR(D84/D5,"")</f>
        <v/>
      </c>
      <c r="E22" s="49">
        <f>IFERROR(E84/E5,"")</f>
        <v/>
      </c>
      <c r="F22" s="49">
        <f>IFERROR(F84/F5,"")</f>
        <v/>
      </c>
      <c r="G22" s="49">
        <f>IFERROR(G84/G5,"")</f>
        <v/>
      </c>
      <c r="H22" s="49">
        <f>IFERROR(H84/H5,"")</f>
        <v/>
      </c>
      <c r="I22" s="49">
        <f>IFERROR(I84/I5,"")</f>
        <v/>
      </c>
      <c r="J22" s="49">
        <f>IFERROR(J84/J5,"")</f>
        <v/>
      </c>
      <c r="K22" s="49">
        <f>IFERROR(K84/K5,"")</f>
        <v/>
      </c>
      <c r="L22" s="49">
        <f>IFERROR(L84/L5,"")</f>
        <v/>
      </c>
      <c r="M22" s="49">
        <f>IFERROR(M84/M5,"")</f>
        <v/>
      </c>
      <c r="N22" s="49">
        <f>IFERROR(N84/N5,"")</f>
        <v/>
      </c>
      <c r="O22" s="49">
        <f>IFERROR(O84/O5,"")</f>
        <v/>
      </c>
      <c r="P22" s="49">
        <f>IFERROR(P84/P5,"")</f>
        <v/>
      </c>
      <c r="Q22" s="49">
        <f>IFERROR(Q84/Q5,"")</f>
        <v/>
      </c>
      <c r="R22" s="49">
        <f>IFERROR(R84/R5,"")</f>
        <v/>
      </c>
      <c r="S22" s="49">
        <f>IFERROR(S84/S5,"")</f>
        <v/>
      </c>
      <c r="T22" s="49">
        <f>IFERROR(T84/T5,"")</f>
        <v/>
      </c>
      <c r="U22" s="49">
        <f>IFERROR(U84/U5,"")</f>
        <v/>
      </c>
      <c r="V22" s="49">
        <f>IFERROR(V84/V5,"")</f>
        <v/>
      </c>
      <c r="W22" s="49">
        <f>IFERROR(W84/W5,"")</f>
        <v/>
      </c>
      <c r="AB22" s="19" t="n"/>
      <c r="AC22" s="52">
        <f>IFERROR(AC84/AC5,"")</f>
        <v/>
      </c>
      <c r="AD22" s="52">
        <f>IFERROR(AD84/AD5,"")</f>
        <v/>
      </c>
      <c r="AE22" s="52">
        <f>IFERROR(AE84/AE5,"")</f>
        <v/>
      </c>
      <c r="AF22" s="52">
        <f>IFERROR(AF84/AF5,"")</f>
        <v/>
      </c>
      <c r="AG22" s="52">
        <f>IFERROR(AG84/AG5,"")</f>
        <v/>
      </c>
      <c r="AH22" s="52">
        <f>IFERROR(AH84/AH5,"")</f>
        <v/>
      </c>
      <c r="AI22" s="52">
        <f>IFERROR(AI84/AI5,"")</f>
        <v/>
      </c>
      <c r="AJ22" s="52">
        <f>IFERROR(AJ84/AJ5,"")</f>
        <v/>
      </c>
      <c r="AK22" s="52">
        <f>IFERROR(AK84/AK5,"")</f>
        <v/>
      </c>
      <c r="AL22" s="52">
        <f>IFERROR(AL84/AL5,"")</f>
        <v/>
      </c>
      <c r="AM22" s="52">
        <f>IFERROR(AM84/AM5,"")</f>
        <v/>
      </c>
      <c r="AN22" s="52">
        <f>IFERROR(AN84/AN5,"")</f>
        <v/>
      </c>
    </row>
    <row r="23">
      <c r="AB23" s="19" t="n"/>
    </row>
    <row r="24">
      <c r="A24" s="5" t="inlineStr">
        <is>
          <t>BEAUTY (incl. SuperStore)</t>
        </is>
      </c>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44" t="n"/>
      <c r="AC24" s="5" t="n"/>
      <c r="AD24" s="5" t="n"/>
      <c r="AE24" s="5" t="n"/>
      <c r="AF24" s="5" t="n"/>
      <c r="AG24" s="5" t="n"/>
      <c r="AH24" s="5" t="n"/>
      <c r="AI24" s="5" t="n"/>
      <c r="AJ24" s="5" t="n"/>
      <c r="AK24" s="5" t="n"/>
      <c r="AL24" s="5" t="n"/>
      <c r="AM24" s="5" t="n"/>
      <c r="AN24" s="5" t="n"/>
    </row>
    <row r="25">
      <c r="A25" s="17" t="inlineStr">
        <is>
          <t>Definition: BPC (online + offline) + Superstore by Nykaa + Nykaa Man Grooming + House of Nykaa owned brands. NOTE: AUTC/Orders/AOV here are sourced from the deck's 'BPC Vertical' KPI table, which is a narrower scope than the GMV/NSV/Revenue lines below (GMV includes SuperStore, BPC Vertical orders don't) -- see the equivalent caveat on the Raw Data - Ops KPIs tab. AOV = GMV/Orders here is therefore a blended incl-SuperStore figure, not Nykaa's own reported BPC AOV.</t>
        </is>
      </c>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45" t="n"/>
      <c r="AC25" s="17" t="n"/>
      <c r="AD25" s="17" t="n"/>
      <c r="AE25" s="17" t="n"/>
      <c r="AF25" s="17" t="n"/>
      <c r="AG25" s="17" t="n"/>
      <c r="AH25" s="17" t="n"/>
      <c r="AI25" s="17" t="n"/>
      <c r="AJ25" s="17" t="n"/>
      <c r="AK25" s="17" t="n"/>
      <c r="AL25" s="17" t="n"/>
      <c r="AM25" s="17" t="n"/>
      <c r="AN25" s="17" t="n"/>
    </row>
    <row r="26" outlineLevel="1">
      <c r="A26" s="20" t="inlineStr">
        <is>
          <t>Annual transacting customers (AUTC)</t>
        </is>
      </c>
      <c r="B26" s="17" t="inlineStr">
        <is>
          <t>mn</t>
        </is>
      </c>
      <c r="C26" s="22" t="inlineStr">
        <is>
          <t>Link: Raw Data - Ops KPIs</t>
        </is>
      </c>
      <c r="D26" s="53">
        <f>'Raw Data - Ops KPIs'!D35</f>
        <v/>
      </c>
      <c r="E26" s="53">
        <f>'Raw Data - Ops KPIs'!E35</f>
        <v/>
      </c>
      <c r="F26" s="53">
        <f>'Raw Data - Ops KPIs'!F35</f>
        <v/>
      </c>
      <c r="G26" s="53">
        <f>'Raw Data - Ops KPIs'!G35</f>
        <v/>
      </c>
      <c r="H26" s="53">
        <f>'Raw Data - Ops KPIs'!H35</f>
        <v/>
      </c>
      <c r="I26" s="53">
        <f>'Raw Data - Ops KPIs'!I35</f>
        <v/>
      </c>
      <c r="J26" s="53">
        <f>'Raw Data - Ops KPIs'!J35</f>
        <v/>
      </c>
      <c r="K26" s="53">
        <f>'Raw Data - Ops KPIs'!K35</f>
        <v/>
      </c>
      <c r="L26" s="53">
        <f>'Raw Data - Ops KPIs'!L35</f>
        <v/>
      </c>
      <c r="M26" s="53">
        <f>'Raw Data - Ops KPIs'!M35</f>
        <v/>
      </c>
      <c r="N26" s="53">
        <f>'Raw Data - Ops KPIs'!N35</f>
        <v/>
      </c>
      <c r="O26" s="53">
        <f>'Raw Data - Ops KPIs'!O35</f>
        <v/>
      </c>
      <c r="P26" s="53">
        <f>'Raw Data - Ops KPIs'!P35</f>
        <v/>
      </c>
      <c r="Q26" s="53">
        <f>'Raw Data - Ops KPIs'!Q35</f>
        <v/>
      </c>
      <c r="R26" s="53">
        <f>'Raw Data - Ops KPIs'!R35</f>
        <v/>
      </c>
      <c r="S26" s="53">
        <f>'Raw Data - Ops KPIs'!S35</f>
        <v/>
      </c>
      <c r="T26" s="53">
        <f>'Raw Data - Ops KPIs'!T35</f>
        <v/>
      </c>
      <c r="U26" s="53">
        <f>'Raw Data - Ops KPIs'!U35</f>
        <v/>
      </c>
      <c r="V26" s="53">
        <f>'Raw Data - Ops KPIs'!V35</f>
        <v/>
      </c>
      <c r="W26" s="53">
        <f>'Raw Data - Ops KPIs'!W35</f>
        <v/>
      </c>
      <c r="AB26" s="19" t="n"/>
      <c r="AF26" s="53">
        <f>'Raw Data - Ops KPIs'!AF35</f>
        <v/>
      </c>
      <c r="AG26" s="53">
        <f>'Raw Data - Ops KPIs'!AG35</f>
        <v/>
      </c>
      <c r="AH26" s="53">
        <f>'Raw Data - Ops KPIs'!AH35</f>
        <v/>
      </c>
      <c r="AI26" s="53">
        <f>'Raw Data - Ops KPIs'!AI35</f>
        <v/>
      </c>
      <c r="AJ26" s="53">
        <f>'Raw Data - Ops KPIs'!AJ35</f>
        <v/>
      </c>
      <c r="AK26" s="53">
        <f>AJ26*(1+AK27)</f>
        <v/>
      </c>
      <c r="AL26" s="53">
        <f>AK26*(1+AL27)</f>
        <v/>
      </c>
      <c r="AM26" s="53">
        <f>AL26*(1+AM27)</f>
        <v/>
      </c>
      <c r="AN26" s="53">
        <f>AM26*(1+AN27)</f>
        <v/>
      </c>
    </row>
    <row r="27" outlineLevel="1">
      <c r="A27" s="20" t="inlineStr">
        <is>
          <t xml:space="preserve">  YoY growth</t>
        </is>
      </c>
      <c r="B27" s="17" t="inlineStr">
        <is>
          <t>%</t>
        </is>
      </c>
      <c r="C27" s="48" t="inlineStr">
        <is>
          <t>Assumption (edit me)</t>
        </is>
      </c>
      <c r="H27" s="49">
        <f>IFERROR(H26/D26-1,"")</f>
        <v/>
      </c>
      <c r="I27" s="49">
        <f>IFERROR(I26/E26-1,"")</f>
        <v/>
      </c>
      <c r="J27" s="49">
        <f>IFERROR(J26/F26-1,"")</f>
        <v/>
      </c>
      <c r="K27" s="49">
        <f>IFERROR(K26/G26-1,"")</f>
        <v/>
      </c>
      <c r="L27" s="49">
        <f>IFERROR(L26/H26-1,"")</f>
        <v/>
      </c>
      <c r="M27" s="49">
        <f>IFERROR(M26/I26-1,"")</f>
        <v/>
      </c>
      <c r="N27" s="49">
        <f>IFERROR(N26/J26-1,"")</f>
        <v/>
      </c>
      <c r="O27" s="49">
        <f>IFERROR(O26/K26-1,"")</f>
        <v/>
      </c>
      <c r="P27" s="49">
        <f>IFERROR(P26/L26-1,"")</f>
        <v/>
      </c>
      <c r="Q27" s="49">
        <f>IFERROR(Q26/M26-1,"")</f>
        <v/>
      </c>
      <c r="R27" s="49">
        <f>IFERROR(R26/N26-1,"")</f>
        <v/>
      </c>
      <c r="S27" s="49">
        <f>IFERROR(S26/O26-1,"")</f>
        <v/>
      </c>
      <c r="T27" s="49">
        <f>IFERROR(T26/P26-1,"")</f>
        <v/>
      </c>
      <c r="U27" s="49">
        <f>IFERROR(U26/Q26-1,"")</f>
        <v/>
      </c>
      <c r="V27" s="49">
        <f>IFERROR(V26/R26-1,"")</f>
        <v/>
      </c>
      <c r="W27" s="49">
        <f>IFERROR(W26/S26-1,"")</f>
        <v/>
      </c>
      <c r="AB27" s="19" t="n"/>
      <c r="AD27" s="52">
        <f>IFERROR(AD26/AC26-1,"")</f>
        <v/>
      </c>
      <c r="AE27" s="52">
        <f>IFERROR(AE26/AD26-1,"")</f>
        <v/>
      </c>
      <c r="AF27" s="52">
        <f>IFERROR(AF26/AE26-1,"")</f>
        <v/>
      </c>
      <c r="AG27" s="52">
        <f>IFERROR(AG26/AF26-1,"")</f>
        <v/>
      </c>
      <c r="AH27" s="52">
        <f>IFERROR(AH26/AG26-1,"")</f>
        <v/>
      </c>
      <c r="AI27" s="52">
        <f>IFERROR(AI26/AH26-1,"")</f>
        <v/>
      </c>
      <c r="AJ27" s="52">
        <f>IFERROR(AJ26/AI26-1,"")</f>
        <v/>
      </c>
      <c r="AK27" s="50" t="n">
        <v>0.247</v>
      </c>
      <c r="AL27" s="50" t="n">
        <v>0.247</v>
      </c>
      <c r="AM27" s="50" t="n">
        <v>0.247</v>
      </c>
      <c r="AN27" s="50" t="n">
        <v>0.247</v>
      </c>
    </row>
    <row r="28" outlineLevel="1">
      <c r="A28" s="20" t="inlineStr">
        <is>
          <t xml:space="preserve">  Average order frequency</t>
        </is>
      </c>
      <c r="B28" s="17" t="inlineStr">
        <is>
          <t>x</t>
        </is>
      </c>
      <c r="C28" s="48" t="inlineStr">
        <is>
          <t>Assumption (edit me)</t>
        </is>
      </c>
      <c r="D28" s="54">
        <f>IFERROR(D29/D26,"")</f>
        <v/>
      </c>
      <c r="E28" s="54">
        <f>IFERROR(E29/E26,"")</f>
        <v/>
      </c>
      <c r="F28" s="54">
        <f>IFERROR(F29/F26,"")</f>
        <v/>
      </c>
      <c r="G28" s="54">
        <f>IFERROR(G29/G26,"")</f>
        <v/>
      </c>
      <c r="H28" s="54">
        <f>IFERROR(H29/H26,"")</f>
        <v/>
      </c>
      <c r="I28" s="54">
        <f>IFERROR(I29/I26,"")</f>
        <v/>
      </c>
      <c r="J28" s="54">
        <f>IFERROR(J29/J26,"")</f>
        <v/>
      </c>
      <c r="K28" s="54">
        <f>IFERROR(K29/K26,"")</f>
        <v/>
      </c>
      <c r="L28" s="54">
        <f>IFERROR(L29/L26,"")</f>
        <v/>
      </c>
      <c r="M28" s="54">
        <f>IFERROR(M29/M26,"")</f>
        <v/>
      </c>
      <c r="N28" s="54">
        <f>IFERROR(N29/N26,"")</f>
        <v/>
      </c>
      <c r="O28" s="54">
        <f>IFERROR(O29/O26,"")</f>
        <v/>
      </c>
      <c r="P28" s="54">
        <f>IFERROR(P29/P26,"")</f>
        <v/>
      </c>
      <c r="Q28" s="54">
        <f>IFERROR(Q29/Q26,"")</f>
        <v/>
      </c>
      <c r="R28" s="54">
        <f>IFERROR(R29/R26,"")</f>
        <v/>
      </c>
      <c r="S28" s="54">
        <f>IFERROR(S29/S26,"")</f>
        <v/>
      </c>
      <c r="T28" s="54">
        <f>IFERROR(T29/T26,"")</f>
        <v/>
      </c>
      <c r="U28" s="54">
        <f>IFERROR(U29/U26,"")</f>
        <v/>
      </c>
      <c r="V28" s="54">
        <f>IFERROR(V29/V26,"")</f>
        <v/>
      </c>
      <c r="W28" s="54">
        <f>IFERROR(W29/W26,"")</f>
        <v/>
      </c>
      <c r="AB28" s="19" t="n"/>
      <c r="AC28" s="13">
        <f>IFERROR(AC29/AC26,"")</f>
        <v/>
      </c>
      <c r="AD28" s="13">
        <f>IFERROR(AD29/AD26,"")</f>
        <v/>
      </c>
      <c r="AE28" s="13">
        <f>IFERROR(AE29/AE26,"")</f>
        <v/>
      </c>
      <c r="AF28" s="13">
        <f>IFERROR(AF29/AF26,"")</f>
        <v/>
      </c>
      <c r="AG28" s="13">
        <f>IFERROR(AG29/AG26,"")</f>
        <v/>
      </c>
      <c r="AH28" s="13">
        <f>IFERROR(AH29/AH26,"")</f>
        <v/>
      </c>
      <c r="AI28" s="13">
        <f>IFERROR(AI29/AI26,"")</f>
        <v/>
      </c>
      <c r="AJ28" s="13">
        <f>IFERROR(AJ29/AJ26,"")</f>
        <v/>
      </c>
      <c r="AK28" s="51" t="n">
        <v>3.34</v>
      </c>
      <c r="AL28" s="51" t="n">
        <v>3.34</v>
      </c>
      <c r="AM28" s="51" t="n">
        <v>3.34</v>
      </c>
      <c r="AN28" s="51" t="n">
        <v>3.34</v>
      </c>
    </row>
    <row r="29" outlineLevel="2">
      <c r="A29" s="20" t="inlineStr">
        <is>
          <t>Number of orders</t>
        </is>
      </c>
      <c r="B29" s="17" t="inlineStr">
        <is>
          <t>mn</t>
        </is>
      </c>
      <c r="C29" s="22" t="inlineStr">
        <is>
          <t>Link: Raw Data - Ops KPIs</t>
        </is>
      </c>
      <c r="D29" s="53">
        <f>'Raw Data - Ops KPIs'!D37</f>
        <v/>
      </c>
      <c r="E29" s="53">
        <f>'Raw Data - Ops KPIs'!E37</f>
        <v/>
      </c>
      <c r="F29" s="53">
        <f>'Raw Data - Ops KPIs'!F37</f>
        <v/>
      </c>
      <c r="G29" s="53">
        <f>'Raw Data - Ops KPIs'!G37</f>
        <v/>
      </c>
      <c r="H29" s="53">
        <f>'Raw Data - Ops KPIs'!H37</f>
        <v/>
      </c>
      <c r="I29" s="53">
        <f>'Raw Data - Ops KPIs'!I37</f>
        <v/>
      </c>
      <c r="J29" s="53">
        <f>'Raw Data - Ops KPIs'!J37</f>
        <v/>
      </c>
      <c r="K29" s="53">
        <f>'Raw Data - Ops KPIs'!K37</f>
        <v/>
      </c>
      <c r="L29" s="53">
        <f>'Raw Data - Ops KPIs'!L37</f>
        <v/>
      </c>
      <c r="M29" s="53">
        <f>'Raw Data - Ops KPIs'!M37</f>
        <v/>
      </c>
      <c r="N29" s="53">
        <f>'Raw Data - Ops KPIs'!N37</f>
        <v/>
      </c>
      <c r="O29" s="53">
        <f>'Raw Data - Ops KPIs'!O37</f>
        <v/>
      </c>
      <c r="P29" s="53">
        <f>'Raw Data - Ops KPIs'!P37</f>
        <v/>
      </c>
      <c r="Q29" s="53">
        <f>'Raw Data - Ops KPIs'!Q37</f>
        <v/>
      </c>
      <c r="R29" s="53">
        <f>'Raw Data - Ops KPIs'!R37</f>
        <v/>
      </c>
      <c r="S29" s="53">
        <f>'Raw Data - Ops KPIs'!S37</f>
        <v/>
      </c>
      <c r="T29" s="53">
        <f>'Raw Data - Ops KPIs'!T37</f>
        <v/>
      </c>
      <c r="U29" s="53">
        <f>'Raw Data - Ops KPIs'!U37</f>
        <v/>
      </c>
      <c r="V29" s="53">
        <f>'Raw Data - Ops KPIs'!V37</f>
        <v/>
      </c>
      <c r="W29" s="53">
        <f>'Raw Data - Ops KPIs'!W37</f>
        <v/>
      </c>
      <c r="AB29" s="19" t="n"/>
      <c r="AF29" s="53">
        <f>'Raw Data - Ops KPIs'!AF37</f>
        <v/>
      </c>
      <c r="AG29" s="53">
        <f>'Raw Data - Ops KPIs'!AG37</f>
        <v/>
      </c>
      <c r="AH29" s="53">
        <f>'Raw Data - Ops KPIs'!AH37</f>
        <v/>
      </c>
      <c r="AI29" s="53">
        <f>'Raw Data - Ops KPIs'!AI37</f>
        <v/>
      </c>
      <c r="AJ29" s="53">
        <f>'Raw Data - Ops KPIs'!AJ37</f>
        <v/>
      </c>
      <c r="AK29" s="53">
        <f>AK26*AK28</f>
        <v/>
      </c>
      <c r="AL29" s="53">
        <f>AL26*AL28</f>
        <v/>
      </c>
      <c r="AM29" s="53">
        <f>AM26*AM28</f>
        <v/>
      </c>
      <c r="AN29" s="53">
        <f>AN26*AN28</f>
        <v/>
      </c>
    </row>
    <row r="30" outlineLevel="1">
      <c r="A30" s="20" t="inlineStr">
        <is>
          <t>Average order value</t>
        </is>
      </c>
      <c r="B30" s="17" t="inlineStr">
        <is>
          <t>Rs</t>
        </is>
      </c>
      <c r="C30" s="22" t="inlineStr">
        <is>
          <t>Formula</t>
        </is>
      </c>
      <c r="D30" s="55">
        <f>IFERROR(D32/D29,"")</f>
        <v/>
      </c>
      <c r="E30" s="55">
        <f>IFERROR(E32/E29,"")</f>
        <v/>
      </c>
      <c r="F30" s="55">
        <f>IFERROR(F32/F29,"")</f>
        <v/>
      </c>
      <c r="G30" s="55">
        <f>IFERROR(G32/G29,"")</f>
        <v/>
      </c>
      <c r="H30" s="55">
        <f>IFERROR(H32/H29,"")</f>
        <v/>
      </c>
      <c r="I30" s="55">
        <f>IFERROR(I32/I29,"")</f>
        <v/>
      </c>
      <c r="J30" s="55">
        <f>IFERROR(J32/J29,"")</f>
        <v/>
      </c>
      <c r="K30" s="55">
        <f>IFERROR(K32/K29,"")</f>
        <v/>
      </c>
      <c r="L30" s="55">
        <f>IFERROR(L32/L29,"")</f>
        <v/>
      </c>
      <c r="M30" s="55">
        <f>IFERROR(M32/M29,"")</f>
        <v/>
      </c>
      <c r="N30" s="55">
        <f>IFERROR(N32/N29,"")</f>
        <v/>
      </c>
      <c r="O30" s="55">
        <f>IFERROR(O32/O29,"")</f>
        <v/>
      </c>
      <c r="P30" s="55">
        <f>IFERROR(P32/P29,"")</f>
        <v/>
      </c>
      <c r="Q30" s="55">
        <f>IFERROR(Q32/Q29,"")</f>
        <v/>
      </c>
      <c r="R30" s="55">
        <f>IFERROR(R32/R29,"")</f>
        <v/>
      </c>
      <c r="S30" s="55">
        <f>IFERROR(S32/S29,"")</f>
        <v/>
      </c>
      <c r="T30" s="55">
        <f>IFERROR(T32/T29,"")</f>
        <v/>
      </c>
      <c r="U30" s="55">
        <f>IFERROR(U32/U29,"")</f>
        <v/>
      </c>
      <c r="V30" s="55">
        <f>IFERROR(V32/V29,"")</f>
        <v/>
      </c>
      <c r="W30" s="55">
        <f>IFERROR(W32/W29,"")</f>
        <v/>
      </c>
      <c r="AB30" s="19" t="n"/>
      <c r="AC30" s="56">
        <f>IFERROR(AC32/AC29,"")</f>
        <v/>
      </c>
      <c r="AD30" s="56">
        <f>IFERROR(AD32/AD29,"")</f>
        <v/>
      </c>
      <c r="AE30" s="56">
        <f>IFERROR(AE32/AE29,"")</f>
        <v/>
      </c>
      <c r="AF30" s="56">
        <f>IFERROR(AF32/AF29,"")</f>
        <v/>
      </c>
      <c r="AG30" s="56">
        <f>IFERROR(AG32/AG29,"")</f>
        <v/>
      </c>
      <c r="AH30" s="56">
        <f>IFERROR(AH32/AH29,"")</f>
        <v/>
      </c>
      <c r="AI30" s="56">
        <f>IFERROR(AI32/AI29,"")</f>
        <v/>
      </c>
      <c r="AJ30" s="56">
        <f>IFERROR(AJ32/AJ29,"")</f>
        <v/>
      </c>
      <c r="AK30" s="56">
        <f>AJ30*(1+AK31)</f>
        <v/>
      </c>
      <c r="AL30" s="56">
        <f>AK30*(1+AL31)</f>
        <v/>
      </c>
      <c r="AM30" s="56">
        <f>AL30*(1+AM31)</f>
        <v/>
      </c>
      <c r="AN30" s="56">
        <f>AM30*(1+AN31)</f>
        <v/>
      </c>
    </row>
    <row r="31" outlineLevel="1">
      <c r="A31" s="20" t="inlineStr">
        <is>
          <t xml:space="preserve">  YoY growth</t>
        </is>
      </c>
      <c r="B31" s="17" t="inlineStr">
        <is>
          <t>%</t>
        </is>
      </c>
      <c r="C31" s="48" t="inlineStr">
        <is>
          <t>Assumption (edit me)</t>
        </is>
      </c>
      <c r="AB31" s="19" t="n"/>
      <c r="AK31" s="50" t="n">
        <v>0.052</v>
      </c>
      <c r="AL31" s="50" t="n">
        <v>0.052</v>
      </c>
      <c r="AM31" s="50" t="n">
        <v>0.052</v>
      </c>
      <c r="AN31" s="50" t="n">
        <v>0.052</v>
      </c>
    </row>
    <row r="32" outlineLevel="1">
      <c r="A32" s="20" t="inlineStr">
        <is>
          <t>GMV</t>
        </is>
      </c>
      <c r="B32" s="17" t="inlineStr">
        <is>
          <t>Rs Mn</t>
        </is>
      </c>
      <c r="C32" s="22" t="inlineStr">
        <is>
          <t>Link: Raw Data - Ops KPIs</t>
        </is>
      </c>
      <c r="D32" s="56">
        <f>'Raw Data - Ops KPIs'!D39</f>
        <v/>
      </c>
      <c r="E32" s="56">
        <f>'Raw Data - Ops KPIs'!E39</f>
        <v/>
      </c>
      <c r="F32" s="56">
        <f>'Raw Data - Ops KPIs'!F39</f>
        <v/>
      </c>
      <c r="G32" s="56">
        <f>'Raw Data - Ops KPIs'!G39</f>
        <v/>
      </c>
      <c r="H32" s="56">
        <f>'Raw Data - Ops KPIs'!H39</f>
        <v/>
      </c>
      <c r="I32" s="56">
        <f>'Raw Data - Ops KPIs'!I39</f>
        <v/>
      </c>
      <c r="J32" s="56">
        <f>'Raw Data - Ops KPIs'!J39</f>
        <v/>
      </c>
      <c r="K32" s="56">
        <f>'Raw Data - Ops KPIs'!K39</f>
        <v/>
      </c>
      <c r="L32" s="56">
        <f>'Raw Data - Ops KPIs'!L39</f>
        <v/>
      </c>
      <c r="M32" s="56">
        <f>'Raw Data - Ops KPIs'!M39</f>
        <v/>
      </c>
      <c r="N32" s="56">
        <f>'Raw Data - Ops KPIs'!N39</f>
        <v/>
      </c>
      <c r="O32" s="56">
        <f>'Raw Data - Ops KPIs'!O39</f>
        <v/>
      </c>
      <c r="P32" s="56">
        <f>'Raw Data - Ops KPIs'!P39</f>
        <v/>
      </c>
      <c r="Q32" s="56">
        <f>'Raw Data - Ops KPIs'!Q39</f>
        <v/>
      </c>
      <c r="R32" s="56">
        <f>'Raw Data - Ops KPIs'!R39</f>
        <v/>
      </c>
      <c r="S32" s="56">
        <f>'Raw Data - Ops KPIs'!S39</f>
        <v/>
      </c>
      <c r="T32" s="56">
        <f>'Raw Data - Ops KPIs'!T39</f>
        <v/>
      </c>
      <c r="U32" s="56">
        <f>'Raw Data - Ops KPIs'!U39</f>
        <v/>
      </c>
      <c r="V32" s="56">
        <f>'Raw Data - Ops KPIs'!V39</f>
        <v/>
      </c>
      <c r="W32" s="56">
        <f>'Raw Data - Ops KPIs'!W39</f>
        <v/>
      </c>
      <c r="AB32" s="19" t="n"/>
      <c r="AF32" s="56">
        <f>'Raw Data - Ops KPIs'!AF39</f>
        <v/>
      </c>
      <c r="AG32" s="56">
        <f>'Raw Data - Ops KPIs'!AG39</f>
        <v/>
      </c>
      <c r="AH32" s="56">
        <f>'Raw Data - Ops KPIs'!AH39</f>
        <v/>
      </c>
      <c r="AI32" s="56">
        <f>'Raw Data - Ops KPIs'!AI39</f>
        <v/>
      </c>
      <c r="AJ32" s="56">
        <f>'Raw Data - Ops KPIs'!AJ39</f>
        <v/>
      </c>
      <c r="AK32" s="56">
        <f>AK29*AK30</f>
        <v/>
      </c>
      <c r="AL32" s="56">
        <f>AL29*AL30</f>
        <v/>
      </c>
      <c r="AM32" s="56">
        <f>AM29*AM30</f>
        <v/>
      </c>
      <c r="AN32" s="56">
        <f>AN29*AN30</f>
        <v/>
      </c>
    </row>
    <row r="33" outlineLevel="1">
      <c r="A33" s="20" t="inlineStr">
        <is>
          <t xml:space="preserve">  YoY growth</t>
        </is>
      </c>
      <c r="B33" s="17" t="inlineStr">
        <is>
          <t>%</t>
        </is>
      </c>
      <c r="C33" s="22" t="inlineStr">
        <is>
          <t>Formula</t>
        </is>
      </c>
      <c r="H33" s="49">
        <f>IFERROR(H32/D32-1,"")</f>
        <v/>
      </c>
      <c r="I33" s="49">
        <f>IFERROR(I32/E32-1,"")</f>
        <v/>
      </c>
      <c r="J33" s="49">
        <f>IFERROR(J32/F32-1,"")</f>
        <v/>
      </c>
      <c r="K33" s="49">
        <f>IFERROR(K32/G32-1,"")</f>
        <v/>
      </c>
      <c r="L33" s="49">
        <f>IFERROR(L32/H32-1,"")</f>
        <v/>
      </c>
      <c r="M33" s="49">
        <f>IFERROR(M32/I32-1,"")</f>
        <v/>
      </c>
      <c r="N33" s="49">
        <f>IFERROR(N32/J32-1,"")</f>
        <v/>
      </c>
      <c r="O33" s="49">
        <f>IFERROR(O32/K32-1,"")</f>
        <v/>
      </c>
      <c r="P33" s="49">
        <f>IFERROR(P32/L32-1,"")</f>
        <v/>
      </c>
      <c r="Q33" s="49">
        <f>IFERROR(Q32/M32-1,"")</f>
        <v/>
      </c>
      <c r="R33" s="49">
        <f>IFERROR(R32/N32-1,"")</f>
        <v/>
      </c>
      <c r="S33" s="49">
        <f>IFERROR(S32/O32-1,"")</f>
        <v/>
      </c>
      <c r="T33" s="49">
        <f>IFERROR(T32/P32-1,"")</f>
        <v/>
      </c>
      <c r="U33" s="49">
        <f>IFERROR(U32/Q32-1,"")</f>
        <v/>
      </c>
      <c r="V33" s="49">
        <f>IFERROR(V32/R32-1,"")</f>
        <v/>
      </c>
      <c r="W33" s="49">
        <f>IFERROR(W32/S32-1,"")</f>
        <v/>
      </c>
      <c r="AB33" s="19" t="n"/>
      <c r="AD33" s="52">
        <f>IFERROR(AD32/AC32-1,"")</f>
        <v/>
      </c>
      <c r="AE33" s="52">
        <f>IFERROR(AE32/AD32-1,"")</f>
        <v/>
      </c>
      <c r="AF33" s="52">
        <f>IFERROR(AF32/AE32-1,"")</f>
        <v/>
      </c>
      <c r="AG33" s="52">
        <f>IFERROR(AG32/AF32-1,"")</f>
        <v/>
      </c>
      <c r="AH33" s="52">
        <f>IFERROR(AH32/AG32-1,"")</f>
        <v/>
      </c>
      <c r="AI33" s="52">
        <f>IFERROR(AI32/AH32-1,"")</f>
        <v/>
      </c>
      <c r="AJ33" s="52">
        <f>IFERROR(AJ32/AI32-1,"")</f>
        <v/>
      </c>
      <c r="AK33" s="52">
        <f>IFERROR(AK32/AJ32-1,"")</f>
        <v/>
      </c>
      <c r="AL33" s="52">
        <f>IFERROR(AL32/AK32-1,"")</f>
        <v/>
      </c>
      <c r="AM33" s="52">
        <f>IFERROR(AM32/AL32-1,"")</f>
        <v/>
      </c>
      <c r="AN33" s="52">
        <f>IFERROR(AN32/AM32-1,"")</f>
        <v/>
      </c>
    </row>
    <row r="34" outlineLevel="1">
      <c r="A34" s="20" t="inlineStr">
        <is>
          <t xml:space="preserve">  NSV / GMV</t>
        </is>
      </c>
      <c r="B34" s="17" t="inlineStr">
        <is>
          <t>%</t>
        </is>
      </c>
      <c r="C34" s="48" t="inlineStr">
        <is>
          <t>Assumption (edit me)</t>
        </is>
      </c>
      <c r="D34" s="49">
        <f>IFERROR(D35/D32,"")</f>
        <v/>
      </c>
      <c r="E34" s="49">
        <f>IFERROR(E35/E32,"")</f>
        <v/>
      </c>
      <c r="F34" s="49">
        <f>IFERROR(F35/F32,"")</f>
        <v/>
      </c>
      <c r="G34" s="49">
        <f>IFERROR(G35/G32,"")</f>
        <v/>
      </c>
      <c r="H34" s="49">
        <f>IFERROR(H35/H32,"")</f>
        <v/>
      </c>
      <c r="I34" s="49">
        <f>IFERROR(I35/I32,"")</f>
        <v/>
      </c>
      <c r="J34" s="49">
        <f>IFERROR(J35/J32,"")</f>
        <v/>
      </c>
      <c r="K34" s="49">
        <f>IFERROR(K35/K32,"")</f>
        <v/>
      </c>
      <c r="L34" s="49">
        <f>IFERROR(L35/L32,"")</f>
        <v/>
      </c>
      <c r="M34" s="49">
        <f>IFERROR(M35/M32,"")</f>
        <v/>
      </c>
      <c r="N34" s="49">
        <f>IFERROR(N35/N32,"")</f>
        <v/>
      </c>
      <c r="O34" s="49">
        <f>IFERROR(O35/O32,"")</f>
        <v/>
      </c>
      <c r="P34" s="49">
        <f>IFERROR(P35/P32,"")</f>
        <v/>
      </c>
      <c r="Q34" s="49">
        <f>IFERROR(Q35/Q32,"")</f>
        <v/>
      </c>
      <c r="R34" s="49">
        <f>IFERROR(R35/R32,"")</f>
        <v/>
      </c>
      <c r="S34" s="49">
        <f>IFERROR(S35/S32,"")</f>
        <v/>
      </c>
      <c r="T34" s="49">
        <f>IFERROR(T35/T32,"")</f>
        <v/>
      </c>
      <c r="U34" s="49">
        <f>IFERROR(U35/U32,"")</f>
        <v/>
      </c>
      <c r="V34" s="49">
        <f>IFERROR(V35/V32,"")</f>
        <v/>
      </c>
      <c r="W34" s="49">
        <f>IFERROR(W35/W32,"")</f>
        <v/>
      </c>
      <c r="AB34" s="19" t="n"/>
      <c r="AC34" s="52">
        <f>IFERROR(AC35/AC32,"")</f>
        <v/>
      </c>
      <c r="AD34" s="52">
        <f>IFERROR(AD35/AD32,"")</f>
        <v/>
      </c>
      <c r="AE34" s="52">
        <f>IFERROR(AE35/AE32,"")</f>
        <v/>
      </c>
      <c r="AF34" s="52">
        <f>IFERROR(AF35/AF32,"")</f>
        <v/>
      </c>
      <c r="AG34" s="52">
        <f>IFERROR(AG35/AG32,"")</f>
        <v/>
      </c>
      <c r="AH34" s="52">
        <f>IFERROR(AH35/AH32,"")</f>
        <v/>
      </c>
      <c r="AI34" s="52">
        <f>IFERROR(AI35/AI32,"")</f>
        <v/>
      </c>
      <c r="AJ34" s="52">
        <f>IFERROR(AJ35/AJ32,"")</f>
        <v/>
      </c>
      <c r="AK34" s="50" t="n">
        <v>0.569</v>
      </c>
      <c r="AL34" s="50" t="n">
        <v>0.569</v>
      </c>
      <c r="AM34" s="50" t="n">
        <v>0.569</v>
      </c>
      <c r="AN34" s="50" t="n">
        <v>0.569</v>
      </c>
    </row>
    <row r="35" outlineLevel="1">
      <c r="A35" s="20" t="inlineStr">
        <is>
          <t>NSV</t>
        </is>
      </c>
      <c r="B35" s="17" t="inlineStr">
        <is>
          <t>Rs Mn</t>
        </is>
      </c>
      <c r="C35" s="22" t="inlineStr">
        <is>
          <t>Link: Raw Data - Ops KPIs</t>
        </is>
      </c>
      <c r="D35" s="56">
        <f>'Raw Data - Ops KPIs'!D42</f>
        <v/>
      </c>
      <c r="E35" s="56">
        <f>'Raw Data - Ops KPIs'!E42</f>
        <v/>
      </c>
      <c r="F35" s="56">
        <f>'Raw Data - Ops KPIs'!F42</f>
        <v/>
      </c>
      <c r="G35" s="56">
        <f>'Raw Data - Ops KPIs'!G42</f>
        <v/>
      </c>
      <c r="H35" s="56">
        <f>'Raw Data - Ops KPIs'!H42</f>
        <v/>
      </c>
      <c r="I35" s="56">
        <f>'Raw Data - Ops KPIs'!I42</f>
        <v/>
      </c>
      <c r="J35" s="56">
        <f>'Raw Data - Ops KPIs'!J42</f>
        <v/>
      </c>
      <c r="K35" s="56">
        <f>'Raw Data - Ops KPIs'!K42</f>
        <v/>
      </c>
      <c r="L35" s="56">
        <f>'Raw Data - Ops KPIs'!L42</f>
        <v/>
      </c>
      <c r="M35" s="56">
        <f>'Raw Data - Ops KPIs'!M42</f>
        <v/>
      </c>
      <c r="N35" s="56">
        <f>'Raw Data - Ops KPIs'!N42</f>
        <v/>
      </c>
      <c r="O35" s="56">
        <f>'Raw Data - Ops KPIs'!O42</f>
        <v/>
      </c>
      <c r="P35" s="56">
        <f>'Raw Data - Ops KPIs'!P42</f>
        <v/>
      </c>
      <c r="Q35" s="56">
        <f>'Raw Data - Ops KPIs'!Q42</f>
        <v/>
      </c>
      <c r="R35" s="56">
        <f>'Raw Data - Ops KPIs'!R42</f>
        <v/>
      </c>
      <c r="S35" s="56">
        <f>'Raw Data - Ops KPIs'!S42</f>
        <v/>
      </c>
      <c r="T35" s="56">
        <f>'Raw Data - Ops KPIs'!T42</f>
        <v/>
      </c>
      <c r="U35" s="56">
        <f>'Raw Data - Ops KPIs'!U42</f>
        <v/>
      </c>
      <c r="V35" s="56">
        <f>'Raw Data - Ops KPIs'!V42</f>
        <v/>
      </c>
      <c r="W35" s="56">
        <f>'Raw Data - Ops KPIs'!W42</f>
        <v/>
      </c>
      <c r="AB35" s="19" t="n"/>
      <c r="AF35" s="56">
        <f>'Raw Data - Ops KPIs'!AF42</f>
        <v/>
      </c>
      <c r="AG35" s="56">
        <f>'Raw Data - Ops KPIs'!AG42</f>
        <v/>
      </c>
      <c r="AH35" s="56">
        <f>'Raw Data - Ops KPIs'!AH42</f>
        <v/>
      </c>
      <c r="AI35" s="56">
        <f>'Raw Data - Ops KPIs'!AI42</f>
        <v/>
      </c>
      <c r="AJ35" s="56">
        <f>'Raw Data - Ops KPIs'!AJ42</f>
        <v/>
      </c>
      <c r="AK35" s="56">
        <f>AK32*AK34</f>
        <v/>
      </c>
      <c r="AL35" s="56">
        <f>AL32*AL34</f>
        <v/>
      </c>
      <c r="AM35" s="56">
        <f>AM32*AM34</f>
        <v/>
      </c>
      <c r="AN35" s="56">
        <f>AN32*AN34</f>
        <v/>
      </c>
    </row>
    <row r="36" outlineLevel="1">
      <c r="A36" s="20" t="inlineStr">
        <is>
          <t xml:space="preserve">  Revenue / NSV</t>
        </is>
      </c>
      <c r="B36" s="17" t="inlineStr">
        <is>
          <t>%</t>
        </is>
      </c>
      <c r="C36" s="48" t="inlineStr">
        <is>
          <t>Assumption (edit me)</t>
        </is>
      </c>
      <c r="D36" s="49">
        <f>IFERROR(D37/D35,"")</f>
        <v/>
      </c>
      <c r="E36" s="49">
        <f>IFERROR(E37/E35,"")</f>
        <v/>
      </c>
      <c r="F36" s="49">
        <f>IFERROR(F37/F35,"")</f>
        <v/>
      </c>
      <c r="G36" s="49">
        <f>IFERROR(G37/G35,"")</f>
        <v/>
      </c>
      <c r="H36" s="49">
        <f>IFERROR(H37/H35,"")</f>
        <v/>
      </c>
      <c r="I36" s="49">
        <f>IFERROR(I37/I35,"")</f>
        <v/>
      </c>
      <c r="J36" s="49">
        <f>IFERROR(J37/J35,"")</f>
        <v/>
      </c>
      <c r="K36" s="49">
        <f>IFERROR(K37/K35,"")</f>
        <v/>
      </c>
      <c r="L36" s="49">
        <f>IFERROR(L37/L35,"")</f>
        <v/>
      </c>
      <c r="M36" s="49">
        <f>IFERROR(M37/M35,"")</f>
        <v/>
      </c>
      <c r="N36" s="49">
        <f>IFERROR(N37/N35,"")</f>
        <v/>
      </c>
      <c r="O36" s="49">
        <f>IFERROR(O37/O35,"")</f>
        <v/>
      </c>
      <c r="P36" s="49">
        <f>IFERROR(P37/P35,"")</f>
        <v/>
      </c>
      <c r="Q36" s="49">
        <f>IFERROR(Q37/Q35,"")</f>
        <v/>
      </c>
      <c r="R36" s="49">
        <f>IFERROR(R37/R35,"")</f>
        <v/>
      </c>
      <c r="S36" s="49">
        <f>IFERROR(S37/S35,"")</f>
        <v/>
      </c>
      <c r="T36" s="49">
        <f>IFERROR(T37/T35,"")</f>
        <v/>
      </c>
      <c r="U36" s="49">
        <f>IFERROR(U37/U35,"")</f>
        <v/>
      </c>
      <c r="V36" s="49">
        <f>IFERROR(V37/V35,"")</f>
        <v/>
      </c>
      <c r="W36" s="49">
        <f>IFERROR(W37/W35,"")</f>
        <v/>
      </c>
      <c r="AB36" s="19" t="n"/>
      <c r="AC36" s="52">
        <f>IFERROR(AC37/AC35,"")</f>
        <v/>
      </c>
      <c r="AD36" s="52">
        <f>IFERROR(AD37/AD35,"")</f>
        <v/>
      </c>
      <c r="AE36" s="52">
        <f>IFERROR(AE37/AE35,"")</f>
        <v/>
      </c>
      <c r="AF36" s="52">
        <f>IFERROR(AF37/AF35,"")</f>
        <v/>
      </c>
      <c r="AG36" s="52">
        <f>IFERROR(AG37/AG35,"")</f>
        <v/>
      </c>
      <c r="AH36" s="52">
        <f>IFERROR(AH37/AH35,"")</f>
        <v/>
      </c>
      <c r="AI36" s="52">
        <f>IFERROR(AI37/AI35,"")</f>
        <v/>
      </c>
      <c r="AJ36" s="52">
        <f>IFERROR(AJ37/AJ35,"")</f>
        <v/>
      </c>
      <c r="AK36" s="50" t="n">
        <v>1.075</v>
      </c>
      <c r="AL36" s="50" t="n">
        <v>1.075</v>
      </c>
      <c r="AM36" s="50" t="n">
        <v>1.075</v>
      </c>
      <c r="AN36" s="50" t="n">
        <v>1.075</v>
      </c>
    </row>
    <row r="37" outlineLevel="1">
      <c r="A37" s="20" t="inlineStr">
        <is>
          <t>Revenue</t>
        </is>
      </c>
      <c r="B37" s="17" t="inlineStr">
        <is>
          <t>Rs Mn</t>
        </is>
      </c>
      <c r="C37" s="22" t="inlineStr">
        <is>
          <t>Link: Raw Data - Ops KPIs</t>
        </is>
      </c>
      <c r="D37" s="56">
        <f>'Raw Data - Ops KPIs'!D44</f>
        <v/>
      </c>
      <c r="E37" s="56">
        <f>'Raw Data - Ops KPIs'!E44</f>
        <v/>
      </c>
      <c r="F37" s="56">
        <f>'Raw Data - Ops KPIs'!F44</f>
        <v/>
      </c>
      <c r="G37" s="56">
        <f>'Raw Data - Ops KPIs'!G44</f>
        <v/>
      </c>
      <c r="H37" s="56">
        <f>'Raw Data - Ops KPIs'!H44</f>
        <v/>
      </c>
      <c r="I37" s="56">
        <f>'Raw Data - Ops KPIs'!I44</f>
        <v/>
      </c>
      <c r="J37" s="56">
        <f>'Raw Data - Ops KPIs'!J44</f>
        <v/>
      </c>
      <c r="K37" s="56">
        <f>'Raw Data - Ops KPIs'!K44</f>
        <v/>
      </c>
      <c r="L37" s="56">
        <f>'Raw Data - Ops KPIs'!L44</f>
        <v/>
      </c>
      <c r="M37" s="56">
        <f>'Raw Data - Ops KPIs'!M44</f>
        <v/>
      </c>
      <c r="N37" s="56">
        <f>'Raw Data - Ops KPIs'!N44</f>
        <v/>
      </c>
      <c r="O37" s="56">
        <f>'Raw Data - Ops KPIs'!O44</f>
        <v/>
      </c>
      <c r="P37" s="56">
        <f>'Raw Data - Ops KPIs'!P44</f>
        <v/>
      </c>
      <c r="Q37" s="56">
        <f>'Raw Data - Ops KPIs'!Q44</f>
        <v/>
      </c>
      <c r="R37" s="56">
        <f>'Raw Data - Ops KPIs'!R44</f>
        <v/>
      </c>
      <c r="S37" s="56">
        <f>'Raw Data - Ops KPIs'!S44</f>
        <v/>
      </c>
      <c r="T37" s="56">
        <f>'Raw Data - Ops KPIs'!T44</f>
        <v/>
      </c>
      <c r="U37" s="56">
        <f>'Raw Data - Ops KPIs'!U44</f>
        <v/>
      </c>
      <c r="V37" s="56">
        <f>'Raw Data - Ops KPIs'!V44</f>
        <v/>
      </c>
      <c r="W37" s="56">
        <f>'Raw Data - Ops KPIs'!W44</f>
        <v/>
      </c>
      <c r="AB37" s="19" t="n"/>
      <c r="AF37" s="56">
        <f>'Raw Data - Ops KPIs'!AF44</f>
        <v/>
      </c>
      <c r="AG37" s="56">
        <f>'Raw Data - Ops KPIs'!AG44</f>
        <v/>
      </c>
      <c r="AH37" s="56">
        <f>'Raw Data - Ops KPIs'!AH44</f>
        <v/>
      </c>
      <c r="AI37" s="56">
        <f>'Raw Data - Ops KPIs'!AI44</f>
        <v/>
      </c>
      <c r="AJ37" s="56">
        <f>'Raw Data - Ops KPIs'!AJ44</f>
        <v/>
      </c>
      <c r="AK37" s="56">
        <f>AK35*AK36</f>
        <v/>
      </c>
      <c r="AL37" s="56">
        <f>AL35*AL36</f>
        <v/>
      </c>
      <c r="AM37" s="56">
        <f>AM35*AM36</f>
        <v/>
      </c>
      <c r="AN37" s="56">
        <f>AN35*AN36</f>
        <v/>
      </c>
    </row>
    <row r="38" outlineLevel="1">
      <c r="A38" s="20" t="inlineStr">
        <is>
          <t xml:space="preserve">  Gross margin (% of NSV)</t>
        </is>
      </c>
      <c r="B38" s="17" t="inlineStr">
        <is>
          <t>%</t>
        </is>
      </c>
      <c r="C38" s="48" t="inlineStr">
        <is>
          <t>Assumption (edit me)</t>
        </is>
      </c>
      <c r="D38" s="49">
        <f>IFERROR(D39/D35,"")</f>
        <v/>
      </c>
      <c r="E38" s="49">
        <f>IFERROR(E39/E35,"")</f>
        <v/>
      </c>
      <c r="F38" s="49">
        <f>IFERROR(F39/F35,"")</f>
        <v/>
      </c>
      <c r="G38" s="49">
        <f>IFERROR(G39/G35,"")</f>
        <v/>
      </c>
      <c r="H38" s="49">
        <f>IFERROR(H39/H35,"")</f>
        <v/>
      </c>
      <c r="I38" s="49">
        <f>IFERROR(I39/I35,"")</f>
        <v/>
      </c>
      <c r="J38" s="49">
        <f>IFERROR(J39/J35,"")</f>
        <v/>
      </c>
      <c r="K38" s="49">
        <f>IFERROR(K39/K35,"")</f>
        <v/>
      </c>
      <c r="L38" s="49">
        <f>IFERROR(L39/L35,"")</f>
        <v/>
      </c>
      <c r="M38" s="49">
        <f>IFERROR(M39/M35,"")</f>
        <v/>
      </c>
      <c r="N38" s="49">
        <f>IFERROR(N39/N35,"")</f>
        <v/>
      </c>
      <c r="O38" s="49">
        <f>IFERROR(O39/O35,"")</f>
        <v/>
      </c>
      <c r="P38" s="49">
        <f>IFERROR(P39/P35,"")</f>
        <v/>
      </c>
      <c r="Q38" s="49">
        <f>IFERROR(Q39/Q35,"")</f>
        <v/>
      </c>
      <c r="R38" s="49">
        <f>IFERROR(R39/R35,"")</f>
        <v/>
      </c>
      <c r="S38" s="49">
        <f>IFERROR(S39/S35,"")</f>
        <v/>
      </c>
      <c r="T38" s="49">
        <f>IFERROR(T39/T35,"")</f>
        <v/>
      </c>
      <c r="U38" s="49">
        <f>IFERROR(U39/U35,"")</f>
        <v/>
      </c>
      <c r="V38" s="49">
        <f>IFERROR(V39/V35,"")</f>
        <v/>
      </c>
      <c r="W38" s="49">
        <f>IFERROR(W39/W35,"")</f>
        <v/>
      </c>
      <c r="AB38" s="19" t="n"/>
      <c r="AC38" s="52">
        <f>IFERROR(AC39/AC35,"")</f>
        <v/>
      </c>
      <c r="AD38" s="52">
        <f>IFERROR(AD39/AD35,"")</f>
        <v/>
      </c>
      <c r="AE38" s="52">
        <f>IFERROR(AE39/AE35,"")</f>
        <v/>
      </c>
      <c r="AF38" s="52">
        <f>IFERROR(AF39/AF35,"")</f>
        <v/>
      </c>
      <c r="AG38" s="52">
        <f>IFERROR(AG39/AG35,"")</f>
        <v/>
      </c>
      <c r="AH38" s="52">
        <f>IFERROR(AH39/AH35,"")</f>
        <v/>
      </c>
      <c r="AI38" s="52">
        <f>IFERROR(AI39/AI35,"")</f>
        <v/>
      </c>
      <c r="AJ38" s="52">
        <f>IFERROR(AJ39/AJ35,"")</f>
        <v/>
      </c>
      <c r="AK38" s="50" t="n">
        <v>0.447</v>
      </c>
      <c r="AL38" s="50" t="n">
        <v>0.447</v>
      </c>
      <c r="AM38" s="50" t="n">
        <v>0.447</v>
      </c>
      <c r="AN38" s="50" t="n">
        <v>0.447</v>
      </c>
    </row>
    <row r="39" outlineLevel="1">
      <c r="A39" s="20" t="inlineStr">
        <is>
          <t>Gross profit</t>
        </is>
      </c>
      <c r="B39" s="17" t="inlineStr">
        <is>
          <t>Rs Mn</t>
        </is>
      </c>
      <c r="C39" s="22" t="inlineStr">
        <is>
          <t>Link: Raw Data - Ops KPIs</t>
        </is>
      </c>
      <c r="D39" s="56">
        <f>'Raw Data - Ops KPIs'!D46</f>
        <v/>
      </c>
      <c r="E39" s="56">
        <f>'Raw Data - Ops KPIs'!E46</f>
        <v/>
      </c>
      <c r="F39" s="56">
        <f>'Raw Data - Ops KPIs'!F46</f>
        <v/>
      </c>
      <c r="G39" s="56">
        <f>'Raw Data - Ops KPIs'!G46</f>
        <v/>
      </c>
      <c r="H39" s="56">
        <f>'Raw Data - Ops KPIs'!H46</f>
        <v/>
      </c>
      <c r="I39" s="56">
        <f>'Raw Data - Ops KPIs'!I46</f>
        <v/>
      </c>
      <c r="J39" s="56">
        <f>'Raw Data - Ops KPIs'!J46</f>
        <v/>
      </c>
      <c r="K39" s="56">
        <f>'Raw Data - Ops KPIs'!K46</f>
        <v/>
      </c>
      <c r="L39" s="56">
        <f>'Raw Data - Ops KPIs'!L46</f>
        <v/>
      </c>
      <c r="M39" s="56">
        <f>'Raw Data - Ops KPIs'!M46</f>
        <v/>
      </c>
      <c r="N39" s="56">
        <f>'Raw Data - Ops KPIs'!N46</f>
        <v/>
      </c>
      <c r="O39" s="56">
        <f>'Raw Data - Ops KPIs'!O46</f>
        <v/>
      </c>
      <c r="P39" s="56">
        <f>'Raw Data - Ops KPIs'!P46</f>
        <v/>
      </c>
      <c r="Q39" s="56">
        <f>'Raw Data - Ops KPIs'!Q46</f>
        <v/>
      </c>
      <c r="R39" s="56">
        <f>'Raw Data - Ops KPIs'!R46</f>
        <v/>
      </c>
      <c r="S39" s="56">
        <f>'Raw Data - Ops KPIs'!S46</f>
        <v/>
      </c>
      <c r="T39" s="56">
        <f>'Raw Data - Ops KPIs'!T46</f>
        <v/>
      </c>
      <c r="U39" s="56">
        <f>'Raw Data - Ops KPIs'!U46</f>
        <v/>
      </c>
      <c r="V39" s="56">
        <f>'Raw Data - Ops KPIs'!V46</f>
        <v/>
      </c>
      <c r="W39" s="56">
        <f>'Raw Data - Ops KPIs'!W46</f>
        <v/>
      </c>
      <c r="AB39" s="19" t="n"/>
      <c r="AF39" s="56">
        <f>'Raw Data - Ops KPIs'!AF46</f>
        <v/>
      </c>
      <c r="AG39" s="56">
        <f>'Raw Data - Ops KPIs'!AG46</f>
        <v/>
      </c>
      <c r="AH39" s="56">
        <f>'Raw Data - Ops KPIs'!AH46</f>
        <v/>
      </c>
      <c r="AI39" s="56">
        <f>'Raw Data - Ops KPIs'!AI46</f>
        <v/>
      </c>
      <c r="AJ39" s="56">
        <f>'Raw Data - Ops KPIs'!AJ46</f>
        <v/>
      </c>
      <c r="AK39" s="56">
        <f>AK35*AK38</f>
        <v/>
      </c>
      <c r="AL39" s="56">
        <f>AL35*AL38</f>
        <v/>
      </c>
      <c r="AM39" s="56">
        <f>AM35*AM38</f>
        <v/>
      </c>
      <c r="AN39" s="56">
        <f>AN35*AN38</f>
        <v/>
      </c>
    </row>
    <row r="40" outlineLevel="1">
      <c r="A40" s="20" t="inlineStr">
        <is>
          <t xml:space="preserve">  Fulfilment (% of NSV)</t>
        </is>
      </c>
      <c r="B40" s="17" t="inlineStr">
        <is>
          <t>%</t>
        </is>
      </c>
      <c r="C40" s="48" t="inlineStr">
        <is>
          <t>Assumption (edit me)</t>
        </is>
      </c>
      <c r="D40" s="49">
        <f>IFERROR(D41/D35,"")</f>
        <v/>
      </c>
      <c r="E40" s="49">
        <f>IFERROR(E41/E35,"")</f>
        <v/>
      </c>
      <c r="F40" s="49">
        <f>IFERROR(F41/F35,"")</f>
        <v/>
      </c>
      <c r="G40" s="49">
        <f>IFERROR(G41/G35,"")</f>
        <v/>
      </c>
      <c r="H40" s="49">
        <f>IFERROR(H41/H35,"")</f>
        <v/>
      </c>
      <c r="I40" s="49">
        <f>IFERROR(I41/I35,"")</f>
        <v/>
      </c>
      <c r="J40" s="49">
        <f>IFERROR(J41/J35,"")</f>
        <v/>
      </c>
      <c r="K40" s="49">
        <f>IFERROR(K41/K35,"")</f>
        <v/>
      </c>
      <c r="L40" s="49">
        <f>IFERROR(L41/L35,"")</f>
        <v/>
      </c>
      <c r="M40" s="49">
        <f>IFERROR(M41/M35,"")</f>
        <v/>
      </c>
      <c r="N40" s="49">
        <f>IFERROR(N41/N35,"")</f>
        <v/>
      </c>
      <c r="O40" s="49">
        <f>IFERROR(O41/O35,"")</f>
        <v/>
      </c>
      <c r="P40" s="49">
        <f>IFERROR(P41/P35,"")</f>
        <v/>
      </c>
      <c r="Q40" s="49">
        <f>IFERROR(Q41/Q35,"")</f>
        <v/>
      </c>
      <c r="R40" s="49">
        <f>IFERROR(R41/R35,"")</f>
        <v/>
      </c>
      <c r="S40" s="49">
        <f>IFERROR(S41/S35,"")</f>
        <v/>
      </c>
      <c r="T40" s="49">
        <f>IFERROR(T41/T35,"")</f>
        <v/>
      </c>
      <c r="U40" s="49">
        <f>IFERROR(U41/U35,"")</f>
        <v/>
      </c>
      <c r="V40" s="49">
        <f>IFERROR(V41/V35,"")</f>
        <v/>
      </c>
      <c r="W40" s="49">
        <f>IFERROR(W41/W35,"")</f>
        <v/>
      </c>
      <c r="AB40" s="19" t="n"/>
      <c r="AC40" s="52">
        <f>IFERROR(AC41/AC35,"")</f>
        <v/>
      </c>
      <c r="AD40" s="52">
        <f>IFERROR(AD41/AD35,"")</f>
        <v/>
      </c>
      <c r="AE40" s="52">
        <f>IFERROR(AE41/AE35,"")</f>
        <v/>
      </c>
      <c r="AF40" s="52">
        <f>IFERROR(AF41/AF35,"")</f>
        <v/>
      </c>
      <c r="AG40" s="52">
        <f>IFERROR(AG41/AG35,"")</f>
        <v/>
      </c>
      <c r="AH40" s="52">
        <f>IFERROR(AH41/AH35,"")</f>
        <v/>
      </c>
      <c r="AI40" s="52">
        <f>IFERROR(AI41/AI35,"")</f>
        <v/>
      </c>
      <c r="AJ40" s="52">
        <f>IFERROR(AJ41/AJ35,"")</f>
        <v/>
      </c>
      <c r="AK40" s="50" t="n">
        <v>0.093</v>
      </c>
      <c r="AL40" s="50" t="n">
        <v>0.093</v>
      </c>
      <c r="AM40" s="50" t="n">
        <v>0.093</v>
      </c>
      <c r="AN40" s="50" t="n">
        <v>0.093</v>
      </c>
    </row>
    <row r="41" outlineLevel="1">
      <c r="A41" s="20" t="inlineStr">
        <is>
          <t>Fulfilment cost</t>
        </is>
      </c>
      <c r="B41" s="17" t="inlineStr">
        <is>
          <t>Rs Mn</t>
        </is>
      </c>
      <c r="C41" s="22" t="inlineStr">
        <is>
          <t>Link: Raw Data - Ops KPIs</t>
        </is>
      </c>
      <c r="D41" s="56">
        <f>'Raw Data - Ops KPIs'!D48</f>
        <v/>
      </c>
      <c r="E41" s="56">
        <f>'Raw Data - Ops KPIs'!E48</f>
        <v/>
      </c>
      <c r="F41" s="56">
        <f>'Raw Data - Ops KPIs'!F48</f>
        <v/>
      </c>
      <c r="G41" s="56">
        <f>'Raw Data - Ops KPIs'!G48</f>
        <v/>
      </c>
      <c r="H41" s="56">
        <f>'Raw Data - Ops KPIs'!H48</f>
        <v/>
      </c>
      <c r="I41" s="56">
        <f>'Raw Data - Ops KPIs'!I48</f>
        <v/>
      </c>
      <c r="J41" s="56">
        <f>'Raw Data - Ops KPIs'!J48</f>
        <v/>
      </c>
      <c r="K41" s="56">
        <f>'Raw Data - Ops KPIs'!K48</f>
        <v/>
      </c>
      <c r="L41" s="56">
        <f>'Raw Data - Ops KPIs'!L48</f>
        <v/>
      </c>
      <c r="M41" s="56">
        <f>'Raw Data - Ops KPIs'!M48</f>
        <v/>
      </c>
      <c r="N41" s="56">
        <f>'Raw Data - Ops KPIs'!N48</f>
        <v/>
      </c>
      <c r="O41" s="56">
        <f>'Raw Data - Ops KPIs'!O48</f>
        <v/>
      </c>
      <c r="P41" s="56">
        <f>'Raw Data - Ops KPIs'!P48</f>
        <v/>
      </c>
      <c r="Q41" s="56">
        <f>'Raw Data - Ops KPIs'!Q48</f>
        <v/>
      </c>
      <c r="R41" s="56">
        <f>'Raw Data - Ops KPIs'!R48</f>
        <v/>
      </c>
      <c r="S41" s="56">
        <f>'Raw Data - Ops KPIs'!S48</f>
        <v/>
      </c>
      <c r="T41" s="56">
        <f>'Raw Data - Ops KPIs'!T48</f>
        <v/>
      </c>
      <c r="U41" s="56">
        <f>'Raw Data - Ops KPIs'!U48</f>
        <v/>
      </c>
      <c r="V41" s="56">
        <f>'Raw Data - Ops KPIs'!V48</f>
        <v/>
      </c>
      <c r="W41" s="56">
        <f>'Raw Data - Ops KPIs'!W48</f>
        <v/>
      </c>
      <c r="AB41" s="19" t="n"/>
      <c r="AF41" s="56">
        <f>'Raw Data - Ops KPIs'!AF48</f>
        <v/>
      </c>
      <c r="AG41" s="56">
        <f>'Raw Data - Ops KPIs'!AG48</f>
        <v/>
      </c>
      <c r="AH41" s="56">
        <f>'Raw Data - Ops KPIs'!AH48</f>
        <v/>
      </c>
      <c r="AI41" s="56">
        <f>'Raw Data - Ops KPIs'!AI48</f>
        <v/>
      </c>
      <c r="AJ41" s="56">
        <f>'Raw Data - Ops KPIs'!AJ48</f>
        <v/>
      </c>
      <c r="AK41" s="56">
        <f>AK35*AK40</f>
        <v/>
      </c>
      <c r="AL41" s="56">
        <f>AL35*AL40</f>
        <v/>
      </c>
      <c r="AM41" s="56">
        <f>AM35*AM40</f>
        <v/>
      </c>
      <c r="AN41" s="56">
        <f>AN35*AN40</f>
        <v/>
      </c>
    </row>
    <row r="42" outlineLevel="2">
      <c r="A42" s="20" t="inlineStr">
        <is>
          <t xml:space="preserve">  o/w Marketing (historical, linked)</t>
        </is>
      </c>
      <c r="B42" s="17" t="inlineStr">
        <is>
          <t>Rs Mn</t>
        </is>
      </c>
      <c r="C42" s="22" t="inlineStr">
        <is>
          <t>Link: Raw Data - Ops KPIs</t>
        </is>
      </c>
      <c r="D42" s="56">
        <f>'Raw Data - Ops KPIs'!D49</f>
        <v/>
      </c>
      <c r="E42" s="56">
        <f>'Raw Data - Ops KPIs'!E49</f>
        <v/>
      </c>
      <c r="F42" s="56">
        <f>'Raw Data - Ops KPIs'!F49</f>
        <v/>
      </c>
      <c r="G42" s="56">
        <f>'Raw Data - Ops KPIs'!G49</f>
        <v/>
      </c>
      <c r="H42" s="56">
        <f>'Raw Data - Ops KPIs'!H49</f>
        <v/>
      </c>
      <c r="I42" s="56">
        <f>'Raw Data - Ops KPIs'!I49</f>
        <v/>
      </c>
      <c r="J42" s="56">
        <f>'Raw Data - Ops KPIs'!J49</f>
        <v/>
      </c>
      <c r="K42" s="56">
        <f>'Raw Data - Ops KPIs'!K49</f>
        <v/>
      </c>
      <c r="L42" s="56">
        <f>'Raw Data - Ops KPIs'!L49</f>
        <v/>
      </c>
      <c r="M42" s="56">
        <f>'Raw Data - Ops KPIs'!M49</f>
        <v/>
      </c>
      <c r="N42" s="56">
        <f>'Raw Data - Ops KPIs'!N49</f>
        <v/>
      </c>
      <c r="O42" s="56">
        <f>'Raw Data - Ops KPIs'!O49</f>
        <v/>
      </c>
      <c r="P42" s="56">
        <f>'Raw Data - Ops KPIs'!P49</f>
        <v/>
      </c>
      <c r="Q42" s="56">
        <f>'Raw Data - Ops KPIs'!Q49</f>
        <v/>
      </c>
      <c r="R42" s="56">
        <f>'Raw Data - Ops KPIs'!R49</f>
        <v/>
      </c>
      <c r="S42" s="56">
        <f>'Raw Data - Ops KPIs'!S49</f>
        <v/>
      </c>
      <c r="T42" s="56">
        <f>'Raw Data - Ops KPIs'!T49</f>
        <v/>
      </c>
      <c r="U42" s="56">
        <f>'Raw Data - Ops KPIs'!U49</f>
        <v/>
      </c>
      <c r="V42" s="56">
        <f>'Raw Data - Ops KPIs'!V49</f>
        <v/>
      </c>
      <c r="W42" s="56">
        <f>'Raw Data - Ops KPIs'!W49</f>
        <v/>
      </c>
      <c r="AB42" s="19" t="n"/>
      <c r="AF42" s="56">
        <f>'Raw Data - Ops KPIs'!AF49</f>
        <v/>
      </c>
      <c r="AG42" s="56">
        <f>'Raw Data - Ops KPIs'!AG49</f>
        <v/>
      </c>
      <c r="AH42" s="56">
        <f>'Raw Data - Ops KPIs'!AH49</f>
        <v/>
      </c>
      <c r="AI42" s="56">
        <f>'Raw Data - Ops KPIs'!AI49</f>
        <v/>
      </c>
      <c r="AJ42" s="56">
        <f>'Raw Data - Ops KPIs'!AJ49</f>
        <v/>
      </c>
    </row>
    <row r="43" outlineLevel="2">
      <c r="A43" s="20" t="inlineStr">
        <is>
          <t xml:space="preserve">  o/w Selling &amp; distribution (historical, linked)</t>
        </is>
      </c>
      <c r="B43" s="17" t="inlineStr">
        <is>
          <t>Rs Mn</t>
        </is>
      </c>
      <c r="C43" s="22" t="inlineStr">
        <is>
          <t>Link: Raw Data - Ops KPIs</t>
        </is>
      </c>
      <c r="D43" s="56">
        <f>'Raw Data - Ops KPIs'!D50</f>
        <v/>
      </c>
      <c r="E43" s="56">
        <f>'Raw Data - Ops KPIs'!E50</f>
        <v/>
      </c>
      <c r="F43" s="56">
        <f>'Raw Data - Ops KPIs'!F50</f>
        <v/>
      </c>
      <c r="G43" s="56">
        <f>'Raw Data - Ops KPIs'!G50</f>
        <v/>
      </c>
      <c r="H43" s="56">
        <f>'Raw Data - Ops KPIs'!H50</f>
        <v/>
      </c>
      <c r="I43" s="56">
        <f>'Raw Data - Ops KPIs'!I50</f>
        <v/>
      </c>
      <c r="J43" s="56">
        <f>'Raw Data - Ops KPIs'!J50</f>
        <v/>
      </c>
      <c r="K43" s="56">
        <f>'Raw Data - Ops KPIs'!K50</f>
        <v/>
      </c>
      <c r="L43" s="56">
        <f>'Raw Data - Ops KPIs'!L50</f>
        <v/>
      </c>
      <c r="M43" s="56">
        <f>'Raw Data - Ops KPIs'!M50</f>
        <v/>
      </c>
      <c r="N43" s="56">
        <f>'Raw Data - Ops KPIs'!N50</f>
        <v/>
      </c>
      <c r="O43" s="56">
        <f>'Raw Data - Ops KPIs'!O50</f>
        <v/>
      </c>
      <c r="P43" s="56">
        <f>'Raw Data - Ops KPIs'!P50</f>
        <v/>
      </c>
      <c r="Q43" s="56">
        <f>'Raw Data - Ops KPIs'!Q50</f>
        <v/>
      </c>
      <c r="R43" s="56">
        <f>'Raw Data - Ops KPIs'!R50</f>
        <v/>
      </c>
      <c r="S43" s="56">
        <f>'Raw Data - Ops KPIs'!S50</f>
        <v/>
      </c>
      <c r="T43" s="56">
        <f>'Raw Data - Ops KPIs'!T50</f>
        <v/>
      </c>
      <c r="U43" s="56">
        <f>'Raw Data - Ops KPIs'!U50</f>
        <v/>
      </c>
      <c r="V43" s="56">
        <f>'Raw Data - Ops KPIs'!V50</f>
        <v/>
      </c>
      <c r="W43" s="56">
        <f>'Raw Data - Ops KPIs'!W50</f>
        <v/>
      </c>
      <c r="AB43" s="19" t="n"/>
      <c r="AF43" s="56">
        <f>'Raw Data - Ops KPIs'!AF50</f>
        <v/>
      </c>
      <c r="AG43" s="56">
        <f>'Raw Data - Ops KPIs'!AG50</f>
        <v/>
      </c>
      <c r="AH43" s="56">
        <f>'Raw Data - Ops KPIs'!AH50</f>
        <v/>
      </c>
      <c r="AI43" s="56">
        <f>'Raw Data - Ops KPIs'!AI50</f>
        <v/>
      </c>
      <c r="AJ43" s="56">
        <f>'Raw Data - Ops KPIs'!AJ50</f>
        <v/>
      </c>
    </row>
    <row r="44" outlineLevel="1">
      <c r="A44" s="20" t="inlineStr">
        <is>
          <t xml:space="preserve">  Marketing &amp; S&amp;D (% of NSV, combined)</t>
        </is>
      </c>
      <c r="B44" s="17" t="inlineStr">
        <is>
          <t>%</t>
        </is>
      </c>
      <c r="C44" s="48" t="inlineStr">
        <is>
          <t>Assumption (edit me)</t>
        </is>
      </c>
      <c r="D44" s="49">
        <f>IFERROR(D45/D35,"")</f>
        <v/>
      </c>
      <c r="E44" s="49">
        <f>IFERROR(E45/E35,"")</f>
        <v/>
      </c>
      <c r="F44" s="49">
        <f>IFERROR(F45/F35,"")</f>
        <v/>
      </c>
      <c r="G44" s="49">
        <f>IFERROR(G45/G35,"")</f>
        <v/>
      </c>
      <c r="H44" s="49">
        <f>IFERROR(H45/H35,"")</f>
        <v/>
      </c>
      <c r="I44" s="49">
        <f>IFERROR(I45/I35,"")</f>
        <v/>
      </c>
      <c r="J44" s="49">
        <f>IFERROR(J45/J35,"")</f>
        <v/>
      </c>
      <c r="K44" s="49">
        <f>IFERROR(K45/K35,"")</f>
        <v/>
      </c>
      <c r="L44" s="49">
        <f>IFERROR(L45/L35,"")</f>
        <v/>
      </c>
      <c r="M44" s="49">
        <f>IFERROR(M45/M35,"")</f>
        <v/>
      </c>
      <c r="N44" s="49">
        <f>IFERROR(N45/N35,"")</f>
        <v/>
      </c>
      <c r="O44" s="49">
        <f>IFERROR(O45/O35,"")</f>
        <v/>
      </c>
      <c r="P44" s="49">
        <f>IFERROR(P45/P35,"")</f>
        <v/>
      </c>
      <c r="Q44" s="49">
        <f>IFERROR(Q45/Q35,"")</f>
        <v/>
      </c>
      <c r="R44" s="49">
        <f>IFERROR(R45/R35,"")</f>
        <v/>
      </c>
      <c r="S44" s="49">
        <f>IFERROR(S45/S35,"")</f>
        <v/>
      </c>
      <c r="T44" s="49">
        <f>IFERROR(T45/T35,"")</f>
        <v/>
      </c>
      <c r="U44" s="49">
        <f>IFERROR(U45/U35,"")</f>
        <v/>
      </c>
      <c r="V44" s="49">
        <f>IFERROR(V45/V35,"")</f>
        <v/>
      </c>
      <c r="W44" s="49">
        <f>IFERROR(W45/W35,"")</f>
        <v/>
      </c>
      <c r="AB44" s="19" t="n"/>
      <c r="AC44" s="52">
        <f>IFERROR(AC45/AC35,"")</f>
        <v/>
      </c>
      <c r="AD44" s="52">
        <f>IFERROR(AD45/AD35,"")</f>
        <v/>
      </c>
      <c r="AE44" s="52">
        <f>IFERROR(AE45/AE35,"")</f>
        <v/>
      </c>
      <c r="AF44" s="52">
        <f>IFERROR(AF45/AF35,"")</f>
        <v/>
      </c>
      <c r="AG44" s="52">
        <f>IFERROR(AG45/AG35,"")</f>
        <v/>
      </c>
      <c r="AH44" s="52">
        <f>IFERROR(AH45/AH35,"")</f>
        <v/>
      </c>
      <c r="AI44" s="52">
        <f>IFERROR(AI45/AI35,"")</f>
        <v/>
      </c>
      <c r="AJ44" s="52">
        <f>IFERROR(AJ45/AJ35,"")</f>
        <v/>
      </c>
      <c r="AK44" s="50" t="n">
        <v>0.128</v>
      </c>
      <c r="AL44" s="50" t="n">
        <v>0.128</v>
      </c>
      <c r="AM44" s="50" t="n">
        <v>0.128</v>
      </c>
      <c r="AN44" s="50" t="n">
        <v>0.128</v>
      </c>
    </row>
    <row r="45" outlineLevel="1">
      <c r="A45" s="20" t="inlineStr">
        <is>
          <t>Marketing &amp; S&amp;D expense (combined)</t>
        </is>
      </c>
      <c r="B45" s="17" t="inlineStr">
        <is>
          <t>Rs Mn</t>
        </is>
      </c>
      <c r="C45" s="22" t="inlineStr">
        <is>
          <t>Formula</t>
        </is>
      </c>
      <c r="D45" s="55">
        <f>IF(AND(D42="",D43=""),"",IF(D42="",0,D42)+IF(D43="",0,D43))</f>
        <v/>
      </c>
      <c r="E45" s="55">
        <f>IF(AND(E42="",E43=""),"",IF(E42="",0,E42)+IF(E43="",0,E43))</f>
        <v/>
      </c>
      <c r="F45" s="55">
        <f>IF(AND(F42="",F43=""),"",IF(F42="",0,F42)+IF(F43="",0,F43))</f>
        <v/>
      </c>
      <c r="G45" s="55">
        <f>IF(AND(G42="",G43=""),"",IF(G42="",0,G42)+IF(G43="",0,G43))</f>
        <v/>
      </c>
      <c r="H45" s="55">
        <f>IF(AND(H42="",H43=""),"",IF(H42="",0,H42)+IF(H43="",0,H43))</f>
        <v/>
      </c>
      <c r="I45" s="55">
        <f>IF(AND(I42="",I43=""),"",IF(I42="",0,I42)+IF(I43="",0,I43))</f>
        <v/>
      </c>
      <c r="J45" s="55">
        <f>IF(AND(J42="",J43=""),"",IF(J42="",0,J42)+IF(J43="",0,J43))</f>
        <v/>
      </c>
      <c r="K45" s="55">
        <f>IF(AND(K42="",K43=""),"",IF(K42="",0,K42)+IF(K43="",0,K43))</f>
        <v/>
      </c>
      <c r="L45" s="55">
        <f>IF(AND(L42="",L43=""),"",IF(L42="",0,L42)+IF(L43="",0,L43))</f>
        <v/>
      </c>
      <c r="M45" s="55">
        <f>IF(AND(M42="",M43=""),"",IF(M42="",0,M42)+IF(M43="",0,M43))</f>
        <v/>
      </c>
      <c r="N45" s="55">
        <f>IF(AND(N42="",N43=""),"",IF(N42="",0,N42)+IF(N43="",0,N43))</f>
        <v/>
      </c>
      <c r="O45" s="55">
        <f>IF(AND(O42="",O43=""),"",IF(O42="",0,O42)+IF(O43="",0,O43))</f>
        <v/>
      </c>
      <c r="P45" s="55">
        <f>IF(AND(P42="",P43=""),"",IF(P42="",0,P42)+IF(P43="",0,P43))</f>
        <v/>
      </c>
      <c r="Q45" s="55">
        <f>IF(AND(Q42="",Q43=""),"",IF(Q42="",0,Q42)+IF(Q43="",0,Q43))</f>
        <v/>
      </c>
      <c r="R45" s="55">
        <f>IF(AND(R42="",R43=""),"",IF(R42="",0,R42)+IF(R43="",0,R43))</f>
        <v/>
      </c>
      <c r="S45" s="55">
        <f>IF(AND(S42="",S43=""),"",IF(S42="",0,S42)+IF(S43="",0,S43))</f>
        <v/>
      </c>
      <c r="T45" s="55">
        <f>IF(AND(T42="",T43=""),"",IF(T42="",0,T42)+IF(T43="",0,T43))</f>
        <v/>
      </c>
      <c r="U45" s="55">
        <f>IF(AND(U42="",U43=""),"",IF(U42="",0,U42)+IF(U43="",0,U43))</f>
        <v/>
      </c>
      <c r="V45" s="55">
        <f>IF(AND(V42="",V43=""),"",IF(V42="",0,V42)+IF(V43="",0,V43))</f>
        <v/>
      </c>
      <c r="W45" s="55">
        <f>IF(AND(W42="",W43=""),"",IF(W42="",0,W42)+IF(W43="",0,W43))</f>
        <v/>
      </c>
      <c r="AB45" s="19" t="n"/>
      <c r="AC45" s="56">
        <f>IF(AND(AC42="",AC43=""),"",IF(AC42="",0,AC42)+IF(AC43="",0,AC43))</f>
        <v/>
      </c>
      <c r="AD45" s="56">
        <f>IF(AND(AD42="",AD43=""),"",IF(AD42="",0,AD42)+IF(AD43="",0,AD43))</f>
        <v/>
      </c>
      <c r="AE45" s="56">
        <f>IF(AND(AE42="",AE43=""),"",IF(AE42="",0,AE42)+IF(AE43="",0,AE43))</f>
        <v/>
      </c>
      <c r="AF45" s="56">
        <f>IF(AND(AF42="",AF43=""),"",IF(AF42="",0,AF42)+IF(AF43="",0,AF43))</f>
        <v/>
      </c>
      <c r="AG45" s="56">
        <f>IF(AND(AG42="",AG43=""),"",IF(AG42="",0,AG42)+IF(AG43="",0,AG43))</f>
        <v/>
      </c>
      <c r="AH45" s="56">
        <f>IF(AND(AH42="",AH43=""),"",IF(AH42="",0,AH42)+IF(AH43="",0,AH43))</f>
        <v/>
      </c>
      <c r="AI45" s="56">
        <f>IF(AND(AI42="",AI43=""),"",IF(AI42="",0,AI42)+IF(AI43="",0,AI43))</f>
        <v/>
      </c>
      <c r="AJ45" s="56">
        <f>IF(AND(AJ42="",AJ43=""),"",IF(AJ42="",0,AJ42)+IF(AJ43="",0,AJ43))</f>
        <v/>
      </c>
      <c r="AK45" s="56">
        <f>AK35*AK44</f>
        <v/>
      </c>
      <c r="AL45" s="56">
        <f>AL35*AL44</f>
        <v/>
      </c>
      <c r="AM45" s="56">
        <f>AM35*AM44</f>
        <v/>
      </c>
      <c r="AN45" s="56">
        <f>AN35*AN44</f>
        <v/>
      </c>
    </row>
    <row r="46" outlineLevel="1">
      <c r="A46" s="20" t="inlineStr">
        <is>
          <t>Contribution profit</t>
        </is>
      </c>
      <c r="B46" s="17" t="inlineStr">
        <is>
          <t>Rs Mn</t>
        </is>
      </c>
      <c r="C46" s="22" t="inlineStr">
        <is>
          <t>Formula</t>
        </is>
      </c>
      <c r="D46" s="55">
        <f>IFERROR(D39-D41-D45,"")</f>
        <v/>
      </c>
      <c r="E46" s="55">
        <f>IFERROR(E39-E41-E45,"")</f>
        <v/>
      </c>
      <c r="F46" s="55">
        <f>IFERROR(F39-F41-F45,"")</f>
        <v/>
      </c>
      <c r="G46" s="55">
        <f>IFERROR(G39-G41-G45,"")</f>
        <v/>
      </c>
      <c r="H46" s="55">
        <f>IFERROR(H39-H41-H45,"")</f>
        <v/>
      </c>
      <c r="I46" s="55">
        <f>IFERROR(I39-I41-I45,"")</f>
        <v/>
      </c>
      <c r="J46" s="55">
        <f>IFERROR(J39-J41-J45,"")</f>
        <v/>
      </c>
      <c r="K46" s="55">
        <f>IFERROR(K39-K41-K45,"")</f>
        <v/>
      </c>
      <c r="L46" s="55">
        <f>IFERROR(L39-L41-L45,"")</f>
        <v/>
      </c>
      <c r="M46" s="55">
        <f>IFERROR(M39-M41-M45,"")</f>
        <v/>
      </c>
      <c r="N46" s="55">
        <f>IFERROR(N39-N41-N45,"")</f>
        <v/>
      </c>
      <c r="O46" s="55">
        <f>IFERROR(O39-O41-O45,"")</f>
        <v/>
      </c>
      <c r="P46" s="55">
        <f>IFERROR(P39-P41-P45,"")</f>
        <v/>
      </c>
      <c r="Q46" s="55">
        <f>IFERROR(Q39-Q41-Q45,"")</f>
        <v/>
      </c>
      <c r="R46" s="55">
        <f>IFERROR(R39-R41-R45,"")</f>
        <v/>
      </c>
      <c r="S46" s="55">
        <f>IFERROR(S39-S41-S45,"")</f>
        <v/>
      </c>
      <c r="T46" s="55">
        <f>IFERROR(T39-T41-T45,"")</f>
        <v/>
      </c>
      <c r="U46" s="55">
        <f>IFERROR(U39-U41-U45,"")</f>
        <v/>
      </c>
      <c r="V46" s="55">
        <f>IFERROR(V39-V41-V45,"")</f>
        <v/>
      </c>
      <c r="W46" s="55">
        <f>IFERROR(W39-W41-W45,"")</f>
        <v/>
      </c>
      <c r="AB46" s="19" t="n"/>
      <c r="AC46" s="56">
        <f>IFERROR(AC39-AC41-AC45,"")</f>
        <v/>
      </c>
      <c r="AD46" s="56">
        <f>IFERROR(AD39-AD41-AD45,"")</f>
        <v/>
      </c>
      <c r="AE46" s="56">
        <f>IFERROR(AE39-AE41-AE45,"")</f>
        <v/>
      </c>
      <c r="AF46" s="56">
        <f>IFERROR(AF39-AF41-AF45,"")</f>
        <v/>
      </c>
      <c r="AG46" s="56">
        <f>IFERROR(AG39-AG41-AG45,"")</f>
        <v/>
      </c>
      <c r="AH46" s="56">
        <f>IFERROR(AH39-AH41-AH45,"")</f>
        <v/>
      </c>
      <c r="AI46" s="56">
        <f>IFERROR(AI39-AI41-AI45,"")</f>
        <v/>
      </c>
      <c r="AJ46" s="56">
        <f>IFERROR(AJ39-AJ41-AJ45,"")</f>
        <v/>
      </c>
      <c r="AK46" s="56">
        <f>IFERROR(AK39-AK41-AK45,"")</f>
        <v/>
      </c>
      <c r="AL46" s="56">
        <f>IFERROR(AL39-AL41-AL45,"")</f>
        <v/>
      </c>
      <c r="AM46" s="56">
        <f>IFERROR(AM39-AM41-AM45,"")</f>
        <v/>
      </c>
      <c r="AN46" s="56">
        <f>IFERROR(AN39-AN41-AN45,"")</f>
        <v/>
      </c>
    </row>
    <row r="47" outlineLevel="1">
      <c r="A47" s="20" t="inlineStr">
        <is>
          <t xml:space="preserve">  Contribution margin (% of NSV)</t>
        </is>
      </c>
      <c r="B47" s="17" t="inlineStr">
        <is>
          <t>%</t>
        </is>
      </c>
      <c r="C47" s="22" t="inlineStr">
        <is>
          <t>Formula</t>
        </is>
      </c>
      <c r="D47" s="49">
        <f>IFERROR(D46/D35,"")</f>
        <v/>
      </c>
      <c r="E47" s="49">
        <f>IFERROR(E46/E35,"")</f>
        <v/>
      </c>
      <c r="F47" s="49">
        <f>IFERROR(F46/F35,"")</f>
        <v/>
      </c>
      <c r="G47" s="49">
        <f>IFERROR(G46/G35,"")</f>
        <v/>
      </c>
      <c r="H47" s="49">
        <f>IFERROR(H46/H35,"")</f>
        <v/>
      </c>
      <c r="I47" s="49">
        <f>IFERROR(I46/I35,"")</f>
        <v/>
      </c>
      <c r="J47" s="49">
        <f>IFERROR(J46/J35,"")</f>
        <v/>
      </c>
      <c r="K47" s="49">
        <f>IFERROR(K46/K35,"")</f>
        <v/>
      </c>
      <c r="L47" s="49">
        <f>IFERROR(L46/L35,"")</f>
        <v/>
      </c>
      <c r="M47" s="49">
        <f>IFERROR(M46/M35,"")</f>
        <v/>
      </c>
      <c r="N47" s="49">
        <f>IFERROR(N46/N35,"")</f>
        <v/>
      </c>
      <c r="O47" s="49">
        <f>IFERROR(O46/O35,"")</f>
        <v/>
      </c>
      <c r="P47" s="49">
        <f>IFERROR(P46/P35,"")</f>
        <v/>
      </c>
      <c r="Q47" s="49">
        <f>IFERROR(Q46/Q35,"")</f>
        <v/>
      </c>
      <c r="R47" s="49">
        <f>IFERROR(R46/R35,"")</f>
        <v/>
      </c>
      <c r="S47" s="49">
        <f>IFERROR(S46/S35,"")</f>
        <v/>
      </c>
      <c r="T47" s="49">
        <f>IFERROR(T46/T35,"")</f>
        <v/>
      </c>
      <c r="U47" s="49">
        <f>IFERROR(U46/U35,"")</f>
        <v/>
      </c>
      <c r="V47" s="49">
        <f>IFERROR(V46/V35,"")</f>
        <v/>
      </c>
      <c r="W47" s="49">
        <f>IFERROR(W46/W35,"")</f>
        <v/>
      </c>
      <c r="AB47" s="19" t="n"/>
      <c r="AC47" s="52">
        <f>IFERROR(AC46/AC35,"")</f>
        <v/>
      </c>
      <c r="AD47" s="52">
        <f>IFERROR(AD46/AD35,"")</f>
        <v/>
      </c>
      <c r="AE47" s="52">
        <f>IFERROR(AE46/AE35,"")</f>
        <v/>
      </c>
      <c r="AF47" s="52">
        <f>IFERROR(AF46/AF35,"")</f>
        <v/>
      </c>
      <c r="AG47" s="52">
        <f>IFERROR(AG46/AG35,"")</f>
        <v/>
      </c>
      <c r="AH47" s="52">
        <f>IFERROR(AH46/AH35,"")</f>
        <v/>
      </c>
      <c r="AI47" s="52">
        <f>IFERROR(AI46/AI35,"")</f>
        <v/>
      </c>
      <c r="AJ47" s="52">
        <f>IFERROR(AJ46/AJ35,"")</f>
        <v/>
      </c>
      <c r="AK47" s="52">
        <f>IFERROR(AK46/AK35,"")</f>
        <v/>
      </c>
      <c r="AL47" s="52">
        <f>IFERROR(AL46/AL35,"")</f>
        <v/>
      </c>
      <c r="AM47" s="52">
        <f>IFERROR(AM46/AM35,"")</f>
        <v/>
      </c>
      <c r="AN47" s="52">
        <f>IFERROR(AN46/AN35,"")</f>
        <v/>
      </c>
    </row>
    <row r="48" outlineLevel="1">
      <c r="A48" s="20" t="inlineStr">
        <is>
          <t xml:space="preserve">  Other expenses (% of NSV)</t>
        </is>
      </c>
      <c r="B48" s="17" t="inlineStr">
        <is>
          <t>%</t>
        </is>
      </c>
      <c r="C48" s="48" t="inlineStr">
        <is>
          <t>Assumption (edit me)</t>
        </is>
      </c>
      <c r="D48" s="49">
        <f>IFERROR(D49/D35,"")</f>
        <v/>
      </c>
      <c r="E48" s="49">
        <f>IFERROR(E49/E35,"")</f>
        <v/>
      </c>
      <c r="F48" s="49">
        <f>IFERROR(F49/F35,"")</f>
        <v/>
      </c>
      <c r="G48" s="49">
        <f>IFERROR(G49/G35,"")</f>
        <v/>
      </c>
      <c r="H48" s="49">
        <f>IFERROR(H49/H35,"")</f>
        <v/>
      </c>
      <c r="I48" s="49">
        <f>IFERROR(I49/I35,"")</f>
        <v/>
      </c>
      <c r="J48" s="49">
        <f>IFERROR(J49/J35,"")</f>
        <v/>
      </c>
      <c r="K48" s="49">
        <f>IFERROR(K49/K35,"")</f>
        <v/>
      </c>
      <c r="L48" s="49">
        <f>IFERROR(L49/L35,"")</f>
        <v/>
      </c>
      <c r="M48" s="49">
        <f>IFERROR(M49/M35,"")</f>
        <v/>
      </c>
      <c r="N48" s="49">
        <f>IFERROR(N49/N35,"")</f>
        <v/>
      </c>
      <c r="O48" s="49">
        <f>IFERROR(O49/O35,"")</f>
        <v/>
      </c>
      <c r="P48" s="49">
        <f>IFERROR(P49/P35,"")</f>
        <v/>
      </c>
      <c r="Q48" s="49">
        <f>IFERROR(Q49/Q35,"")</f>
        <v/>
      </c>
      <c r="R48" s="49">
        <f>IFERROR(R49/R35,"")</f>
        <v/>
      </c>
      <c r="S48" s="49">
        <f>IFERROR(S49/S35,"")</f>
        <v/>
      </c>
      <c r="T48" s="49">
        <f>IFERROR(T49/T35,"")</f>
        <v/>
      </c>
      <c r="U48" s="49">
        <f>IFERROR(U49/U35,"")</f>
        <v/>
      </c>
      <c r="V48" s="49">
        <f>IFERROR(V49/V35,"")</f>
        <v/>
      </c>
      <c r="W48" s="49">
        <f>IFERROR(W49/W35,"")</f>
        <v/>
      </c>
      <c r="AB48" s="19" t="n"/>
      <c r="AC48" s="52">
        <f>IFERROR(AC49/AC35,"")</f>
        <v/>
      </c>
      <c r="AD48" s="52">
        <f>IFERROR(AD49/AD35,"")</f>
        <v/>
      </c>
      <c r="AE48" s="52">
        <f>IFERROR(AE49/AE35,"")</f>
        <v/>
      </c>
      <c r="AF48" s="52">
        <f>IFERROR(AF49/AF35,"")</f>
        <v/>
      </c>
      <c r="AG48" s="52">
        <f>IFERROR(AG49/AG35,"")</f>
        <v/>
      </c>
      <c r="AH48" s="52">
        <f>IFERROR(AH49/AH35,"")</f>
        <v/>
      </c>
      <c r="AI48" s="52">
        <f>IFERROR(AI49/AI35,"")</f>
        <v/>
      </c>
      <c r="AJ48" s="52">
        <f>IFERROR(AJ49/AJ35,"")</f>
        <v/>
      </c>
      <c r="AK48" s="50" t="n">
        <v>0.129</v>
      </c>
      <c r="AL48" s="50" t="n">
        <v>0.129</v>
      </c>
      <c r="AM48" s="50" t="n">
        <v>0.129</v>
      </c>
      <c r="AN48" s="50" t="n">
        <v>0.129</v>
      </c>
    </row>
    <row r="49" outlineLevel="1">
      <c r="A49" s="20" t="inlineStr">
        <is>
          <t>Other expenses (G&amp;A + employee)</t>
        </is>
      </c>
      <c r="B49" s="17" t="inlineStr">
        <is>
          <t>Rs Mn</t>
        </is>
      </c>
      <c r="C49" s="22" t="inlineStr">
        <is>
          <t>Link: Raw Data - Ops KPIs</t>
        </is>
      </c>
      <c r="D49" s="56">
        <f>'Raw Data - Ops KPIs'!D53</f>
        <v/>
      </c>
      <c r="E49" s="56">
        <f>'Raw Data - Ops KPIs'!E53</f>
        <v/>
      </c>
      <c r="F49" s="56">
        <f>'Raw Data - Ops KPIs'!F53</f>
        <v/>
      </c>
      <c r="G49" s="56">
        <f>'Raw Data - Ops KPIs'!G53</f>
        <v/>
      </c>
      <c r="H49" s="56">
        <f>'Raw Data - Ops KPIs'!H53</f>
        <v/>
      </c>
      <c r="I49" s="56">
        <f>'Raw Data - Ops KPIs'!I53</f>
        <v/>
      </c>
      <c r="J49" s="56">
        <f>'Raw Data - Ops KPIs'!J53</f>
        <v/>
      </c>
      <c r="K49" s="56">
        <f>'Raw Data - Ops KPIs'!K53</f>
        <v/>
      </c>
      <c r="L49" s="56">
        <f>'Raw Data - Ops KPIs'!L53</f>
        <v/>
      </c>
      <c r="M49" s="56">
        <f>'Raw Data - Ops KPIs'!M53</f>
        <v/>
      </c>
      <c r="N49" s="56">
        <f>'Raw Data - Ops KPIs'!N53</f>
        <v/>
      </c>
      <c r="O49" s="56">
        <f>'Raw Data - Ops KPIs'!O53</f>
        <v/>
      </c>
      <c r="P49" s="56">
        <f>'Raw Data - Ops KPIs'!P53</f>
        <v/>
      </c>
      <c r="Q49" s="56">
        <f>'Raw Data - Ops KPIs'!Q53</f>
        <v/>
      </c>
      <c r="R49" s="56">
        <f>'Raw Data - Ops KPIs'!R53</f>
        <v/>
      </c>
      <c r="S49" s="56">
        <f>'Raw Data - Ops KPIs'!S53</f>
        <v/>
      </c>
      <c r="T49" s="56">
        <f>'Raw Data - Ops KPIs'!T53</f>
        <v/>
      </c>
      <c r="U49" s="56">
        <f>'Raw Data - Ops KPIs'!U53</f>
        <v/>
      </c>
      <c r="V49" s="56">
        <f>'Raw Data - Ops KPIs'!V53</f>
        <v/>
      </c>
      <c r="W49" s="56">
        <f>'Raw Data - Ops KPIs'!W53</f>
        <v/>
      </c>
      <c r="AB49" s="19" t="n"/>
      <c r="AF49" s="56">
        <f>'Raw Data - Ops KPIs'!AF53</f>
        <v/>
      </c>
      <c r="AG49" s="56">
        <f>'Raw Data - Ops KPIs'!AG53</f>
        <v/>
      </c>
      <c r="AH49" s="56">
        <f>'Raw Data - Ops KPIs'!AH53</f>
        <v/>
      </c>
      <c r="AI49" s="56">
        <f>'Raw Data - Ops KPIs'!AI53</f>
        <v/>
      </c>
      <c r="AJ49" s="56">
        <f>'Raw Data - Ops KPIs'!AJ53</f>
        <v/>
      </c>
      <c r="AK49" s="56">
        <f>AK35*AK48</f>
        <v/>
      </c>
      <c r="AL49" s="56">
        <f>AL35*AL48</f>
        <v/>
      </c>
      <c r="AM49" s="56">
        <f>AM35*AM48</f>
        <v/>
      </c>
      <c r="AN49" s="56">
        <f>AN35*AN48</f>
        <v/>
      </c>
    </row>
    <row r="50" outlineLevel="1">
      <c r="A50" s="20" t="inlineStr">
        <is>
          <t>EBITDA</t>
        </is>
      </c>
      <c r="B50" s="17" t="inlineStr">
        <is>
          <t>Rs Mn</t>
        </is>
      </c>
      <c r="C50" s="22" t="inlineStr">
        <is>
          <t>Formula</t>
        </is>
      </c>
      <c r="D50" s="55">
        <f>IFERROR(D46-D49,"")</f>
        <v/>
      </c>
      <c r="E50" s="55">
        <f>IFERROR(E46-E49,"")</f>
        <v/>
      </c>
      <c r="F50" s="55">
        <f>IFERROR(F46-F49,"")</f>
        <v/>
      </c>
      <c r="G50" s="55">
        <f>IFERROR(G46-G49,"")</f>
        <v/>
      </c>
      <c r="H50" s="55">
        <f>IFERROR(H46-H49,"")</f>
        <v/>
      </c>
      <c r="I50" s="55">
        <f>IFERROR(I46-I49,"")</f>
        <v/>
      </c>
      <c r="J50" s="55">
        <f>IFERROR(J46-J49,"")</f>
        <v/>
      </c>
      <c r="K50" s="55">
        <f>IFERROR(K46-K49,"")</f>
        <v/>
      </c>
      <c r="L50" s="55">
        <f>IFERROR(L46-L49,"")</f>
        <v/>
      </c>
      <c r="M50" s="55">
        <f>IFERROR(M46-M49,"")</f>
        <v/>
      </c>
      <c r="N50" s="55">
        <f>IFERROR(N46-N49,"")</f>
        <v/>
      </c>
      <c r="O50" s="55">
        <f>IFERROR(O46-O49,"")</f>
        <v/>
      </c>
      <c r="P50" s="55">
        <f>IFERROR(P46-P49,"")</f>
        <v/>
      </c>
      <c r="Q50" s="55">
        <f>IFERROR(Q46-Q49,"")</f>
        <v/>
      </c>
      <c r="R50" s="55">
        <f>IFERROR(R46-R49,"")</f>
        <v/>
      </c>
      <c r="S50" s="55">
        <f>IFERROR(S46-S49,"")</f>
        <v/>
      </c>
      <c r="T50" s="55">
        <f>IFERROR(T46-T49,"")</f>
        <v/>
      </c>
      <c r="U50" s="55">
        <f>IFERROR(U46-U49,"")</f>
        <v/>
      </c>
      <c r="V50" s="55">
        <f>IFERROR(V46-V49,"")</f>
        <v/>
      </c>
      <c r="W50" s="55">
        <f>IFERROR(W46-W49,"")</f>
        <v/>
      </c>
      <c r="AB50" s="19" t="n"/>
      <c r="AC50" s="56">
        <f>IFERROR(AC46-AC49,"")</f>
        <v/>
      </c>
      <c r="AD50" s="56">
        <f>IFERROR(AD46-AD49,"")</f>
        <v/>
      </c>
      <c r="AE50" s="56">
        <f>IFERROR(AE46-AE49,"")</f>
        <v/>
      </c>
      <c r="AF50" s="56">
        <f>IFERROR(AF46-AF49,"")</f>
        <v/>
      </c>
      <c r="AG50" s="56">
        <f>IFERROR(AG46-AG49,"")</f>
        <v/>
      </c>
      <c r="AH50" s="56">
        <f>IFERROR(AH46-AH49,"")</f>
        <v/>
      </c>
      <c r="AI50" s="56">
        <f>IFERROR(AI46-AI49,"")</f>
        <v/>
      </c>
      <c r="AJ50" s="56">
        <f>IFERROR(AJ46-AJ49,"")</f>
        <v/>
      </c>
      <c r="AK50" s="56">
        <f>IFERROR(AK46-AK49,"")</f>
        <v/>
      </c>
      <c r="AL50" s="56">
        <f>IFERROR(AL46-AL49,"")</f>
        <v/>
      </c>
      <c r="AM50" s="56">
        <f>IFERROR(AM46-AM49,"")</f>
        <v/>
      </c>
      <c r="AN50" s="56">
        <f>IFERROR(AN46-AN49,"")</f>
        <v/>
      </c>
    </row>
    <row r="51" outlineLevel="1">
      <c r="A51" s="20" t="inlineStr">
        <is>
          <t xml:space="preserve">  EBITDA margin (% of NSV)</t>
        </is>
      </c>
      <c r="B51" s="17" t="inlineStr">
        <is>
          <t>%</t>
        </is>
      </c>
      <c r="C51" s="22" t="inlineStr">
        <is>
          <t>Formula</t>
        </is>
      </c>
      <c r="D51" s="49">
        <f>IFERROR(D50/D35,"")</f>
        <v/>
      </c>
      <c r="E51" s="49">
        <f>IFERROR(E50/E35,"")</f>
        <v/>
      </c>
      <c r="F51" s="49">
        <f>IFERROR(F50/F35,"")</f>
        <v/>
      </c>
      <c r="G51" s="49">
        <f>IFERROR(G50/G35,"")</f>
        <v/>
      </c>
      <c r="H51" s="49">
        <f>IFERROR(H50/H35,"")</f>
        <v/>
      </c>
      <c r="I51" s="49">
        <f>IFERROR(I50/I35,"")</f>
        <v/>
      </c>
      <c r="J51" s="49">
        <f>IFERROR(J50/J35,"")</f>
        <v/>
      </c>
      <c r="K51" s="49">
        <f>IFERROR(K50/K35,"")</f>
        <v/>
      </c>
      <c r="L51" s="49">
        <f>IFERROR(L50/L35,"")</f>
        <v/>
      </c>
      <c r="M51" s="49">
        <f>IFERROR(M50/M35,"")</f>
        <v/>
      </c>
      <c r="N51" s="49">
        <f>IFERROR(N50/N35,"")</f>
        <v/>
      </c>
      <c r="O51" s="49">
        <f>IFERROR(O50/O35,"")</f>
        <v/>
      </c>
      <c r="P51" s="49">
        <f>IFERROR(P50/P35,"")</f>
        <v/>
      </c>
      <c r="Q51" s="49">
        <f>IFERROR(Q50/Q35,"")</f>
        <v/>
      </c>
      <c r="R51" s="49">
        <f>IFERROR(R50/R35,"")</f>
        <v/>
      </c>
      <c r="S51" s="49">
        <f>IFERROR(S50/S35,"")</f>
        <v/>
      </c>
      <c r="T51" s="49">
        <f>IFERROR(T50/T35,"")</f>
        <v/>
      </c>
      <c r="U51" s="49">
        <f>IFERROR(U50/U35,"")</f>
        <v/>
      </c>
      <c r="V51" s="49">
        <f>IFERROR(V50/V35,"")</f>
        <v/>
      </c>
      <c r="W51" s="49">
        <f>IFERROR(W50/W35,"")</f>
        <v/>
      </c>
      <c r="AB51" s="19" t="n"/>
      <c r="AC51" s="52">
        <f>IFERROR(AC50/AC35,"")</f>
        <v/>
      </c>
      <c r="AD51" s="52">
        <f>IFERROR(AD50/AD35,"")</f>
        <v/>
      </c>
      <c r="AE51" s="52">
        <f>IFERROR(AE50/AE35,"")</f>
        <v/>
      </c>
      <c r="AF51" s="52">
        <f>IFERROR(AF50/AF35,"")</f>
        <v/>
      </c>
      <c r="AG51" s="52">
        <f>IFERROR(AG50/AG35,"")</f>
        <v/>
      </c>
      <c r="AH51" s="52">
        <f>IFERROR(AH50/AH35,"")</f>
        <v/>
      </c>
      <c r="AI51" s="52">
        <f>IFERROR(AI50/AI35,"")</f>
        <v/>
      </c>
      <c r="AJ51" s="52">
        <f>IFERROR(AJ50/AJ35,"")</f>
        <v/>
      </c>
      <c r="AK51" s="52">
        <f>IFERROR(AK50/AK35,"")</f>
        <v/>
      </c>
      <c r="AL51" s="52">
        <f>IFERROR(AL50/AL35,"")</f>
        <v/>
      </c>
      <c r="AM51" s="52">
        <f>IFERROR(AM50/AM35,"")</f>
        <v/>
      </c>
      <c r="AN51" s="52">
        <f>IFERROR(AN50/AN35,"")</f>
        <v/>
      </c>
    </row>
    <row r="52">
      <c r="AB52" s="19" t="n"/>
    </row>
    <row r="53">
      <c r="A53" s="5" t="inlineStr">
        <is>
          <t>FASHION</t>
        </is>
      </c>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44" t="n"/>
      <c r="AC53" s="5" t="n"/>
      <c r="AD53" s="5" t="n"/>
      <c r="AE53" s="5" t="n"/>
      <c r="AF53" s="5" t="n"/>
      <c r="AG53" s="5" t="n"/>
      <c r="AH53" s="5" t="n"/>
      <c r="AI53" s="5" t="n"/>
      <c r="AJ53" s="5" t="n"/>
      <c r="AK53" s="5" t="n"/>
      <c r="AL53" s="5" t="n"/>
      <c r="AM53" s="5" t="n"/>
      <c r="AN53" s="5" t="n"/>
    </row>
    <row r="54">
      <c r="A54" s="17" t="inlineStr">
        <is>
          <t>Definition: Nykaa Fashion + LBB + Nykaa Man Lifestyle.</t>
        </is>
      </c>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45" t="n"/>
      <c r="AC54" s="17" t="n"/>
      <c r="AD54" s="17" t="n"/>
      <c r="AE54" s="17" t="n"/>
      <c r="AF54" s="17" t="n"/>
      <c r="AG54" s="17" t="n"/>
      <c r="AH54" s="17" t="n"/>
      <c r="AI54" s="17" t="n"/>
      <c r="AJ54" s="17" t="n"/>
      <c r="AK54" s="17" t="n"/>
      <c r="AL54" s="17" t="n"/>
      <c r="AM54" s="17" t="n"/>
      <c r="AN54" s="17" t="n"/>
    </row>
    <row r="55" outlineLevel="1">
      <c r="A55" s="20" t="inlineStr">
        <is>
          <t>Annual transacting customers (AUTC)</t>
        </is>
      </c>
      <c r="B55" s="17" t="inlineStr">
        <is>
          <t>mn</t>
        </is>
      </c>
      <c r="C55" s="22" t="inlineStr">
        <is>
          <t>Link: Raw Data - Ops KPIs</t>
        </is>
      </c>
      <c r="D55" s="53">
        <f>'Raw Data - Ops KPIs'!D92</f>
        <v/>
      </c>
      <c r="E55" s="53">
        <f>'Raw Data - Ops KPIs'!E92</f>
        <v/>
      </c>
      <c r="F55" s="53">
        <f>'Raw Data - Ops KPIs'!F92</f>
        <v/>
      </c>
      <c r="G55" s="53">
        <f>'Raw Data - Ops KPIs'!G92</f>
        <v/>
      </c>
      <c r="H55" s="53">
        <f>'Raw Data - Ops KPIs'!H92</f>
        <v/>
      </c>
      <c r="I55" s="53">
        <f>'Raw Data - Ops KPIs'!I92</f>
        <v/>
      </c>
      <c r="J55" s="53">
        <f>'Raw Data - Ops KPIs'!J92</f>
        <v/>
      </c>
      <c r="K55" s="53">
        <f>'Raw Data - Ops KPIs'!K92</f>
        <v/>
      </c>
      <c r="L55" s="53">
        <f>'Raw Data - Ops KPIs'!L92</f>
        <v/>
      </c>
      <c r="M55" s="53">
        <f>'Raw Data - Ops KPIs'!M92</f>
        <v/>
      </c>
      <c r="N55" s="53">
        <f>'Raw Data - Ops KPIs'!N92</f>
        <v/>
      </c>
      <c r="O55" s="53">
        <f>'Raw Data - Ops KPIs'!O92</f>
        <v/>
      </c>
      <c r="P55" s="53">
        <f>'Raw Data - Ops KPIs'!P92</f>
        <v/>
      </c>
      <c r="Q55" s="53">
        <f>'Raw Data - Ops KPIs'!Q92</f>
        <v/>
      </c>
      <c r="R55" s="53">
        <f>'Raw Data - Ops KPIs'!R92</f>
        <v/>
      </c>
      <c r="S55" s="53">
        <f>'Raw Data - Ops KPIs'!S92</f>
        <v/>
      </c>
      <c r="T55" s="53">
        <f>'Raw Data - Ops KPIs'!T92</f>
        <v/>
      </c>
      <c r="U55" s="53">
        <f>'Raw Data - Ops KPIs'!U92</f>
        <v/>
      </c>
      <c r="V55" s="53">
        <f>'Raw Data - Ops KPIs'!V92</f>
        <v/>
      </c>
      <c r="W55" s="53">
        <f>'Raw Data - Ops KPIs'!W92</f>
        <v/>
      </c>
      <c r="AB55" s="19" t="n"/>
      <c r="AF55" s="53">
        <f>'Raw Data - Ops KPIs'!AF92</f>
        <v/>
      </c>
      <c r="AG55" s="53">
        <f>'Raw Data - Ops KPIs'!AG92</f>
        <v/>
      </c>
      <c r="AH55" s="53">
        <f>'Raw Data - Ops KPIs'!AH92</f>
        <v/>
      </c>
      <c r="AI55" s="53">
        <f>'Raw Data - Ops KPIs'!AI92</f>
        <v/>
      </c>
      <c r="AJ55" s="53">
        <f>'Raw Data - Ops KPIs'!AJ92</f>
        <v/>
      </c>
      <c r="AK55" s="53">
        <f>AJ55*(1+AK56)</f>
        <v/>
      </c>
      <c r="AL55" s="53">
        <f>AK55*(1+AL56)</f>
        <v/>
      </c>
      <c r="AM55" s="53">
        <f>AL55*(1+AM56)</f>
        <v/>
      </c>
      <c r="AN55" s="53">
        <f>AM55*(1+AN56)</f>
        <v/>
      </c>
    </row>
    <row r="56" outlineLevel="1">
      <c r="A56" s="20" t="inlineStr">
        <is>
          <t xml:space="preserve">  YoY growth</t>
        </is>
      </c>
      <c r="B56" s="17" t="inlineStr">
        <is>
          <t>%</t>
        </is>
      </c>
      <c r="C56" s="48" t="inlineStr">
        <is>
          <t>Assumption (edit me)</t>
        </is>
      </c>
      <c r="H56" s="49">
        <f>IFERROR(H55/D55-1,"")</f>
        <v/>
      </c>
      <c r="I56" s="49">
        <f>IFERROR(I55/E55-1,"")</f>
        <v/>
      </c>
      <c r="J56" s="49">
        <f>IFERROR(J55/F55-1,"")</f>
        <v/>
      </c>
      <c r="K56" s="49">
        <f>IFERROR(K55/G55-1,"")</f>
        <v/>
      </c>
      <c r="L56" s="49">
        <f>IFERROR(L55/H55-1,"")</f>
        <v/>
      </c>
      <c r="M56" s="49">
        <f>IFERROR(M55/I55-1,"")</f>
        <v/>
      </c>
      <c r="N56" s="49">
        <f>IFERROR(N55/J55-1,"")</f>
        <v/>
      </c>
      <c r="O56" s="49">
        <f>IFERROR(O55/K55-1,"")</f>
        <v/>
      </c>
      <c r="P56" s="49">
        <f>IFERROR(P55/L55-1,"")</f>
        <v/>
      </c>
      <c r="Q56" s="49">
        <f>IFERROR(Q55/M55-1,"")</f>
        <v/>
      </c>
      <c r="R56" s="49">
        <f>IFERROR(R55/N55-1,"")</f>
        <v/>
      </c>
      <c r="S56" s="49">
        <f>IFERROR(S55/O55-1,"")</f>
        <v/>
      </c>
      <c r="T56" s="49">
        <f>IFERROR(T55/P55-1,"")</f>
        <v/>
      </c>
      <c r="U56" s="49">
        <f>IFERROR(U55/Q55-1,"")</f>
        <v/>
      </c>
      <c r="V56" s="49">
        <f>IFERROR(V55/R55-1,"")</f>
        <v/>
      </c>
      <c r="W56" s="49">
        <f>IFERROR(W55/S55-1,"")</f>
        <v/>
      </c>
      <c r="AB56" s="19" t="n"/>
      <c r="AD56" s="52">
        <f>IFERROR(AD55/AC55-1,"")</f>
        <v/>
      </c>
      <c r="AE56" s="52">
        <f>IFERROR(AE55/AD55-1,"")</f>
        <v/>
      </c>
      <c r="AF56" s="52">
        <f>IFERROR(AF55/AE55-1,"")</f>
        <v/>
      </c>
      <c r="AG56" s="52">
        <f>IFERROR(AG55/AF55-1,"")</f>
        <v/>
      </c>
      <c r="AH56" s="52">
        <f>IFERROR(AH55/AG55-1,"")</f>
        <v/>
      </c>
      <c r="AI56" s="52">
        <f>IFERROR(AI55/AH55-1,"")</f>
        <v/>
      </c>
      <c r="AJ56" s="52">
        <f>IFERROR(AJ55/AI55-1,"")</f>
        <v/>
      </c>
      <c r="AK56" s="50" t="n">
        <v>0.344</v>
      </c>
      <c r="AL56" s="50" t="n">
        <v>0.344</v>
      </c>
      <c r="AM56" s="50" t="n">
        <v>0.344</v>
      </c>
      <c r="AN56" s="50" t="n">
        <v>0.344</v>
      </c>
    </row>
    <row r="57" outlineLevel="1">
      <c r="A57" s="20" t="inlineStr">
        <is>
          <t xml:space="preserve">  Average order frequency</t>
        </is>
      </c>
      <c r="B57" s="17" t="inlineStr">
        <is>
          <t>x</t>
        </is>
      </c>
      <c r="C57" s="48" t="inlineStr">
        <is>
          <t>Assumption (edit me)</t>
        </is>
      </c>
      <c r="D57" s="54">
        <f>IFERROR(D58/D55,"")</f>
        <v/>
      </c>
      <c r="E57" s="54">
        <f>IFERROR(E58/E55,"")</f>
        <v/>
      </c>
      <c r="F57" s="54">
        <f>IFERROR(F58/F55,"")</f>
        <v/>
      </c>
      <c r="G57" s="54">
        <f>IFERROR(G58/G55,"")</f>
        <v/>
      </c>
      <c r="H57" s="54">
        <f>IFERROR(H58/H55,"")</f>
        <v/>
      </c>
      <c r="I57" s="54">
        <f>IFERROR(I58/I55,"")</f>
        <v/>
      </c>
      <c r="J57" s="54">
        <f>IFERROR(J58/J55,"")</f>
        <v/>
      </c>
      <c r="K57" s="54">
        <f>IFERROR(K58/K55,"")</f>
        <v/>
      </c>
      <c r="L57" s="54">
        <f>IFERROR(L58/L55,"")</f>
        <v/>
      </c>
      <c r="M57" s="54">
        <f>IFERROR(M58/M55,"")</f>
        <v/>
      </c>
      <c r="N57" s="54">
        <f>IFERROR(N58/N55,"")</f>
        <v/>
      </c>
      <c r="O57" s="54">
        <f>IFERROR(O58/O55,"")</f>
        <v/>
      </c>
      <c r="P57" s="54">
        <f>IFERROR(P58/P55,"")</f>
        <v/>
      </c>
      <c r="Q57" s="54">
        <f>IFERROR(Q58/Q55,"")</f>
        <v/>
      </c>
      <c r="R57" s="54">
        <f>IFERROR(R58/R55,"")</f>
        <v/>
      </c>
      <c r="S57" s="54">
        <f>IFERROR(S58/S55,"")</f>
        <v/>
      </c>
      <c r="T57" s="54">
        <f>IFERROR(T58/T55,"")</f>
        <v/>
      </c>
      <c r="U57" s="54">
        <f>IFERROR(U58/U55,"")</f>
        <v/>
      </c>
      <c r="V57" s="54">
        <f>IFERROR(V58/V55,"")</f>
        <v/>
      </c>
      <c r="W57" s="54">
        <f>IFERROR(W58/W55,"")</f>
        <v/>
      </c>
      <c r="AB57" s="19" t="n"/>
      <c r="AC57" s="13">
        <f>IFERROR(AC58/AC55,"")</f>
        <v/>
      </c>
      <c r="AD57" s="13">
        <f>IFERROR(AD58/AD55,"")</f>
        <v/>
      </c>
      <c r="AE57" s="13">
        <f>IFERROR(AE58/AE55,"")</f>
        <v/>
      </c>
      <c r="AF57" s="13">
        <f>IFERROR(AF58/AF55,"")</f>
        <v/>
      </c>
      <c r="AG57" s="13">
        <f>IFERROR(AG58/AG55,"")</f>
        <v/>
      </c>
      <c r="AH57" s="13">
        <f>IFERROR(AH58/AH55,"")</f>
        <v/>
      </c>
      <c r="AI57" s="13">
        <f>IFERROR(AI58/AI55,"")</f>
        <v/>
      </c>
      <c r="AJ57" s="13">
        <f>IFERROR(AJ58/AJ55,"")</f>
        <v/>
      </c>
      <c r="AK57" s="51" t="n">
        <v>2.35</v>
      </c>
      <c r="AL57" s="51" t="n">
        <v>2.35</v>
      </c>
      <c r="AM57" s="51" t="n">
        <v>2.35</v>
      </c>
      <c r="AN57" s="51" t="n">
        <v>2.35</v>
      </c>
    </row>
    <row r="58" outlineLevel="2">
      <c r="A58" s="20" t="inlineStr">
        <is>
          <t>Number of orders</t>
        </is>
      </c>
      <c r="B58" s="17" t="inlineStr">
        <is>
          <t>mn</t>
        </is>
      </c>
      <c r="C58" s="22" t="inlineStr">
        <is>
          <t>Link: Raw Data - Ops KPIs</t>
        </is>
      </c>
      <c r="D58" s="53">
        <f>'Raw Data - Ops KPIs'!D94</f>
        <v/>
      </c>
      <c r="E58" s="53">
        <f>'Raw Data - Ops KPIs'!E94</f>
        <v/>
      </c>
      <c r="F58" s="53">
        <f>'Raw Data - Ops KPIs'!F94</f>
        <v/>
      </c>
      <c r="G58" s="53">
        <f>'Raw Data - Ops KPIs'!G94</f>
        <v/>
      </c>
      <c r="H58" s="53">
        <f>'Raw Data - Ops KPIs'!H94</f>
        <v/>
      </c>
      <c r="I58" s="53">
        <f>'Raw Data - Ops KPIs'!I94</f>
        <v/>
      </c>
      <c r="J58" s="53">
        <f>'Raw Data - Ops KPIs'!J94</f>
        <v/>
      </c>
      <c r="K58" s="53">
        <f>'Raw Data - Ops KPIs'!K94</f>
        <v/>
      </c>
      <c r="L58" s="53">
        <f>'Raw Data - Ops KPIs'!L94</f>
        <v/>
      </c>
      <c r="M58" s="53">
        <f>'Raw Data - Ops KPIs'!M94</f>
        <v/>
      </c>
      <c r="N58" s="53">
        <f>'Raw Data - Ops KPIs'!N94</f>
        <v/>
      </c>
      <c r="O58" s="53">
        <f>'Raw Data - Ops KPIs'!O94</f>
        <v/>
      </c>
      <c r="P58" s="53">
        <f>'Raw Data - Ops KPIs'!P94</f>
        <v/>
      </c>
      <c r="Q58" s="53">
        <f>'Raw Data - Ops KPIs'!Q94</f>
        <v/>
      </c>
      <c r="R58" s="53">
        <f>'Raw Data - Ops KPIs'!R94</f>
        <v/>
      </c>
      <c r="S58" s="53">
        <f>'Raw Data - Ops KPIs'!S94</f>
        <v/>
      </c>
      <c r="T58" s="53">
        <f>'Raw Data - Ops KPIs'!T94</f>
        <v/>
      </c>
      <c r="U58" s="53">
        <f>'Raw Data - Ops KPIs'!U94</f>
        <v/>
      </c>
      <c r="V58" s="53">
        <f>'Raw Data - Ops KPIs'!V94</f>
        <v/>
      </c>
      <c r="W58" s="53">
        <f>'Raw Data - Ops KPIs'!W94</f>
        <v/>
      </c>
      <c r="AB58" s="19" t="n"/>
      <c r="AF58" s="53">
        <f>'Raw Data - Ops KPIs'!AF94</f>
        <v/>
      </c>
      <c r="AG58" s="53">
        <f>'Raw Data - Ops KPIs'!AG94</f>
        <v/>
      </c>
      <c r="AH58" s="53">
        <f>'Raw Data - Ops KPIs'!AH94</f>
        <v/>
      </c>
      <c r="AI58" s="53">
        <f>'Raw Data - Ops KPIs'!AI94</f>
        <v/>
      </c>
      <c r="AJ58" s="53">
        <f>'Raw Data - Ops KPIs'!AJ94</f>
        <v/>
      </c>
      <c r="AK58" s="53">
        <f>AK55*AK57</f>
        <v/>
      </c>
      <c r="AL58" s="53">
        <f>AL55*AL57</f>
        <v/>
      </c>
      <c r="AM58" s="53">
        <f>AM55*AM57</f>
        <v/>
      </c>
      <c r="AN58" s="53">
        <f>AN55*AN57</f>
        <v/>
      </c>
    </row>
    <row r="59" outlineLevel="1">
      <c r="A59" s="20" t="inlineStr">
        <is>
          <t>Average order value</t>
        </is>
      </c>
      <c r="B59" s="17" t="inlineStr">
        <is>
          <t>Rs</t>
        </is>
      </c>
      <c r="C59" s="22" t="inlineStr">
        <is>
          <t>Formula</t>
        </is>
      </c>
      <c r="D59" s="55">
        <f>IFERROR(D61/D58,"")</f>
        <v/>
      </c>
      <c r="E59" s="55">
        <f>IFERROR(E61/E58,"")</f>
        <v/>
      </c>
      <c r="F59" s="55">
        <f>IFERROR(F61/F58,"")</f>
        <v/>
      </c>
      <c r="G59" s="55">
        <f>IFERROR(G61/G58,"")</f>
        <v/>
      </c>
      <c r="H59" s="55">
        <f>IFERROR(H61/H58,"")</f>
        <v/>
      </c>
      <c r="I59" s="55">
        <f>IFERROR(I61/I58,"")</f>
        <v/>
      </c>
      <c r="J59" s="55">
        <f>IFERROR(J61/J58,"")</f>
        <v/>
      </c>
      <c r="K59" s="55">
        <f>IFERROR(K61/K58,"")</f>
        <v/>
      </c>
      <c r="L59" s="55">
        <f>IFERROR(L61/L58,"")</f>
        <v/>
      </c>
      <c r="M59" s="55">
        <f>IFERROR(M61/M58,"")</f>
        <v/>
      </c>
      <c r="N59" s="55">
        <f>IFERROR(N61/N58,"")</f>
        <v/>
      </c>
      <c r="O59" s="55">
        <f>IFERROR(O61/O58,"")</f>
        <v/>
      </c>
      <c r="P59" s="55">
        <f>IFERROR(P61/P58,"")</f>
        <v/>
      </c>
      <c r="Q59" s="55">
        <f>IFERROR(Q61/Q58,"")</f>
        <v/>
      </c>
      <c r="R59" s="55">
        <f>IFERROR(R61/R58,"")</f>
        <v/>
      </c>
      <c r="S59" s="55">
        <f>IFERROR(S61/S58,"")</f>
        <v/>
      </c>
      <c r="T59" s="55">
        <f>IFERROR(T61/T58,"")</f>
        <v/>
      </c>
      <c r="U59" s="55">
        <f>IFERROR(U61/U58,"")</f>
        <v/>
      </c>
      <c r="V59" s="55">
        <f>IFERROR(V61/V58,"")</f>
        <v/>
      </c>
      <c r="W59" s="55">
        <f>IFERROR(W61/W58,"")</f>
        <v/>
      </c>
      <c r="AB59" s="19" t="n"/>
      <c r="AC59" s="56">
        <f>IFERROR(AC61/AC58,"")</f>
        <v/>
      </c>
      <c r="AD59" s="56">
        <f>IFERROR(AD61/AD58,"")</f>
        <v/>
      </c>
      <c r="AE59" s="56">
        <f>IFERROR(AE61/AE58,"")</f>
        <v/>
      </c>
      <c r="AF59" s="56">
        <f>IFERROR(AF61/AF58,"")</f>
        <v/>
      </c>
      <c r="AG59" s="56">
        <f>IFERROR(AG61/AG58,"")</f>
        <v/>
      </c>
      <c r="AH59" s="56">
        <f>IFERROR(AH61/AH58,"")</f>
        <v/>
      </c>
      <c r="AI59" s="56">
        <f>IFERROR(AI61/AI58,"")</f>
        <v/>
      </c>
      <c r="AJ59" s="56">
        <f>IFERROR(AJ61/AJ58,"")</f>
        <v/>
      </c>
      <c r="AK59" s="56">
        <f>AJ59*(1+AK60)</f>
        <v/>
      </c>
      <c r="AL59" s="56">
        <f>AK59*(1+AL60)</f>
        <v/>
      </c>
      <c r="AM59" s="56">
        <f>AL59*(1+AM60)</f>
        <v/>
      </c>
      <c r="AN59" s="56">
        <f>AM59*(1+AN60)</f>
        <v/>
      </c>
    </row>
    <row r="60" outlineLevel="1">
      <c r="A60" s="20" t="inlineStr">
        <is>
          <t xml:space="preserve">  YoY growth</t>
        </is>
      </c>
      <c r="B60" s="17" t="inlineStr">
        <is>
          <t>%</t>
        </is>
      </c>
      <c r="C60" s="48" t="inlineStr">
        <is>
          <t>Assumption (edit me)</t>
        </is>
      </c>
      <c r="AB60" s="19" t="n"/>
      <c r="AK60" s="50" t="n">
        <v>-0.007</v>
      </c>
      <c r="AL60" s="50" t="n">
        <v>-0.007</v>
      </c>
      <c r="AM60" s="50" t="n">
        <v>-0.007</v>
      </c>
      <c r="AN60" s="50" t="n">
        <v>-0.007</v>
      </c>
    </row>
    <row r="61" outlineLevel="1">
      <c r="A61" s="20" t="inlineStr">
        <is>
          <t>GMV</t>
        </is>
      </c>
      <c r="B61" s="17" t="inlineStr">
        <is>
          <t>Rs Mn</t>
        </is>
      </c>
      <c r="C61" s="22" t="inlineStr">
        <is>
          <t>Link: Raw Data - Ops KPIs</t>
        </is>
      </c>
      <c r="D61" s="56">
        <f>'Raw Data - Ops KPIs'!D96</f>
        <v/>
      </c>
      <c r="E61" s="56">
        <f>'Raw Data - Ops KPIs'!E96</f>
        <v/>
      </c>
      <c r="F61" s="56">
        <f>'Raw Data - Ops KPIs'!F96</f>
        <v/>
      </c>
      <c r="G61" s="56">
        <f>'Raw Data - Ops KPIs'!G96</f>
        <v/>
      </c>
      <c r="H61" s="56">
        <f>'Raw Data - Ops KPIs'!H96</f>
        <v/>
      </c>
      <c r="I61" s="56">
        <f>'Raw Data - Ops KPIs'!I96</f>
        <v/>
      </c>
      <c r="J61" s="56">
        <f>'Raw Data - Ops KPIs'!J96</f>
        <v/>
      </c>
      <c r="K61" s="56">
        <f>'Raw Data - Ops KPIs'!K96</f>
        <v/>
      </c>
      <c r="L61" s="56">
        <f>'Raw Data - Ops KPIs'!L96</f>
        <v/>
      </c>
      <c r="M61" s="56">
        <f>'Raw Data - Ops KPIs'!M96</f>
        <v/>
      </c>
      <c r="N61" s="56">
        <f>'Raw Data - Ops KPIs'!N96</f>
        <v/>
      </c>
      <c r="O61" s="56">
        <f>'Raw Data - Ops KPIs'!O96</f>
        <v/>
      </c>
      <c r="P61" s="56">
        <f>'Raw Data - Ops KPIs'!P96</f>
        <v/>
      </c>
      <c r="Q61" s="56">
        <f>'Raw Data - Ops KPIs'!Q96</f>
        <v/>
      </c>
      <c r="R61" s="56">
        <f>'Raw Data - Ops KPIs'!R96</f>
        <v/>
      </c>
      <c r="S61" s="56">
        <f>'Raw Data - Ops KPIs'!S96</f>
        <v/>
      </c>
      <c r="T61" s="56">
        <f>'Raw Data - Ops KPIs'!T96</f>
        <v/>
      </c>
      <c r="U61" s="56">
        <f>'Raw Data - Ops KPIs'!U96</f>
        <v/>
      </c>
      <c r="V61" s="56">
        <f>'Raw Data - Ops KPIs'!V96</f>
        <v/>
      </c>
      <c r="W61" s="56">
        <f>'Raw Data - Ops KPIs'!W96</f>
        <v/>
      </c>
      <c r="AB61" s="19" t="n"/>
      <c r="AF61" s="56">
        <f>'Raw Data - Ops KPIs'!AF96</f>
        <v/>
      </c>
      <c r="AG61" s="56">
        <f>'Raw Data - Ops KPIs'!AG96</f>
        <v/>
      </c>
      <c r="AH61" s="56">
        <f>'Raw Data - Ops KPIs'!AH96</f>
        <v/>
      </c>
      <c r="AI61" s="56">
        <f>'Raw Data - Ops KPIs'!AI96</f>
        <v/>
      </c>
      <c r="AJ61" s="56">
        <f>'Raw Data - Ops KPIs'!AJ96</f>
        <v/>
      </c>
      <c r="AK61" s="56">
        <f>AK58*AK59</f>
        <v/>
      </c>
      <c r="AL61" s="56">
        <f>AL58*AL59</f>
        <v/>
      </c>
      <c r="AM61" s="56">
        <f>AM58*AM59</f>
        <v/>
      </c>
      <c r="AN61" s="56">
        <f>AN58*AN59</f>
        <v/>
      </c>
    </row>
    <row r="62" outlineLevel="1">
      <c r="A62" s="20" t="inlineStr">
        <is>
          <t xml:space="preserve">  YoY growth</t>
        </is>
      </c>
      <c r="B62" s="17" t="inlineStr">
        <is>
          <t>%</t>
        </is>
      </c>
      <c r="C62" s="22" t="inlineStr">
        <is>
          <t>Formula</t>
        </is>
      </c>
      <c r="H62" s="49">
        <f>IFERROR(H61/D61-1,"")</f>
        <v/>
      </c>
      <c r="I62" s="49">
        <f>IFERROR(I61/E61-1,"")</f>
        <v/>
      </c>
      <c r="J62" s="49">
        <f>IFERROR(J61/F61-1,"")</f>
        <v/>
      </c>
      <c r="K62" s="49">
        <f>IFERROR(K61/G61-1,"")</f>
        <v/>
      </c>
      <c r="L62" s="49">
        <f>IFERROR(L61/H61-1,"")</f>
        <v/>
      </c>
      <c r="M62" s="49">
        <f>IFERROR(M61/I61-1,"")</f>
        <v/>
      </c>
      <c r="N62" s="49">
        <f>IFERROR(N61/J61-1,"")</f>
        <v/>
      </c>
      <c r="O62" s="49">
        <f>IFERROR(O61/K61-1,"")</f>
        <v/>
      </c>
      <c r="P62" s="49">
        <f>IFERROR(P61/L61-1,"")</f>
        <v/>
      </c>
      <c r="Q62" s="49">
        <f>IFERROR(Q61/M61-1,"")</f>
        <v/>
      </c>
      <c r="R62" s="49">
        <f>IFERROR(R61/N61-1,"")</f>
        <v/>
      </c>
      <c r="S62" s="49">
        <f>IFERROR(S61/O61-1,"")</f>
        <v/>
      </c>
      <c r="T62" s="49">
        <f>IFERROR(T61/P61-1,"")</f>
        <v/>
      </c>
      <c r="U62" s="49">
        <f>IFERROR(U61/Q61-1,"")</f>
        <v/>
      </c>
      <c r="V62" s="49">
        <f>IFERROR(V61/R61-1,"")</f>
        <v/>
      </c>
      <c r="W62" s="49">
        <f>IFERROR(W61/S61-1,"")</f>
        <v/>
      </c>
      <c r="AB62" s="19" t="n"/>
      <c r="AD62" s="52">
        <f>IFERROR(AD61/AC61-1,"")</f>
        <v/>
      </c>
      <c r="AE62" s="52">
        <f>IFERROR(AE61/AD61-1,"")</f>
        <v/>
      </c>
      <c r="AF62" s="52">
        <f>IFERROR(AF61/AE61-1,"")</f>
        <v/>
      </c>
      <c r="AG62" s="52">
        <f>IFERROR(AG61/AF61-1,"")</f>
        <v/>
      </c>
      <c r="AH62" s="52">
        <f>IFERROR(AH61/AG61-1,"")</f>
        <v/>
      </c>
      <c r="AI62" s="52">
        <f>IFERROR(AI61/AH61-1,"")</f>
        <v/>
      </c>
      <c r="AJ62" s="52">
        <f>IFERROR(AJ61/AI61-1,"")</f>
        <v/>
      </c>
      <c r="AK62" s="52">
        <f>IFERROR(AK61/AJ61-1,"")</f>
        <v/>
      </c>
      <c r="AL62" s="52">
        <f>IFERROR(AL61/AK61-1,"")</f>
        <v/>
      </c>
      <c r="AM62" s="52">
        <f>IFERROR(AM61/AL61-1,"")</f>
        <v/>
      </c>
      <c r="AN62" s="52">
        <f>IFERROR(AN61/AM61-1,"")</f>
        <v/>
      </c>
    </row>
    <row r="63" outlineLevel="1">
      <c r="A63" s="20" t="inlineStr">
        <is>
          <t xml:space="preserve">  NSV / GMV</t>
        </is>
      </c>
      <c r="B63" s="17" t="inlineStr">
        <is>
          <t>%</t>
        </is>
      </c>
      <c r="C63" s="48" t="inlineStr">
        <is>
          <t>Assumption (edit me)</t>
        </is>
      </c>
      <c r="D63" s="49">
        <f>IFERROR(D64/D61,"")</f>
        <v/>
      </c>
      <c r="E63" s="49">
        <f>IFERROR(E64/E61,"")</f>
        <v/>
      </c>
      <c r="F63" s="49">
        <f>IFERROR(F64/F61,"")</f>
        <v/>
      </c>
      <c r="G63" s="49">
        <f>IFERROR(G64/G61,"")</f>
        <v/>
      </c>
      <c r="H63" s="49">
        <f>IFERROR(H64/H61,"")</f>
        <v/>
      </c>
      <c r="I63" s="49">
        <f>IFERROR(I64/I61,"")</f>
        <v/>
      </c>
      <c r="J63" s="49">
        <f>IFERROR(J64/J61,"")</f>
        <v/>
      </c>
      <c r="K63" s="49">
        <f>IFERROR(K64/K61,"")</f>
        <v/>
      </c>
      <c r="L63" s="49">
        <f>IFERROR(L64/L61,"")</f>
        <v/>
      </c>
      <c r="M63" s="49">
        <f>IFERROR(M64/M61,"")</f>
        <v/>
      </c>
      <c r="N63" s="49">
        <f>IFERROR(N64/N61,"")</f>
        <v/>
      </c>
      <c r="O63" s="49">
        <f>IFERROR(O64/O61,"")</f>
        <v/>
      </c>
      <c r="P63" s="49">
        <f>IFERROR(P64/P61,"")</f>
        <v/>
      </c>
      <c r="Q63" s="49">
        <f>IFERROR(Q64/Q61,"")</f>
        <v/>
      </c>
      <c r="R63" s="49">
        <f>IFERROR(R64/R61,"")</f>
        <v/>
      </c>
      <c r="S63" s="49">
        <f>IFERROR(S64/S61,"")</f>
        <v/>
      </c>
      <c r="T63" s="49">
        <f>IFERROR(T64/T61,"")</f>
        <v/>
      </c>
      <c r="U63" s="49">
        <f>IFERROR(U64/U61,"")</f>
        <v/>
      </c>
      <c r="V63" s="49">
        <f>IFERROR(V64/V61,"")</f>
        <v/>
      </c>
      <c r="W63" s="49">
        <f>IFERROR(W64/W61,"")</f>
        <v/>
      </c>
      <c r="AB63" s="19" t="n"/>
      <c r="AC63" s="52">
        <f>IFERROR(AC64/AC61,"")</f>
        <v/>
      </c>
      <c r="AD63" s="52">
        <f>IFERROR(AD64/AD61,"")</f>
        <v/>
      </c>
      <c r="AE63" s="52">
        <f>IFERROR(AE64/AE61,"")</f>
        <v/>
      </c>
      <c r="AF63" s="52">
        <f>IFERROR(AF64/AF61,"")</f>
        <v/>
      </c>
      <c r="AG63" s="52">
        <f>IFERROR(AG64/AG61,"")</f>
        <v/>
      </c>
      <c r="AH63" s="52">
        <f>IFERROR(AH64/AH61,"")</f>
        <v/>
      </c>
      <c r="AI63" s="52">
        <f>IFERROR(AI64/AI61,"")</f>
        <v/>
      </c>
      <c r="AJ63" s="52">
        <f>IFERROR(AJ64/AJ61,"")</f>
        <v/>
      </c>
      <c r="AK63" s="50" t="n">
        <v>0.292</v>
      </c>
      <c r="AL63" s="50" t="n">
        <v>0.292</v>
      </c>
      <c r="AM63" s="50" t="n">
        <v>0.292</v>
      </c>
      <c r="AN63" s="50" t="n">
        <v>0.292</v>
      </c>
    </row>
    <row r="64" outlineLevel="1">
      <c r="A64" s="20" t="inlineStr">
        <is>
          <t>NSV</t>
        </is>
      </c>
      <c r="B64" s="17" t="inlineStr">
        <is>
          <t>Rs Mn</t>
        </is>
      </c>
      <c r="C64" s="22" t="inlineStr">
        <is>
          <t>Link: Raw Data - Ops KPIs</t>
        </is>
      </c>
      <c r="D64" s="56">
        <f>'Raw Data - Ops KPIs'!D99</f>
        <v/>
      </c>
      <c r="E64" s="56">
        <f>'Raw Data - Ops KPIs'!E99</f>
        <v/>
      </c>
      <c r="F64" s="56">
        <f>'Raw Data - Ops KPIs'!F99</f>
        <v/>
      </c>
      <c r="G64" s="56">
        <f>'Raw Data - Ops KPIs'!G99</f>
        <v/>
      </c>
      <c r="H64" s="56">
        <f>'Raw Data - Ops KPIs'!H99</f>
        <v/>
      </c>
      <c r="I64" s="56">
        <f>'Raw Data - Ops KPIs'!I99</f>
        <v/>
      </c>
      <c r="J64" s="56">
        <f>'Raw Data - Ops KPIs'!J99</f>
        <v/>
      </c>
      <c r="K64" s="56">
        <f>'Raw Data - Ops KPIs'!K99</f>
        <v/>
      </c>
      <c r="L64" s="56">
        <f>'Raw Data - Ops KPIs'!L99</f>
        <v/>
      </c>
      <c r="M64" s="56">
        <f>'Raw Data - Ops KPIs'!M99</f>
        <v/>
      </c>
      <c r="N64" s="56">
        <f>'Raw Data - Ops KPIs'!N99</f>
        <v/>
      </c>
      <c r="O64" s="56">
        <f>'Raw Data - Ops KPIs'!O99</f>
        <v/>
      </c>
      <c r="P64" s="56">
        <f>'Raw Data - Ops KPIs'!P99</f>
        <v/>
      </c>
      <c r="Q64" s="56">
        <f>'Raw Data - Ops KPIs'!Q99</f>
        <v/>
      </c>
      <c r="R64" s="56">
        <f>'Raw Data - Ops KPIs'!R99</f>
        <v/>
      </c>
      <c r="S64" s="56">
        <f>'Raw Data - Ops KPIs'!S99</f>
        <v/>
      </c>
      <c r="T64" s="56">
        <f>'Raw Data - Ops KPIs'!T99</f>
        <v/>
      </c>
      <c r="U64" s="56">
        <f>'Raw Data - Ops KPIs'!U99</f>
        <v/>
      </c>
      <c r="V64" s="56">
        <f>'Raw Data - Ops KPIs'!V99</f>
        <v/>
      </c>
      <c r="W64" s="56">
        <f>'Raw Data - Ops KPIs'!W99</f>
        <v/>
      </c>
      <c r="AB64" s="19" t="n"/>
      <c r="AF64" s="56">
        <f>'Raw Data - Ops KPIs'!AF99</f>
        <v/>
      </c>
      <c r="AG64" s="56">
        <f>'Raw Data - Ops KPIs'!AG99</f>
        <v/>
      </c>
      <c r="AH64" s="56">
        <f>'Raw Data - Ops KPIs'!AH99</f>
        <v/>
      </c>
      <c r="AI64" s="56">
        <f>'Raw Data - Ops KPIs'!AI99</f>
        <v/>
      </c>
      <c r="AJ64" s="56">
        <f>'Raw Data - Ops KPIs'!AJ99</f>
        <v/>
      </c>
      <c r="AK64" s="56">
        <f>AK61*AK63</f>
        <v/>
      </c>
      <c r="AL64" s="56">
        <f>AL61*AL63</f>
        <v/>
      </c>
      <c r="AM64" s="56">
        <f>AM61*AM63</f>
        <v/>
      </c>
      <c r="AN64" s="56">
        <f>AN61*AN63</f>
        <v/>
      </c>
    </row>
    <row r="65" outlineLevel="1">
      <c r="A65" s="20" t="inlineStr">
        <is>
          <t xml:space="preserve">  Revenue / NSV</t>
        </is>
      </c>
      <c r="B65" s="17" t="inlineStr">
        <is>
          <t>%</t>
        </is>
      </c>
      <c r="C65" s="48" t="inlineStr">
        <is>
          <t>Assumption (edit me)</t>
        </is>
      </c>
      <c r="D65" s="49">
        <f>IFERROR(D66/D64,"")</f>
        <v/>
      </c>
      <c r="E65" s="49">
        <f>IFERROR(E66/E64,"")</f>
        <v/>
      </c>
      <c r="F65" s="49">
        <f>IFERROR(F66/F64,"")</f>
        <v/>
      </c>
      <c r="G65" s="49">
        <f>IFERROR(G66/G64,"")</f>
        <v/>
      </c>
      <c r="H65" s="49">
        <f>IFERROR(H66/H64,"")</f>
        <v/>
      </c>
      <c r="I65" s="49">
        <f>IFERROR(I66/I64,"")</f>
        <v/>
      </c>
      <c r="J65" s="49">
        <f>IFERROR(J66/J64,"")</f>
        <v/>
      </c>
      <c r="K65" s="49">
        <f>IFERROR(K66/K64,"")</f>
        <v/>
      </c>
      <c r="L65" s="49">
        <f>IFERROR(L66/L64,"")</f>
        <v/>
      </c>
      <c r="M65" s="49">
        <f>IFERROR(M66/M64,"")</f>
        <v/>
      </c>
      <c r="N65" s="49">
        <f>IFERROR(N66/N64,"")</f>
        <v/>
      </c>
      <c r="O65" s="49">
        <f>IFERROR(O66/O64,"")</f>
        <v/>
      </c>
      <c r="P65" s="49">
        <f>IFERROR(P66/P64,"")</f>
        <v/>
      </c>
      <c r="Q65" s="49">
        <f>IFERROR(Q66/Q64,"")</f>
        <v/>
      </c>
      <c r="R65" s="49">
        <f>IFERROR(R66/R64,"")</f>
        <v/>
      </c>
      <c r="S65" s="49">
        <f>IFERROR(S66/S64,"")</f>
        <v/>
      </c>
      <c r="T65" s="49">
        <f>IFERROR(T66/T64,"")</f>
        <v/>
      </c>
      <c r="U65" s="49">
        <f>IFERROR(U66/U64,"")</f>
        <v/>
      </c>
      <c r="V65" s="49">
        <f>IFERROR(V66/V64,"")</f>
        <v/>
      </c>
      <c r="W65" s="49">
        <f>IFERROR(W66/W64,"")</f>
        <v/>
      </c>
      <c r="AB65" s="19" t="n"/>
      <c r="AC65" s="52">
        <f>IFERROR(AC66/AC64,"")</f>
        <v/>
      </c>
      <c r="AD65" s="52">
        <f>IFERROR(AD66/AD64,"")</f>
        <v/>
      </c>
      <c r="AE65" s="52">
        <f>IFERROR(AE66/AE64,"")</f>
        <v/>
      </c>
      <c r="AF65" s="52">
        <f>IFERROR(AF66/AF64,"")</f>
        <v/>
      </c>
      <c r="AG65" s="52">
        <f>IFERROR(AG66/AG64,"")</f>
        <v/>
      </c>
      <c r="AH65" s="52">
        <f>IFERROR(AH66/AH64,"")</f>
        <v/>
      </c>
      <c r="AI65" s="52">
        <f>IFERROR(AI66/AI64,"")</f>
        <v/>
      </c>
      <c r="AJ65" s="52">
        <f>IFERROR(AJ66/AJ64,"")</f>
        <v/>
      </c>
      <c r="AK65" s="50" t="n">
        <v>0.575</v>
      </c>
      <c r="AL65" s="50" t="n">
        <v>0.575</v>
      </c>
      <c r="AM65" s="50" t="n">
        <v>0.575</v>
      </c>
      <c r="AN65" s="50" t="n">
        <v>0.575</v>
      </c>
    </row>
    <row r="66" outlineLevel="1">
      <c r="A66" s="20" t="inlineStr">
        <is>
          <t>Revenue</t>
        </is>
      </c>
      <c r="B66" s="17" t="inlineStr">
        <is>
          <t>Rs Mn</t>
        </is>
      </c>
      <c r="C66" s="22" t="inlineStr">
        <is>
          <t>Link: Raw Data - Ops KPIs</t>
        </is>
      </c>
      <c r="D66" s="56">
        <f>'Raw Data - Ops KPIs'!D101</f>
        <v/>
      </c>
      <c r="E66" s="56">
        <f>'Raw Data - Ops KPIs'!E101</f>
        <v/>
      </c>
      <c r="F66" s="56">
        <f>'Raw Data - Ops KPIs'!F101</f>
        <v/>
      </c>
      <c r="G66" s="56">
        <f>'Raw Data - Ops KPIs'!G101</f>
        <v/>
      </c>
      <c r="H66" s="56">
        <f>'Raw Data - Ops KPIs'!H101</f>
        <v/>
      </c>
      <c r="I66" s="56">
        <f>'Raw Data - Ops KPIs'!I101</f>
        <v/>
      </c>
      <c r="J66" s="56">
        <f>'Raw Data - Ops KPIs'!J101</f>
        <v/>
      </c>
      <c r="K66" s="56">
        <f>'Raw Data - Ops KPIs'!K101</f>
        <v/>
      </c>
      <c r="L66" s="56">
        <f>'Raw Data - Ops KPIs'!L101</f>
        <v/>
      </c>
      <c r="M66" s="56">
        <f>'Raw Data - Ops KPIs'!M101</f>
        <v/>
      </c>
      <c r="N66" s="56">
        <f>'Raw Data - Ops KPIs'!N101</f>
        <v/>
      </c>
      <c r="O66" s="56">
        <f>'Raw Data - Ops KPIs'!O101</f>
        <v/>
      </c>
      <c r="P66" s="56">
        <f>'Raw Data - Ops KPIs'!P101</f>
        <v/>
      </c>
      <c r="Q66" s="56">
        <f>'Raw Data - Ops KPIs'!Q101</f>
        <v/>
      </c>
      <c r="R66" s="56">
        <f>'Raw Data - Ops KPIs'!R101</f>
        <v/>
      </c>
      <c r="S66" s="56">
        <f>'Raw Data - Ops KPIs'!S101</f>
        <v/>
      </c>
      <c r="T66" s="56">
        <f>'Raw Data - Ops KPIs'!T101</f>
        <v/>
      </c>
      <c r="U66" s="56">
        <f>'Raw Data - Ops KPIs'!U101</f>
        <v/>
      </c>
      <c r="V66" s="56">
        <f>'Raw Data - Ops KPIs'!V101</f>
        <v/>
      </c>
      <c r="W66" s="56">
        <f>'Raw Data - Ops KPIs'!W101</f>
        <v/>
      </c>
      <c r="AB66" s="19" t="n"/>
      <c r="AF66" s="56">
        <f>'Raw Data - Ops KPIs'!AF101</f>
        <v/>
      </c>
      <c r="AG66" s="56">
        <f>'Raw Data - Ops KPIs'!AG101</f>
        <v/>
      </c>
      <c r="AH66" s="56">
        <f>'Raw Data - Ops KPIs'!AH101</f>
        <v/>
      </c>
      <c r="AI66" s="56">
        <f>'Raw Data - Ops KPIs'!AI101</f>
        <v/>
      </c>
      <c r="AJ66" s="56">
        <f>'Raw Data - Ops KPIs'!AJ101</f>
        <v/>
      </c>
      <c r="AK66" s="56">
        <f>AK64*AK65</f>
        <v/>
      </c>
      <c r="AL66" s="56">
        <f>AL64*AL65</f>
        <v/>
      </c>
      <c r="AM66" s="56">
        <f>AM64*AM65</f>
        <v/>
      </c>
      <c r="AN66" s="56">
        <f>AN64*AN65</f>
        <v/>
      </c>
    </row>
    <row r="67" outlineLevel="1">
      <c r="A67" s="20" t="inlineStr">
        <is>
          <t xml:space="preserve">  Gross margin (% of NSV)</t>
        </is>
      </c>
      <c r="B67" s="17" t="inlineStr">
        <is>
          <t>%</t>
        </is>
      </c>
      <c r="C67" s="48" t="inlineStr">
        <is>
          <t>Assumption (edit me)</t>
        </is>
      </c>
      <c r="D67" s="49">
        <f>IFERROR(D68/D64,"")</f>
        <v/>
      </c>
      <c r="E67" s="49">
        <f>IFERROR(E68/E64,"")</f>
        <v/>
      </c>
      <c r="F67" s="49">
        <f>IFERROR(F68/F64,"")</f>
        <v/>
      </c>
      <c r="G67" s="49">
        <f>IFERROR(G68/G64,"")</f>
        <v/>
      </c>
      <c r="H67" s="49">
        <f>IFERROR(H68/H64,"")</f>
        <v/>
      </c>
      <c r="I67" s="49">
        <f>IFERROR(I68/I64,"")</f>
        <v/>
      </c>
      <c r="J67" s="49">
        <f>IFERROR(J68/J64,"")</f>
        <v/>
      </c>
      <c r="K67" s="49">
        <f>IFERROR(K68/K64,"")</f>
        <v/>
      </c>
      <c r="L67" s="49">
        <f>IFERROR(L68/L64,"")</f>
        <v/>
      </c>
      <c r="M67" s="49">
        <f>IFERROR(M68/M64,"")</f>
        <v/>
      </c>
      <c r="N67" s="49">
        <f>IFERROR(N68/N64,"")</f>
        <v/>
      </c>
      <c r="O67" s="49">
        <f>IFERROR(O68/O64,"")</f>
        <v/>
      </c>
      <c r="P67" s="49">
        <f>IFERROR(P68/P64,"")</f>
        <v/>
      </c>
      <c r="Q67" s="49">
        <f>IFERROR(Q68/Q64,"")</f>
        <v/>
      </c>
      <c r="R67" s="49">
        <f>IFERROR(R68/R64,"")</f>
        <v/>
      </c>
      <c r="S67" s="49">
        <f>IFERROR(S68/S64,"")</f>
        <v/>
      </c>
      <c r="T67" s="49">
        <f>IFERROR(T68/T64,"")</f>
        <v/>
      </c>
      <c r="U67" s="49">
        <f>IFERROR(U68/U64,"")</f>
        <v/>
      </c>
      <c r="V67" s="49">
        <f>IFERROR(V68/V64,"")</f>
        <v/>
      </c>
      <c r="W67" s="49">
        <f>IFERROR(W68/W64,"")</f>
        <v/>
      </c>
      <c r="AB67" s="19" t="n"/>
      <c r="AC67" s="52">
        <f>IFERROR(AC68/AC64,"")</f>
        <v/>
      </c>
      <c r="AD67" s="52">
        <f>IFERROR(AD68/AD64,"")</f>
        <v/>
      </c>
      <c r="AE67" s="52">
        <f>IFERROR(AE68/AE64,"")</f>
        <v/>
      </c>
      <c r="AF67" s="52">
        <f>IFERROR(AF68/AF64,"")</f>
        <v/>
      </c>
      <c r="AG67" s="52">
        <f>IFERROR(AG68/AG64,"")</f>
        <v/>
      </c>
      <c r="AH67" s="52">
        <f>IFERROR(AH68/AH64,"")</f>
        <v/>
      </c>
      <c r="AI67" s="52">
        <f>IFERROR(AI68/AI64,"")</f>
        <v/>
      </c>
      <c r="AJ67" s="52">
        <f>IFERROR(AJ68/AJ64,"")</f>
        <v/>
      </c>
      <c r="AK67" s="50" t="n">
        <v>0.478</v>
      </c>
      <c r="AL67" s="50" t="n">
        <v>0.478</v>
      </c>
      <c r="AM67" s="50" t="n">
        <v>0.478</v>
      </c>
      <c r="AN67" s="50" t="n">
        <v>0.478</v>
      </c>
    </row>
    <row r="68" outlineLevel="1">
      <c r="A68" s="20" t="inlineStr">
        <is>
          <t>Gross profit</t>
        </is>
      </c>
      <c r="B68" s="17" t="inlineStr">
        <is>
          <t>Rs Mn</t>
        </is>
      </c>
      <c r="C68" s="22" t="inlineStr">
        <is>
          <t>Link: Raw Data - Ops KPIs</t>
        </is>
      </c>
      <c r="D68" s="56">
        <f>'Raw Data - Ops KPIs'!D103</f>
        <v/>
      </c>
      <c r="E68" s="56">
        <f>'Raw Data - Ops KPIs'!E103</f>
        <v/>
      </c>
      <c r="F68" s="56">
        <f>'Raw Data - Ops KPIs'!F103</f>
        <v/>
      </c>
      <c r="G68" s="56">
        <f>'Raw Data - Ops KPIs'!G103</f>
        <v/>
      </c>
      <c r="H68" s="56">
        <f>'Raw Data - Ops KPIs'!H103</f>
        <v/>
      </c>
      <c r="I68" s="56">
        <f>'Raw Data - Ops KPIs'!I103</f>
        <v/>
      </c>
      <c r="J68" s="56">
        <f>'Raw Data - Ops KPIs'!J103</f>
        <v/>
      </c>
      <c r="K68" s="56">
        <f>'Raw Data - Ops KPIs'!K103</f>
        <v/>
      </c>
      <c r="L68" s="56">
        <f>'Raw Data - Ops KPIs'!L103</f>
        <v/>
      </c>
      <c r="M68" s="56">
        <f>'Raw Data - Ops KPIs'!M103</f>
        <v/>
      </c>
      <c r="N68" s="56">
        <f>'Raw Data - Ops KPIs'!N103</f>
        <v/>
      </c>
      <c r="O68" s="56">
        <f>'Raw Data - Ops KPIs'!O103</f>
        <v/>
      </c>
      <c r="P68" s="56">
        <f>'Raw Data - Ops KPIs'!P103</f>
        <v/>
      </c>
      <c r="Q68" s="56">
        <f>'Raw Data - Ops KPIs'!Q103</f>
        <v/>
      </c>
      <c r="R68" s="56">
        <f>'Raw Data - Ops KPIs'!R103</f>
        <v/>
      </c>
      <c r="S68" s="56">
        <f>'Raw Data - Ops KPIs'!S103</f>
        <v/>
      </c>
      <c r="T68" s="56">
        <f>'Raw Data - Ops KPIs'!T103</f>
        <v/>
      </c>
      <c r="U68" s="56">
        <f>'Raw Data - Ops KPIs'!U103</f>
        <v/>
      </c>
      <c r="V68" s="56">
        <f>'Raw Data - Ops KPIs'!V103</f>
        <v/>
      </c>
      <c r="W68" s="56">
        <f>'Raw Data - Ops KPIs'!W103</f>
        <v/>
      </c>
      <c r="AB68" s="19" t="n"/>
      <c r="AF68" s="56">
        <f>'Raw Data - Ops KPIs'!AF103</f>
        <v/>
      </c>
      <c r="AG68" s="56">
        <f>'Raw Data - Ops KPIs'!AG103</f>
        <v/>
      </c>
      <c r="AH68" s="56">
        <f>'Raw Data - Ops KPIs'!AH103</f>
        <v/>
      </c>
      <c r="AI68" s="56">
        <f>'Raw Data - Ops KPIs'!AI103</f>
        <v/>
      </c>
      <c r="AJ68" s="56">
        <f>'Raw Data - Ops KPIs'!AJ103</f>
        <v/>
      </c>
      <c r="AK68" s="56">
        <f>AK64*AK67</f>
        <v/>
      </c>
      <c r="AL68" s="56">
        <f>AL64*AL67</f>
        <v/>
      </c>
      <c r="AM68" s="56">
        <f>AM64*AM67</f>
        <v/>
      </c>
      <c r="AN68" s="56">
        <f>AN64*AN67</f>
        <v/>
      </c>
    </row>
    <row r="69" outlineLevel="1">
      <c r="A69" s="20" t="inlineStr">
        <is>
          <t xml:space="preserve">  Fulfilment (% of NSV)</t>
        </is>
      </c>
      <c r="B69" s="17" t="inlineStr">
        <is>
          <t>%</t>
        </is>
      </c>
      <c r="C69" s="48" t="inlineStr">
        <is>
          <t>Assumption (edit me)</t>
        </is>
      </c>
      <c r="D69" s="49">
        <f>IFERROR(D70/D64,"")</f>
        <v/>
      </c>
      <c r="E69" s="49">
        <f>IFERROR(E70/E64,"")</f>
        <v/>
      </c>
      <c r="F69" s="49">
        <f>IFERROR(F70/F64,"")</f>
        <v/>
      </c>
      <c r="G69" s="49">
        <f>IFERROR(G70/G64,"")</f>
        <v/>
      </c>
      <c r="H69" s="49">
        <f>IFERROR(H70/H64,"")</f>
        <v/>
      </c>
      <c r="I69" s="49">
        <f>IFERROR(I70/I64,"")</f>
        <v/>
      </c>
      <c r="J69" s="49">
        <f>IFERROR(J70/J64,"")</f>
        <v/>
      </c>
      <c r="K69" s="49">
        <f>IFERROR(K70/K64,"")</f>
        <v/>
      </c>
      <c r="L69" s="49">
        <f>IFERROR(L70/L64,"")</f>
        <v/>
      </c>
      <c r="M69" s="49">
        <f>IFERROR(M70/M64,"")</f>
        <v/>
      </c>
      <c r="N69" s="49">
        <f>IFERROR(N70/N64,"")</f>
        <v/>
      </c>
      <c r="O69" s="49">
        <f>IFERROR(O70/O64,"")</f>
        <v/>
      </c>
      <c r="P69" s="49">
        <f>IFERROR(P70/P64,"")</f>
        <v/>
      </c>
      <c r="Q69" s="49">
        <f>IFERROR(Q70/Q64,"")</f>
        <v/>
      </c>
      <c r="R69" s="49">
        <f>IFERROR(R70/R64,"")</f>
        <v/>
      </c>
      <c r="S69" s="49">
        <f>IFERROR(S70/S64,"")</f>
        <v/>
      </c>
      <c r="T69" s="49">
        <f>IFERROR(T70/T64,"")</f>
        <v/>
      </c>
      <c r="U69" s="49">
        <f>IFERROR(U70/U64,"")</f>
        <v/>
      </c>
      <c r="V69" s="49">
        <f>IFERROR(V70/V64,"")</f>
        <v/>
      </c>
      <c r="W69" s="49">
        <f>IFERROR(W70/W64,"")</f>
        <v/>
      </c>
      <c r="AB69" s="19" t="n"/>
      <c r="AC69" s="52">
        <f>IFERROR(AC70/AC64,"")</f>
        <v/>
      </c>
      <c r="AD69" s="52">
        <f>IFERROR(AD70/AD64,"")</f>
        <v/>
      </c>
      <c r="AE69" s="52">
        <f>IFERROR(AE70/AE64,"")</f>
        <v/>
      </c>
      <c r="AF69" s="52">
        <f>IFERROR(AF70/AF64,"")</f>
        <v/>
      </c>
      <c r="AG69" s="52">
        <f>IFERROR(AG70/AG64,"")</f>
        <v/>
      </c>
      <c r="AH69" s="52">
        <f>IFERROR(AH70/AH64,"")</f>
        <v/>
      </c>
      <c r="AI69" s="52">
        <f>IFERROR(AI70/AI64,"")</f>
        <v/>
      </c>
      <c r="AJ69" s="52">
        <f>IFERROR(AJ70/AJ64,"")</f>
        <v/>
      </c>
      <c r="AK69" s="50" t="n">
        <v>0.113</v>
      </c>
      <c r="AL69" s="50" t="n">
        <v>0.113</v>
      </c>
      <c r="AM69" s="50" t="n">
        <v>0.113</v>
      </c>
      <c r="AN69" s="50" t="n">
        <v>0.113</v>
      </c>
    </row>
    <row r="70" outlineLevel="1">
      <c r="A70" s="20" t="inlineStr">
        <is>
          <t>Fulfilment cost</t>
        </is>
      </c>
      <c r="B70" s="17" t="inlineStr">
        <is>
          <t>Rs Mn</t>
        </is>
      </c>
      <c r="C70" s="22" t="inlineStr">
        <is>
          <t>Link: Raw Data - Ops KPIs</t>
        </is>
      </c>
      <c r="D70" s="56">
        <f>'Raw Data - Ops KPIs'!D105</f>
        <v/>
      </c>
      <c r="E70" s="56">
        <f>'Raw Data - Ops KPIs'!E105</f>
        <v/>
      </c>
      <c r="F70" s="56">
        <f>'Raw Data - Ops KPIs'!F105</f>
        <v/>
      </c>
      <c r="G70" s="56">
        <f>'Raw Data - Ops KPIs'!G105</f>
        <v/>
      </c>
      <c r="H70" s="56">
        <f>'Raw Data - Ops KPIs'!H105</f>
        <v/>
      </c>
      <c r="I70" s="56">
        <f>'Raw Data - Ops KPIs'!I105</f>
        <v/>
      </c>
      <c r="J70" s="56">
        <f>'Raw Data - Ops KPIs'!J105</f>
        <v/>
      </c>
      <c r="K70" s="56">
        <f>'Raw Data - Ops KPIs'!K105</f>
        <v/>
      </c>
      <c r="L70" s="56">
        <f>'Raw Data - Ops KPIs'!L105</f>
        <v/>
      </c>
      <c r="M70" s="56">
        <f>'Raw Data - Ops KPIs'!M105</f>
        <v/>
      </c>
      <c r="N70" s="56">
        <f>'Raw Data - Ops KPIs'!N105</f>
        <v/>
      </c>
      <c r="O70" s="56">
        <f>'Raw Data - Ops KPIs'!O105</f>
        <v/>
      </c>
      <c r="P70" s="56">
        <f>'Raw Data - Ops KPIs'!P105</f>
        <v/>
      </c>
      <c r="Q70" s="56">
        <f>'Raw Data - Ops KPIs'!Q105</f>
        <v/>
      </c>
      <c r="R70" s="56">
        <f>'Raw Data - Ops KPIs'!R105</f>
        <v/>
      </c>
      <c r="S70" s="56">
        <f>'Raw Data - Ops KPIs'!S105</f>
        <v/>
      </c>
      <c r="T70" s="56">
        <f>'Raw Data - Ops KPIs'!T105</f>
        <v/>
      </c>
      <c r="U70" s="56">
        <f>'Raw Data - Ops KPIs'!U105</f>
        <v/>
      </c>
      <c r="V70" s="56">
        <f>'Raw Data - Ops KPIs'!V105</f>
        <v/>
      </c>
      <c r="W70" s="56">
        <f>'Raw Data - Ops KPIs'!W105</f>
        <v/>
      </c>
      <c r="AB70" s="19" t="n"/>
      <c r="AF70" s="56">
        <f>'Raw Data - Ops KPIs'!AF105</f>
        <v/>
      </c>
      <c r="AG70" s="56">
        <f>'Raw Data - Ops KPIs'!AG105</f>
        <v/>
      </c>
      <c r="AH70" s="56">
        <f>'Raw Data - Ops KPIs'!AH105</f>
        <v/>
      </c>
      <c r="AI70" s="56">
        <f>'Raw Data - Ops KPIs'!AI105</f>
        <v/>
      </c>
      <c r="AJ70" s="56">
        <f>'Raw Data - Ops KPIs'!AJ105</f>
        <v/>
      </c>
      <c r="AK70" s="56">
        <f>AK64*AK69</f>
        <v/>
      </c>
      <c r="AL70" s="56">
        <f>AL64*AL69</f>
        <v/>
      </c>
      <c r="AM70" s="56">
        <f>AM64*AM69</f>
        <v/>
      </c>
      <c r="AN70" s="56">
        <f>AN64*AN69</f>
        <v/>
      </c>
    </row>
    <row r="71" outlineLevel="2">
      <c r="A71" s="20" t="inlineStr">
        <is>
          <t xml:space="preserve">  o/w Marketing (historical, linked)</t>
        </is>
      </c>
      <c r="B71" s="17" t="inlineStr">
        <is>
          <t>Rs Mn</t>
        </is>
      </c>
      <c r="C71" s="22" t="inlineStr">
        <is>
          <t>Link: Raw Data - Ops KPIs</t>
        </is>
      </c>
      <c r="D71" s="56">
        <f>'Raw Data - Ops KPIs'!D106</f>
        <v/>
      </c>
      <c r="E71" s="56">
        <f>'Raw Data - Ops KPIs'!E106</f>
        <v/>
      </c>
      <c r="F71" s="56">
        <f>'Raw Data - Ops KPIs'!F106</f>
        <v/>
      </c>
      <c r="G71" s="56">
        <f>'Raw Data - Ops KPIs'!G106</f>
        <v/>
      </c>
      <c r="H71" s="56">
        <f>'Raw Data - Ops KPIs'!H106</f>
        <v/>
      </c>
      <c r="I71" s="56">
        <f>'Raw Data - Ops KPIs'!I106</f>
        <v/>
      </c>
      <c r="J71" s="56">
        <f>'Raw Data - Ops KPIs'!J106</f>
        <v/>
      </c>
      <c r="K71" s="56">
        <f>'Raw Data - Ops KPIs'!K106</f>
        <v/>
      </c>
      <c r="L71" s="56">
        <f>'Raw Data - Ops KPIs'!L106</f>
        <v/>
      </c>
      <c r="M71" s="56">
        <f>'Raw Data - Ops KPIs'!M106</f>
        <v/>
      </c>
      <c r="N71" s="56">
        <f>'Raw Data - Ops KPIs'!N106</f>
        <v/>
      </c>
      <c r="O71" s="56">
        <f>'Raw Data - Ops KPIs'!O106</f>
        <v/>
      </c>
      <c r="P71" s="56">
        <f>'Raw Data - Ops KPIs'!P106</f>
        <v/>
      </c>
      <c r="Q71" s="56">
        <f>'Raw Data - Ops KPIs'!Q106</f>
        <v/>
      </c>
      <c r="R71" s="56">
        <f>'Raw Data - Ops KPIs'!R106</f>
        <v/>
      </c>
      <c r="S71" s="56">
        <f>'Raw Data - Ops KPIs'!S106</f>
        <v/>
      </c>
      <c r="T71" s="56">
        <f>'Raw Data - Ops KPIs'!T106</f>
        <v/>
      </c>
      <c r="U71" s="56">
        <f>'Raw Data - Ops KPIs'!U106</f>
        <v/>
      </c>
      <c r="V71" s="56">
        <f>'Raw Data - Ops KPIs'!V106</f>
        <v/>
      </c>
      <c r="W71" s="56">
        <f>'Raw Data - Ops KPIs'!W106</f>
        <v/>
      </c>
      <c r="AB71" s="19" t="n"/>
      <c r="AF71" s="56">
        <f>'Raw Data - Ops KPIs'!AF106</f>
        <v/>
      </c>
      <c r="AG71" s="56">
        <f>'Raw Data - Ops KPIs'!AG106</f>
        <v/>
      </c>
      <c r="AH71" s="56">
        <f>'Raw Data - Ops KPIs'!AH106</f>
        <v/>
      </c>
      <c r="AI71" s="56">
        <f>'Raw Data - Ops KPIs'!AI106</f>
        <v/>
      </c>
      <c r="AJ71" s="56">
        <f>'Raw Data - Ops KPIs'!AJ106</f>
        <v/>
      </c>
    </row>
    <row r="72" outlineLevel="2">
      <c r="A72" s="20" t="inlineStr">
        <is>
          <t xml:space="preserve">  o/w Selling &amp; distribution (historical, linked)</t>
        </is>
      </c>
      <c r="B72" s="17" t="inlineStr">
        <is>
          <t>Rs Mn</t>
        </is>
      </c>
      <c r="C72" s="22" t="inlineStr">
        <is>
          <t>Link: Raw Data - Ops KPIs</t>
        </is>
      </c>
      <c r="D72" s="56">
        <f>'Raw Data - Ops KPIs'!D107</f>
        <v/>
      </c>
      <c r="E72" s="56">
        <f>'Raw Data - Ops KPIs'!E107</f>
        <v/>
      </c>
      <c r="F72" s="56">
        <f>'Raw Data - Ops KPIs'!F107</f>
        <v/>
      </c>
      <c r="G72" s="56">
        <f>'Raw Data - Ops KPIs'!G107</f>
        <v/>
      </c>
      <c r="H72" s="56">
        <f>'Raw Data - Ops KPIs'!H107</f>
        <v/>
      </c>
      <c r="I72" s="56">
        <f>'Raw Data - Ops KPIs'!I107</f>
        <v/>
      </c>
      <c r="J72" s="56">
        <f>'Raw Data - Ops KPIs'!J107</f>
        <v/>
      </c>
      <c r="K72" s="56">
        <f>'Raw Data - Ops KPIs'!K107</f>
        <v/>
      </c>
      <c r="L72" s="56">
        <f>'Raw Data - Ops KPIs'!L107</f>
        <v/>
      </c>
      <c r="M72" s="56">
        <f>'Raw Data - Ops KPIs'!M107</f>
        <v/>
      </c>
      <c r="N72" s="56">
        <f>'Raw Data - Ops KPIs'!N107</f>
        <v/>
      </c>
      <c r="O72" s="56">
        <f>'Raw Data - Ops KPIs'!O107</f>
        <v/>
      </c>
      <c r="P72" s="56">
        <f>'Raw Data - Ops KPIs'!P107</f>
        <v/>
      </c>
      <c r="Q72" s="56">
        <f>'Raw Data - Ops KPIs'!Q107</f>
        <v/>
      </c>
      <c r="R72" s="56">
        <f>'Raw Data - Ops KPIs'!R107</f>
        <v/>
      </c>
      <c r="S72" s="56">
        <f>'Raw Data - Ops KPIs'!S107</f>
        <v/>
      </c>
      <c r="T72" s="56">
        <f>'Raw Data - Ops KPIs'!T107</f>
        <v/>
      </c>
      <c r="U72" s="56">
        <f>'Raw Data - Ops KPIs'!U107</f>
        <v/>
      </c>
      <c r="V72" s="56">
        <f>'Raw Data - Ops KPIs'!V107</f>
        <v/>
      </c>
      <c r="W72" s="56">
        <f>'Raw Data - Ops KPIs'!W107</f>
        <v/>
      </c>
      <c r="AB72" s="19" t="n"/>
      <c r="AF72" s="56">
        <f>'Raw Data - Ops KPIs'!AF107</f>
        <v/>
      </c>
      <c r="AG72" s="56">
        <f>'Raw Data - Ops KPIs'!AG107</f>
        <v/>
      </c>
      <c r="AH72" s="56">
        <f>'Raw Data - Ops KPIs'!AH107</f>
        <v/>
      </c>
      <c r="AI72" s="56">
        <f>'Raw Data - Ops KPIs'!AI107</f>
        <v/>
      </c>
      <c r="AJ72" s="56">
        <f>'Raw Data - Ops KPIs'!AJ107</f>
        <v/>
      </c>
    </row>
    <row r="73" outlineLevel="1">
      <c r="A73" s="20" t="inlineStr">
        <is>
          <t xml:space="preserve">  Marketing &amp; S&amp;D (% of NSV, combined)</t>
        </is>
      </c>
      <c r="B73" s="17" t="inlineStr">
        <is>
          <t>%</t>
        </is>
      </c>
      <c r="C73" s="48" t="inlineStr">
        <is>
          <t>Assumption (edit me)</t>
        </is>
      </c>
      <c r="D73" s="49">
        <f>IFERROR(D74/D64,"")</f>
        <v/>
      </c>
      <c r="E73" s="49">
        <f>IFERROR(E74/E64,"")</f>
        <v/>
      </c>
      <c r="F73" s="49">
        <f>IFERROR(F74/F64,"")</f>
        <v/>
      </c>
      <c r="G73" s="49">
        <f>IFERROR(G74/G64,"")</f>
        <v/>
      </c>
      <c r="H73" s="49">
        <f>IFERROR(H74/H64,"")</f>
        <v/>
      </c>
      <c r="I73" s="49">
        <f>IFERROR(I74/I64,"")</f>
        <v/>
      </c>
      <c r="J73" s="49">
        <f>IFERROR(J74/J64,"")</f>
        <v/>
      </c>
      <c r="K73" s="49">
        <f>IFERROR(K74/K64,"")</f>
        <v/>
      </c>
      <c r="L73" s="49">
        <f>IFERROR(L74/L64,"")</f>
        <v/>
      </c>
      <c r="M73" s="49">
        <f>IFERROR(M74/M64,"")</f>
        <v/>
      </c>
      <c r="N73" s="49">
        <f>IFERROR(N74/N64,"")</f>
        <v/>
      </c>
      <c r="O73" s="49">
        <f>IFERROR(O74/O64,"")</f>
        <v/>
      </c>
      <c r="P73" s="49">
        <f>IFERROR(P74/P64,"")</f>
        <v/>
      </c>
      <c r="Q73" s="49">
        <f>IFERROR(Q74/Q64,"")</f>
        <v/>
      </c>
      <c r="R73" s="49">
        <f>IFERROR(R74/R64,"")</f>
        <v/>
      </c>
      <c r="S73" s="49">
        <f>IFERROR(S74/S64,"")</f>
        <v/>
      </c>
      <c r="T73" s="49">
        <f>IFERROR(T74/T64,"")</f>
        <v/>
      </c>
      <c r="U73" s="49">
        <f>IFERROR(U74/U64,"")</f>
        <v/>
      </c>
      <c r="V73" s="49">
        <f>IFERROR(V74/V64,"")</f>
        <v/>
      </c>
      <c r="W73" s="49">
        <f>IFERROR(W74/W64,"")</f>
        <v/>
      </c>
      <c r="AB73" s="19" t="n"/>
      <c r="AC73" s="52">
        <f>IFERROR(AC74/AC64,"")</f>
        <v/>
      </c>
      <c r="AD73" s="52">
        <f>IFERROR(AD74/AD64,"")</f>
        <v/>
      </c>
      <c r="AE73" s="52">
        <f>IFERROR(AE74/AE64,"")</f>
        <v/>
      </c>
      <c r="AF73" s="52">
        <f>IFERROR(AF74/AF64,"")</f>
        <v/>
      </c>
      <c r="AG73" s="52">
        <f>IFERROR(AG74/AG64,"")</f>
        <v/>
      </c>
      <c r="AH73" s="52">
        <f>IFERROR(AH74/AH64,"")</f>
        <v/>
      </c>
      <c r="AI73" s="52">
        <f>IFERROR(AI74/AI64,"")</f>
        <v/>
      </c>
      <c r="AJ73" s="52">
        <f>IFERROR(AJ74/AJ64,"")</f>
        <v/>
      </c>
      <c r="AK73" s="50" t="n">
        <v>0.264</v>
      </c>
      <c r="AL73" s="50" t="n">
        <v>0.264</v>
      </c>
      <c r="AM73" s="50" t="n">
        <v>0.264</v>
      </c>
      <c r="AN73" s="50" t="n">
        <v>0.264</v>
      </c>
    </row>
    <row r="74" outlineLevel="1">
      <c r="A74" s="20" t="inlineStr">
        <is>
          <t>Marketing &amp; S&amp;D expense (combined)</t>
        </is>
      </c>
      <c r="B74" s="17" t="inlineStr">
        <is>
          <t>Rs Mn</t>
        </is>
      </c>
      <c r="C74" s="22" t="inlineStr">
        <is>
          <t>Formula</t>
        </is>
      </c>
      <c r="D74" s="55">
        <f>IF(AND(D71="",D72=""),"",IF(D71="",0,D71)+IF(D72="",0,D72))</f>
        <v/>
      </c>
      <c r="E74" s="55">
        <f>IF(AND(E71="",E72=""),"",IF(E71="",0,E71)+IF(E72="",0,E72))</f>
        <v/>
      </c>
      <c r="F74" s="55">
        <f>IF(AND(F71="",F72=""),"",IF(F71="",0,F71)+IF(F72="",0,F72))</f>
        <v/>
      </c>
      <c r="G74" s="55">
        <f>IF(AND(G71="",G72=""),"",IF(G71="",0,G71)+IF(G72="",0,G72))</f>
        <v/>
      </c>
      <c r="H74" s="55">
        <f>IF(AND(H71="",H72=""),"",IF(H71="",0,H71)+IF(H72="",0,H72))</f>
        <v/>
      </c>
      <c r="I74" s="55">
        <f>IF(AND(I71="",I72=""),"",IF(I71="",0,I71)+IF(I72="",0,I72))</f>
        <v/>
      </c>
      <c r="J74" s="55">
        <f>IF(AND(J71="",J72=""),"",IF(J71="",0,J71)+IF(J72="",0,J72))</f>
        <v/>
      </c>
      <c r="K74" s="55">
        <f>IF(AND(K71="",K72=""),"",IF(K71="",0,K71)+IF(K72="",0,K72))</f>
        <v/>
      </c>
      <c r="L74" s="55">
        <f>IF(AND(L71="",L72=""),"",IF(L71="",0,L71)+IF(L72="",0,L72))</f>
        <v/>
      </c>
      <c r="M74" s="55">
        <f>IF(AND(M71="",M72=""),"",IF(M71="",0,M71)+IF(M72="",0,M72))</f>
        <v/>
      </c>
      <c r="N74" s="55">
        <f>IF(AND(N71="",N72=""),"",IF(N71="",0,N71)+IF(N72="",0,N72))</f>
        <v/>
      </c>
      <c r="O74" s="55">
        <f>IF(AND(O71="",O72=""),"",IF(O71="",0,O71)+IF(O72="",0,O72))</f>
        <v/>
      </c>
      <c r="P74" s="55">
        <f>IF(AND(P71="",P72=""),"",IF(P71="",0,P71)+IF(P72="",0,P72))</f>
        <v/>
      </c>
      <c r="Q74" s="55">
        <f>IF(AND(Q71="",Q72=""),"",IF(Q71="",0,Q71)+IF(Q72="",0,Q72))</f>
        <v/>
      </c>
      <c r="R74" s="55">
        <f>IF(AND(R71="",R72=""),"",IF(R71="",0,R71)+IF(R72="",0,R72))</f>
        <v/>
      </c>
      <c r="S74" s="55">
        <f>IF(AND(S71="",S72=""),"",IF(S71="",0,S71)+IF(S72="",0,S72))</f>
        <v/>
      </c>
      <c r="T74" s="55">
        <f>IF(AND(T71="",T72=""),"",IF(T71="",0,T71)+IF(T72="",0,T72))</f>
        <v/>
      </c>
      <c r="U74" s="55">
        <f>IF(AND(U71="",U72=""),"",IF(U71="",0,U71)+IF(U72="",0,U72))</f>
        <v/>
      </c>
      <c r="V74" s="55">
        <f>IF(AND(V71="",V72=""),"",IF(V71="",0,V71)+IF(V72="",0,V72))</f>
        <v/>
      </c>
      <c r="W74" s="55">
        <f>IF(AND(W71="",W72=""),"",IF(W71="",0,W71)+IF(W72="",0,W72))</f>
        <v/>
      </c>
      <c r="AB74" s="19" t="n"/>
      <c r="AC74" s="56">
        <f>IF(AND(AC71="",AC72=""),"",IF(AC71="",0,AC71)+IF(AC72="",0,AC72))</f>
        <v/>
      </c>
      <c r="AD74" s="56">
        <f>IF(AND(AD71="",AD72=""),"",IF(AD71="",0,AD71)+IF(AD72="",0,AD72))</f>
        <v/>
      </c>
      <c r="AE74" s="56">
        <f>IF(AND(AE71="",AE72=""),"",IF(AE71="",0,AE71)+IF(AE72="",0,AE72))</f>
        <v/>
      </c>
      <c r="AF74" s="56">
        <f>IF(AND(AF71="",AF72=""),"",IF(AF71="",0,AF71)+IF(AF72="",0,AF72))</f>
        <v/>
      </c>
      <c r="AG74" s="56">
        <f>IF(AND(AG71="",AG72=""),"",IF(AG71="",0,AG71)+IF(AG72="",0,AG72))</f>
        <v/>
      </c>
      <c r="AH74" s="56">
        <f>IF(AND(AH71="",AH72=""),"",IF(AH71="",0,AH71)+IF(AH72="",0,AH72))</f>
        <v/>
      </c>
      <c r="AI74" s="56">
        <f>IF(AND(AI71="",AI72=""),"",IF(AI71="",0,AI71)+IF(AI72="",0,AI72))</f>
        <v/>
      </c>
      <c r="AJ74" s="56">
        <f>IF(AND(AJ71="",AJ72=""),"",IF(AJ71="",0,AJ71)+IF(AJ72="",0,AJ72))</f>
        <v/>
      </c>
      <c r="AK74" s="56">
        <f>AK64*AK73</f>
        <v/>
      </c>
      <c r="AL74" s="56">
        <f>AL64*AL73</f>
        <v/>
      </c>
      <c r="AM74" s="56">
        <f>AM64*AM73</f>
        <v/>
      </c>
      <c r="AN74" s="56">
        <f>AN64*AN73</f>
        <v/>
      </c>
    </row>
    <row r="75" outlineLevel="1">
      <c r="A75" s="20" t="inlineStr">
        <is>
          <t>Contribution profit</t>
        </is>
      </c>
      <c r="B75" s="17" t="inlineStr">
        <is>
          <t>Rs Mn</t>
        </is>
      </c>
      <c r="C75" s="22" t="inlineStr">
        <is>
          <t>Formula</t>
        </is>
      </c>
      <c r="D75" s="55">
        <f>IFERROR(D68-D70-D74,"")</f>
        <v/>
      </c>
      <c r="E75" s="55">
        <f>IFERROR(E68-E70-E74,"")</f>
        <v/>
      </c>
      <c r="F75" s="55">
        <f>IFERROR(F68-F70-F74,"")</f>
        <v/>
      </c>
      <c r="G75" s="55">
        <f>IFERROR(G68-G70-G74,"")</f>
        <v/>
      </c>
      <c r="H75" s="55">
        <f>IFERROR(H68-H70-H74,"")</f>
        <v/>
      </c>
      <c r="I75" s="55">
        <f>IFERROR(I68-I70-I74,"")</f>
        <v/>
      </c>
      <c r="J75" s="55">
        <f>IFERROR(J68-J70-J74,"")</f>
        <v/>
      </c>
      <c r="K75" s="55">
        <f>IFERROR(K68-K70-K74,"")</f>
        <v/>
      </c>
      <c r="L75" s="55">
        <f>IFERROR(L68-L70-L74,"")</f>
        <v/>
      </c>
      <c r="M75" s="55">
        <f>IFERROR(M68-M70-M74,"")</f>
        <v/>
      </c>
      <c r="N75" s="55">
        <f>IFERROR(N68-N70-N74,"")</f>
        <v/>
      </c>
      <c r="O75" s="55">
        <f>IFERROR(O68-O70-O74,"")</f>
        <v/>
      </c>
      <c r="P75" s="55">
        <f>IFERROR(P68-P70-P74,"")</f>
        <v/>
      </c>
      <c r="Q75" s="55">
        <f>IFERROR(Q68-Q70-Q74,"")</f>
        <v/>
      </c>
      <c r="R75" s="55">
        <f>IFERROR(R68-R70-R74,"")</f>
        <v/>
      </c>
      <c r="S75" s="55">
        <f>IFERROR(S68-S70-S74,"")</f>
        <v/>
      </c>
      <c r="T75" s="55">
        <f>IFERROR(T68-T70-T74,"")</f>
        <v/>
      </c>
      <c r="U75" s="55">
        <f>IFERROR(U68-U70-U74,"")</f>
        <v/>
      </c>
      <c r="V75" s="55">
        <f>IFERROR(V68-V70-V74,"")</f>
        <v/>
      </c>
      <c r="W75" s="55">
        <f>IFERROR(W68-W70-W74,"")</f>
        <v/>
      </c>
      <c r="AB75" s="19" t="n"/>
      <c r="AC75" s="56">
        <f>IFERROR(AC68-AC70-AC74,"")</f>
        <v/>
      </c>
      <c r="AD75" s="56">
        <f>IFERROR(AD68-AD70-AD74,"")</f>
        <v/>
      </c>
      <c r="AE75" s="56">
        <f>IFERROR(AE68-AE70-AE74,"")</f>
        <v/>
      </c>
      <c r="AF75" s="56">
        <f>IFERROR(AF68-AF70-AF74,"")</f>
        <v/>
      </c>
      <c r="AG75" s="56">
        <f>IFERROR(AG68-AG70-AG74,"")</f>
        <v/>
      </c>
      <c r="AH75" s="56">
        <f>IFERROR(AH68-AH70-AH74,"")</f>
        <v/>
      </c>
      <c r="AI75" s="56">
        <f>IFERROR(AI68-AI70-AI74,"")</f>
        <v/>
      </c>
      <c r="AJ75" s="56">
        <f>IFERROR(AJ68-AJ70-AJ74,"")</f>
        <v/>
      </c>
      <c r="AK75" s="56">
        <f>IFERROR(AK68-AK70-AK74,"")</f>
        <v/>
      </c>
      <c r="AL75" s="56">
        <f>IFERROR(AL68-AL70-AL74,"")</f>
        <v/>
      </c>
      <c r="AM75" s="56">
        <f>IFERROR(AM68-AM70-AM74,"")</f>
        <v/>
      </c>
      <c r="AN75" s="56">
        <f>IFERROR(AN68-AN70-AN74,"")</f>
        <v/>
      </c>
    </row>
    <row r="76" outlineLevel="1">
      <c r="A76" s="20" t="inlineStr">
        <is>
          <t xml:space="preserve">  Contribution margin (% of NSV)</t>
        </is>
      </c>
      <c r="B76" s="17" t="inlineStr">
        <is>
          <t>%</t>
        </is>
      </c>
      <c r="C76" s="22" t="inlineStr">
        <is>
          <t>Formula</t>
        </is>
      </c>
      <c r="D76" s="49">
        <f>IFERROR(D75/D64,"")</f>
        <v/>
      </c>
      <c r="E76" s="49">
        <f>IFERROR(E75/E64,"")</f>
        <v/>
      </c>
      <c r="F76" s="49">
        <f>IFERROR(F75/F64,"")</f>
        <v/>
      </c>
      <c r="G76" s="49">
        <f>IFERROR(G75/G64,"")</f>
        <v/>
      </c>
      <c r="H76" s="49">
        <f>IFERROR(H75/H64,"")</f>
        <v/>
      </c>
      <c r="I76" s="49">
        <f>IFERROR(I75/I64,"")</f>
        <v/>
      </c>
      <c r="J76" s="49">
        <f>IFERROR(J75/J64,"")</f>
        <v/>
      </c>
      <c r="K76" s="49">
        <f>IFERROR(K75/K64,"")</f>
        <v/>
      </c>
      <c r="L76" s="49">
        <f>IFERROR(L75/L64,"")</f>
        <v/>
      </c>
      <c r="M76" s="49">
        <f>IFERROR(M75/M64,"")</f>
        <v/>
      </c>
      <c r="N76" s="49">
        <f>IFERROR(N75/N64,"")</f>
        <v/>
      </c>
      <c r="O76" s="49">
        <f>IFERROR(O75/O64,"")</f>
        <v/>
      </c>
      <c r="P76" s="49">
        <f>IFERROR(P75/P64,"")</f>
        <v/>
      </c>
      <c r="Q76" s="49">
        <f>IFERROR(Q75/Q64,"")</f>
        <v/>
      </c>
      <c r="R76" s="49">
        <f>IFERROR(R75/R64,"")</f>
        <v/>
      </c>
      <c r="S76" s="49">
        <f>IFERROR(S75/S64,"")</f>
        <v/>
      </c>
      <c r="T76" s="49">
        <f>IFERROR(T75/T64,"")</f>
        <v/>
      </c>
      <c r="U76" s="49">
        <f>IFERROR(U75/U64,"")</f>
        <v/>
      </c>
      <c r="V76" s="49">
        <f>IFERROR(V75/V64,"")</f>
        <v/>
      </c>
      <c r="W76" s="49">
        <f>IFERROR(W75/W64,"")</f>
        <v/>
      </c>
      <c r="AB76" s="19" t="n"/>
      <c r="AC76" s="52">
        <f>IFERROR(AC75/AC64,"")</f>
        <v/>
      </c>
      <c r="AD76" s="52">
        <f>IFERROR(AD75/AD64,"")</f>
        <v/>
      </c>
      <c r="AE76" s="52">
        <f>IFERROR(AE75/AE64,"")</f>
        <v/>
      </c>
      <c r="AF76" s="52">
        <f>IFERROR(AF75/AF64,"")</f>
        <v/>
      </c>
      <c r="AG76" s="52">
        <f>IFERROR(AG75/AG64,"")</f>
        <v/>
      </c>
      <c r="AH76" s="52">
        <f>IFERROR(AH75/AH64,"")</f>
        <v/>
      </c>
      <c r="AI76" s="52">
        <f>IFERROR(AI75/AI64,"")</f>
        <v/>
      </c>
      <c r="AJ76" s="52">
        <f>IFERROR(AJ75/AJ64,"")</f>
        <v/>
      </c>
      <c r="AK76" s="52">
        <f>IFERROR(AK75/AK64,"")</f>
        <v/>
      </c>
      <c r="AL76" s="52">
        <f>IFERROR(AL75/AL64,"")</f>
        <v/>
      </c>
      <c r="AM76" s="52">
        <f>IFERROR(AM75/AM64,"")</f>
        <v/>
      </c>
      <c r="AN76" s="52">
        <f>IFERROR(AN75/AN64,"")</f>
        <v/>
      </c>
    </row>
    <row r="77" outlineLevel="1">
      <c r="A77" s="20" t="inlineStr">
        <is>
          <t xml:space="preserve">  Other expenses (% of NSV)</t>
        </is>
      </c>
      <c r="B77" s="17" t="inlineStr">
        <is>
          <t>%</t>
        </is>
      </c>
      <c r="C77" s="48" t="inlineStr">
        <is>
          <t>Assumption (edit me)</t>
        </is>
      </c>
      <c r="D77" s="49">
        <f>IFERROR(D78/D64,"")</f>
        <v/>
      </c>
      <c r="E77" s="49">
        <f>IFERROR(E78/E64,"")</f>
        <v/>
      </c>
      <c r="F77" s="49">
        <f>IFERROR(F78/F64,"")</f>
        <v/>
      </c>
      <c r="G77" s="49">
        <f>IFERROR(G78/G64,"")</f>
        <v/>
      </c>
      <c r="H77" s="49">
        <f>IFERROR(H78/H64,"")</f>
        <v/>
      </c>
      <c r="I77" s="49">
        <f>IFERROR(I78/I64,"")</f>
        <v/>
      </c>
      <c r="J77" s="49">
        <f>IFERROR(J78/J64,"")</f>
        <v/>
      </c>
      <c r="K77" s="49">
        <f>IFERROR(K78/K64,"")</f>
        <v/>
      </c>
      <c r="L77" s="49">
        <f>IFERROR(L78/L64,"")</f>
        <v/>
      </c>
      <c r="M77" s="49">
        <f>IFERROR(M78/M64,"")</f>
        <v/>
      </c>
      <c r="N77" s="49">
        <f>IFERROR(N78/N64,"")</f>
        <v/>
      </c>
      <c r="O77" s="49">
        <f>IFERROR(O78/O64,"")</f>
        <v/>
      </c>
      <c r="P77" s="49">
        <f>IFERROR(P78/P64,"")</f>
        <v/>
      </c>
      <c r="Q77" s="49">
        <f>IFERROR(Q78/Q64,"")</f>
        <v/>
      </c>
      <c r="R77" s="49">
        <f>IFERROR(R78/R64,"")</f>
        <v/>
      </c>
      <c r="S77" s="49">
        <f>IFERROR(S78/S64,"")</f>
        <v/>
      </c>
      <c r="T77" s="49">
        <f>IFERROR(T78/T64,"")</f>
        <v/>
      </c>
      <c r="U77" s="49">
        <f>IFERROR(U78/U64,"")</f>
        <v/>
      </c>
      <c r="V77" s="49">
        <f>IFERROR(V78/V64,"")</f>
        <v/>
      </c>
      <c r="W77" s="49">
        <f>IFERROR(W78/W64,"")</f>
        <v/>
      </c>
      <c r="AB77" s="19" t="n"/>
      <c r="AC77" s="52">
        <f>IFERROR(AC78/AC64,"")</f>
        <v/>
      </c>
      <c r="AD77" s="52">
        <f>IFERROR(AD78/AD64,"")</f>
        <v/>
      </c>
      <c r="AE77" s="52">
        <f>IFERROR(AE78/AE64,"")</f>
        <v/>
      </c>
      <c r="AF77" s="52">
        <f>IFERROR(AF78/AF64,"")</f>
        <v/>
      </c>
      <c r="AG77" s="52">
        <f>IFERROR(AG78/AG64,"")</f>
        <v/>
      </c>
      <c r="AH77" s="52">
        <f>IFERROR(AH78/AH64,"")</f>
        <v/>
      </c>
      <c r="AI77" s="52">
        <f>IFERROR(AI78/AI64,"")</f>
        <v/>
      </c>
      <c r="AJ77" s="52">
        <f>IFERROR(AJ78/AJ64,"")</f>
        <v/>
      </c>
      <c r="AK77" s="50" t="n">
        <v>0.128</v>
      </c>
      <c r="AL77" s="50" t="n">
        <v>0.128</v>
      </c>
      <c r="AM77" s="50" t="n">
        <v>0.128</v>
      </c>
      <c r="AN77" s="50" t="n">
        <v>0.128</v>
      </c>
    </row>
    <row r="78" outlineLevel="1">
      <c r="A78" s="20" t="inlineStr">
        <is>
          <t>Other expenses (G&amp;A + employee)</t>
        </is>
      </c>
      <c r="B78" s="17" t="inlineStr">
        <is>
          <t>Rs Mn</t>
        </is>
      </c>
      <c r="C78" s="22" t="inlineStr">
        <is>
          <t>Link: Raw Data - Ops KPIs</t>
        </is>
      </c>
      <c r="D78" s="56">
        <f>'Raw Data - Ops KPIs'!D110</f>
        <v/>
      </c>
      <c r="E78" s="56">
        <f>'Raw Data - Ops KPIs'!E110</f>
        <v/>
      </c>
      <c r="F78" s="56">
        <f>'Raw Data - Ops KPIs'!F110</f>
        <v/>
      </c>
      <c r="G78" s="56">
        <f>'Raw Data - Ops KPIs'!G110</f>
        <v/>
      </c>
      <c r="H78" s="56">
        <f>'Raw Data - Ops KPIs'!H110</f>
        <v/>
      </c>
      <c r="I78" s="56">
        <f>'Raw Data - Ops KPIs'!I110</f>
        <v/>
      </c>
      <c r="J78" s="56">
        <f>'Raw Data - Ops KPIs'!J110</f>
        <v/>
      </c>
      <c r="K78" s="56">
        <f>'Raw Data - Ops KPIs'!K110</f>
        <v/>
      </c>
      <c r="L78" s="56">
        <f>'Raw Data - Ops KPIs'!L110</f>
        <v/>
      </c>
      <c r="M78" s="56">
        <f>'Raw Data - Ops KPIs'!M110</f>
        <v/>
      </c>
      <c r="N78" s="56">
        <f>'Raw Data - Ops KPIs'!N110</f>
        <v/>
      </c>
      <c r="O78" s="56">
        <f>'Raw Data - Ops KPIs'!O110</f>
        <v/>
      </c>
      <c r="P78" s="56">
        <f>'Raw Data - Ops KPIs'!P110</f>
        <v/>
      </c>
      <c r="Q78" s="56">
        <f>'Raw Data - Ops KPIs'!Q110</f>
        <v/>
      </c>
      <c r="R78" s="56">
        <f>'Raw Data - Ops KPIs'!R110</f>
        <v/>
      </c>
      <c r="S78" s="56">
        <f>'Raw Data - Ops KPIs'!S110</f>
        <v/>
      </c>
      <c r="T78" s="56">
        <f>'Raw Data - Ops KPIs'!T110</f>
        <v/>
      </c>
      <c r="U78" s="56">
        <f>'Raw Data - Ops KPIs'!U110</f>
        <v/>
      </c>
      <c r="V78" s="56">
        <f>'Raw Data - Ops KPIs'!V110</f>
        <v/>
      </c>
      <c r="W78" s="56">
        <f>'Raw Data - Ops KPIs'!W110</f>
        <v/>
      </c>
      <c r="AB78" s="19" t="n"/>
      <c r="AF78" s="56">
        <f>'Raw Data - Ops KPIs'!AF110</f>
        <v/>
      </c>
      <c r="AG78" s="56">
        <f>'Raw Data - Ops KPIs'!AG110</f>
        <v/>
      </c>
      <c r="AH78" s="56">
        <f>'Raw Data - Ops KPIs'!AH110</f>
        <v/>
      </c>
      <c r="AI78" s="56">
        <f>'Raw Data - Ops KPIs'!AI110</f>
        <v/>
      </c>
      <c r="AJ78" s="56">
        <f>'Raw Data - Ops KPIs'!AJ110</f>
        <v/>
      </c>
      <c r="AK78" s="56">
        <f>AK64*AK77</f>
        <v/>
      </c>
      <c r="AL78" s="56">
        <f>AL64*AL77</f>
        <v/>
      </c>
      <c r="AM78" s="56">
        <f>AM64*AM77</f>
        <v/>
      </c>
      <c r="AN78" s="56">
        <f>AN64*AN77</f>
        <v/>
      </c>
    </row>
    <row r="79" outlineLevel="1">
      <c r="A79" s="20" t="inlineStr">
        <is>
          <t>EBITDA</t>
        </is>
      </c>
      <c r="B79" s="17" t="inlineStr">
        <is>
          <t>Rs Mn</t>
        </is>
      </c>
      <c r="C79" s="22" t="inlineStr">
        <is>
          <t>Formula</t>
        </is>
      </c>
      <c r="D79" s="55">
        <f>IFERROR(D75-D78,"")</f>
        <v/>
      </c>
      <c r="E79" s="55">
        <f>IFERROR(E75-E78,"")</f>
        <v/>
      </c>
      <c r="F79" s="55">
        <f>IFERROR(F75-F78,"")</f>
        <v/>
      </c>
      <c r="G79" s="55">
        <f>IFERROR(G75-G78,"")</f>
        <v/>
      </c>
      <c r="H79" s="55">
        <f>IFERROR(H75-H78,"")</f>
        <v/>
      </c>
      <c r="I79" s="55">
        <f>IFERROR(I75-I78,"")</f>
        <v/>
      </c>
      <c r="J79" s="55">
        <f>IFERROR(J75-J78,"")</f>
        <v/>
      </c>
      <c r="K79" s="55">
        <f>IFERROR(K75-K78,"")</f>
        <v/>
      </c>
      <c r="L79" s="55">
        <f>IFERROR(L75-L78,"")</f>
        <v/>
      </c>
      <c r="M79" s="55">
        <f>IFERROR(M75-M78,"")</f>
        <v/>
      </c>
      <c r="N79" s="55">
        <f>IFERROR(N75-N78,"")</f>
        <v/>
      </c>
      <c r="O79" s="55">
        <f>IFERROR(O75-O78,"")</f>
        <v/>
      </c>
      <c r="P79" s="55">
        <f>IFERROR(P75-P78,"")</f>
        <v/>
      </c>
      <c r="Q79" s="55">
        <f>IFERROR(Q75-Q78,"")</f>
        <v/>
      </c>
      <c r="R79" s="55">
        <f>IFERROR(R75-R78,"")</f>
        <v/>
      </c>
      <c r="S79" s="55">
        <f>IFERROR(S75-S78,"")</f>
        <v/>
      </c>
      <c r="T79" s="55">
        <f>IFERROR(T75-T78,"")</f>
        <v/>
      </c>
      <c r="U79" s="55">
        <f>IFERROR(U75-U78,"")</f>
        <v/>
      </c>
      <c r="V79" s="55">
        <f>IFERROR(V75-V78,"")</f>
        <v/>
      </c>
      <c r="W79" s="55">
        <f>IFERROR(W75-W78,"")</f>
        <v/>
      </c>
      <c r="AB79" s="19" t="n"/>
      <c r="AC79" s="56">
        <f>IFERROR(AC75-AC78,"")</f>
        <v/>
      </c>
      <c r="AD79" s="56">
        <f>IFERROR(AD75-AD78,"")</f>
        <v/>
      </c>
      <c r="AE79" s="56">
        <f>IFERROR(AE75-AE78,"")</f>
        <v/>
      </c>
      <c r="AF79" s="56">
        <f>IFERROR(AF75-AF78,"")</f>
        <v/>
      </c>
      <c r="AG79" s="56">
        <f>IFERROR(AG75-AG78,"")</f>
        <v/>
      </c>
      <c r="AH79" s="56">
        <f>IFERROR(AH75-AH78,"")</f>
        <v/>
      </c>
      <c r="AI79" s="56">
        <f>IFERROR(AI75-AI78,"")</f>
        <v/>
      </c>
      <c r="AJ79" s="56">
        <f>IFERROR(AJ75-AJ78,"")</f>
        <v/>
      </c>
      <c r="AK79" s="56">
        <f>IFERROR(AK75-AK78,"")</f>
        <v/>
      </c>
      <c r="AL79" s="56">
        <f>IFERROR(AL75-AL78,"")</f>
        <v/>
      </c>
      <c r="AM79" s="56">
        <f>IFERROR(AM75-AM78,"")</f>
        <v/>
      </c>
      <c r="AN79" s="56">
        <f>IFERROR(AN75-AN78,"")</f>
        <v/>
      </c>
    </row>
    <row r="80" outlineLevel="1">
      <c r="A80" s="20" t="inlineStr">
        <is>
          <t xml:space="preserve">  EBITDA margin (% of NSV)</t>
        </is>
      </c>
      <c r="B80" s="17" t="inlineStr">
        <is>
          <t>%</t>
        </is>
      </c>
      <c r="C80" s="22" t="inlineStr">
        <is>
          <t>Formula</t>
        </is>
      </c>
      <c r="D80" s="49">
        <f>IFERROR(D79/D64,"")</f>
        <v/>
      </c>
      <c r="E80" s="49">
        <f>IFERROR(E79/E64,"")</f>
        <v/>
      </c>
      <c r="F80" s="49">
        <f>IFERROR(F79/F64,"")</f>
        <v/>
      </c>
      <c r="G80" s="49">
        <f>IFERROR(G79/G64,"")</f>
        <v/>
      </c>
      <c r="H80" s="49">
        <f>IFERROR(H79/H64,"")</f>
        <v/>
      </c>
      <c r="I80" s="49">
        <f>IFERROR(I79/I64,"")</f>
        <v/>
      </c>
      <c r="J80" s="49">
        <f>IFERROR(J79/J64,"")</f>
        <v/>
      </c>
      <c r="K80" s="49">
        <f>IFERROR(K79/K64,"")</f>
        <v/>
      </c>
      <c r="L80" s="49">
        <f>IFERROR(L79/L64,"")</f>
        <v/>
      </c>
      <c r="M80" s="49">
        <f>IFERROR(M79/M64,"")</f>
        <v/>
      </c>
      <c r="N80" s="49">
        <f>IFERROR(N79/N64,"")</f>
        <v/>
      </c>
      <c r="O80" s="49">
        <f>IFERROR(O79/O64,"")</f>
        <v/>
      </c>
      <c r="P80" s="49">
        <f>IFERROR(P79/P64,"")</f>
        <v/>
      </c>
      <c r="Q80" s="49">
        <f>IFERROR(Q79/Q64,"")</f>
        <v/>
      </c>
      <c r="R80" s="49">
        <f>IFERROR(R79/R64,"")</f>
        <v/>
      </c>
      <c r="S80" s="49">
        <f>IFERROR(S79/S64,"")</f>
        <v/>
      </c>
      <c r="T80" s="49">
        <f>IFERROR(T79/T64,"")</f>
        <v/>
      </c>
      <c r="U80" s="49">
        <f>IFERROR(U79/U64,"")</f>
        <v/>
      </c>
      <c r="V80" s="49">
        <f>IFERROR(V79/V64,"")</f>
        <v/>
      </c>
      <c r="W80" s="49">
        <f>IFERROR(W79/W64,"")</f>
        <v/>
      </c>
      <c r="AB80" s="19" t="n"/>
      <c r="AC80" s="52">
        <f>IFERROR(AC79/AC64,"")</f>
        <v/>
      </c>
      <c r="AD80" s="52">
        <f>IFERROR(AD79/AD64,"")</f>
        <v/>
      </c>
      <c r="AE80" s="52">
        <f>IFERROR(AE79/AE64,"")</f>
        <v/>
      </c>
      <c r="AF80" s="52">
        <f>IFERROR(AF79/AF64,"")</f>
        <v/>
      </c>
      <c r="AG80" s="52">
        <f>IFERROR(AG79/AG64,"")</f>
        <v/>
      </c>
      <c r="AH80" s="52">
        <f>IFERROR(AH79/AH64,"")</f>
        <v/>
      </c>
      <c r="AI80" s="52">
        <f>IFERROR(AI79/AI64,"")</f>
        <v/>
      </c>
      <c r="AJ80" s="52">
        <f>IFERROR(AJ79/AJ64,"")</f>
        <v/>
      </c>
      <c r="AK80" s="52">
        <f>IFERROR(AK79/AK64,"")</f>
        <v/>
      </c>
      <c r="AL80" s="52">
        <f>IFERROR(AL79/AL64,"")</f>
        <v/>
      </c>
      <c r="AM80" s="52">
        <f>IFERROR(AM79/AM64,"")</f>
        <v/>
      </c>
      <c r="AN80" s="52">
        <f>IFERROR(AN79/AN64,"")</f>
        <v/>
      </c>
    </row>
    <row r="81">
      <c r="AB81" s="19" t="n"/>
    </row>
    <row r="82">
      <c r="A82" s="5" t="inlineStr">
        <is>
          <t>NEW BUSINESS (GCC + International)</t>
        </is>
      </c>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44" t="n"/>
      <c r="AC82" s="5" t="n"/>
      <c r="AD82" s="5" t="n"/>
      <c r="AE82" s="5" t="n"/>
      <c r="AF82" s="5" t="n"/>
      <c r="AG82" s="5" t="n"/>
      <c r="AH82" s="5" t="n"/>
      <c r="AI82" s="5" t="n"/>
      <c r="AJ82" s="5" t="n"/>
      <c r="AK82" s="5" t="n"/>
      <c r="AL82" s="5" t="n"/>
      <c r="AM82" s="5" t="n"/>
      <c r="AN82" s="5" t="n"/>
    </row>
    <row r="83">
      <c r="A83" s="17" t="inlineStr">
        <is>
          <t>Beauty retail in the Gulf Cooperation Council (via Apparel Group JV) and international markets. Small, volatile, residual segment (Total - Beauty - Fashion in the Raw Data tab) -- treat these projections as indicative only.</t>
        </is>
      </c>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45" t="n"/>
      <c r="AC83" s="17" t="n"/>
      <c r="AD83" s="17" t="n"/>
      <c r="AE83" s="17" t="n"/>
      <c r="AF83" s="17" t="n"/>
      <c r="AG83" s="17" t="n"/>
      <c r="AH83" s="17" t="n"/>
      <c r="AI83" s="17" t="n"/>
      <c r="AJ83" s="17" t="n"/>
      <c r="AK83" s="17" t="n"/>
      <c r="AL83" s="17" t="n"/>
      <c r="AM83" s="17" t="n"/>
      <c r="AN83" s="17" t="n"/>
    </row>
    <row r="84" outlineLevel="1">
      <c r="A84" s="20" t="inlineStr">
        <is>
          <t>GMV</t>
        </is>
      </c>
      <c r="B84" s="17" t="inlineStr">
        <is>
          <t>Rs Mn</t>
        </is>
      </c>
      <c r="C84" s="22" t="inlineStr">
        <is>
          <t>Link: Raw Data - Ops KPIs</t>
        </is>
      </c>
      <c r="D84" s="56">
        <f>'Raw Data - Ops KPIs'!D124</f>
        <v/>
      </c>
      <c r="E84" s="56">
        <f>'Raw Data - Ops KPIs'!E124</f>
        <v/>
      </c>
      <c r="F84" s="56">
        <f>'Raw Data - Ops KPIs'!F124</f>
        <v/>
      </c>
      <c r="G84" s="56">
        <f>'Raw Data - Ops KPIs'!G124</f>
        <v/>
      </c>
      <c r="H84" s="56">
        <f>'Raw Data - Ops KPIs'!H124</f>
        <v/>
      </c>
      <c r="I84" s="56">
        <f>'Raw Data - Ops KPIs'!I124</f>
        <v/>
      </c>
      <c r="J84" s="56">
        <f>'Raw Data - Ops KPIs'!J124</f>
        <v/>
      </c>
      <c r="K84" s="56">
        <f>'Raw Data - Ops KPIs'!K124</f>
        <v/>
      </c>
      <c r="L84" s="56">
        <f>'Raw Data - Ops KPIs'!L124</f>
        <v/>
      </c>
      <c r="M84" s="56">
        <f>'Raw Data - Ops KPIs'!M124</f>
        <v/>
      </c>
      <c r="N84" s="56">
        <f>'Raw Data - Ops KPIs'!N124</f>
        <v/>
      </c>
      <c r="O84" s="56">
        <f>'Raw Data - Ops KPIs'!O124</f>
        <v/>
      </c>
      <c r="P84" s="56">
        <f>'Raw Data - Ops KPIs'!P124</f>
        <v/>
      </c>
      <c r="Q84" s="56">
        <f>'Raw Data - Ops KPIs'!Q124</f>
        <v/>
      </c>
      <c r="R84" s="56">
        <f>'Raw Data - Ops KPIs'!R124</f>
        <v/>
      </c>
      <c r="S84" s="56">
        <f>'Raw Data - Ops KPIs'!S124</f>
        <v/>
      </c>
      <c r="T84" s="56">
        <f>'Raw Data - Ops KPIs'!T124</f>
        <v/>
      </c>
      <c r="U84" s="56">
        <f>'Raw Data - Ops KPIs'!U124</f>
        <v/>
      </c>
      <c r="V84" s="56">
        <f>'Raw Data - Ops KPIs'!V124</f>
        <v/>
      </c>
      <c r="W84" s="56">
        <f>'Raw Data - Ops KPIs'!W124</f>
        <v/>
      </c>
      <c r="AB84" s="19" t="n"/>
      <c r="AF84" s="56">
        <f>'Raw Data - Ops KPIs'!AF124</f>
        <v/>
      </c>
      <c r="AG84" s="56">
        <f>'Raw Data - Ops KPIs'!AG124</f>
        <v/>
      </c>
      <c r="AH84" s="56">
        <f>'Raw Data - Ops KPIs'!AH124</f>
        <v/>
      </c>
      <c r="AI84" s="56">
        <f>'Raw Data - Ops KPIs'!AI124</f>
        <v/>
      </c>
      <c r="AJ84" s="56">
        <f>'Raw Data - Ops KPIs'!AJ124</f>
        <v/>
      </c>
      <c r="AK84" s="56">
        <f>AJ84*(1+AK85)</f>
        <v/>
      </c>
      <c r="AL84" s="56">
        <f>AK84*(1+AL85)</f>
        <v/>
      </c>
      <c r="AM84" s="56">
        <f>AL84*(1+AM85)</f>
        <v/>
      </c>
      <c r="AN84" s="56">
        <f>AM84*(1+AN85)</f>
        <v/>
      </c>
    </row>
    <row r="85" outlineLevel="1">
      <c r="A85" s="20" t="inlineStr">
        <is>
          <t xml:space="preserve">  YoY growth</t>
        </is>
      </c>
      <c r="B85" s="17" t="inlineStr">
        <is>
          <t>%</t>
        </is>
      </c>
      <c r="C85" s="48" t="inlineStr">
        <is>
          <t>Assumption (edit me)</t>
        </is>
      </c>
      <c r="H85" s="49">
        <f>IFERROR(H84/D84-1,"")</f>
        <v/>
      </c>
      <c r="I85" s="49">
        <f>IFERROR(I84/E84-1,"")</f>
        <v/>
      </c>
      <c r="J85" s="49">
        <f>IFERROR(J84/F84-1,"")</f>
        <v/>
      </c>
      <c r="K85" s="49">
        <f>IFERROR(K84/G84-1,"")</f>
        <v/>
      </c>
      <c r="L85" s="49">
        <f>IFERROR(L84/H84-1,"")</f>
        <v/>
      </c>
      <c r="M85" s="49">
        <f>IFERROR(M84/I84-1,"")</f>
        <v/>
      </c>
      <c r="N85" s="49">
        <f>IFERROR(N84/J84-1,"")</f>
        <v/>
      </c>
      <c r="O85" s="49">
        <f>IFERROR(O84/K84-1,"")</f>
        <v/>
      </c>
      <c r="P85" s="49">
        <f>IFERROR(P84/L84-1,"")</f>
        <v/>
      </c>
      <c r="Q85" s="49">
        <f>IFERROR(Q84/M84-1,"")</f>
        <v/>
      </c>
      <c r="R85" s="49">
        <f>IFERROR(R84/N84-1,"")</f>
        <v/>
      </c>
      <c r="S85" s="49">
        <f>IFERROR(S84/O84-1,"")</f>
        <v/>
      </c>
      <c r="T85" s="49">
        <f>IFERROR(T84/P84-1,"")</f>
        <v/>
      </c>
      <c r="U85" s="49">
        <f>IFERROR(U84/Q84-1,"")</f>
        <v/>
      </c>
      <c r="V85" s="49">
        <f>IFERROR(V84/R84-1,"")</f>
        <v/>
      </c>
      <c r="W85" s="49">
        <f>IFERROR(W84/S84-1,"")</f>
        <v/>
      </c>
      <c r="AB85" s="19" t="n"/>
      <c r="AD85" s="52">
        <f>IFERROR(AD84/AC84-1,"")</f>
        <v/>
      </c>
      <c r="AE85" s="52">
        <f>IFERROR(AE84/AD84-1,"")</f>
        <v/>
      </c>
      <c r="AF85" s="52">
        <f>IFERROR(AF84/AE84-1,"")</f>
        <v/>
      </c>
      <c r="AG85" s="52">
        <f>IFERROR(AG84/AF84-1,"")</f>
        <v/>
      </c>
      <c r="AH85" s="52">
        <f>IFERROR(AH84/AG84-1,"")</f>
        <v/>
      </c>
      <c r="AI85" s="52">
        <f>IFERROR(AI84/AH84-1,"")</f>
        <v/>
      </c>
      <c r="AJ85" s="52">
        <f>IFERROR(AJ84/AI84-1,"")</f>
        <v/>
      </c>
      <c r="AK85" s="50" t="n">
        <v>0.3</v>
      </c>
      <c r="AL85" s="50" t="n">
        <v>0.3</v>
      </c>
      <c r="AM85" s="50" t="n">
        <v>0.3</v>
      </c>
      <c r="AN85" s="50" t="n">
        <v>0.3</v>
      </c>
    </row>
    <row r="86" outlineLevel="1">
      <c r="A86" s="20" t="inlineStr">
        <is>
          <t xml:space="preserve">  NSV / GMV</t>
        </is>
      </c>
      <c r="B86" s="17" t="inlineStr">
        <is>
          <t>%</t>
        </is>
      </c>
      <c r="C86" s="48" t="inlineStr">
        <is>
          <t>Assumption (edit me)</t>
        </is>
      </c>
      <c r="D86" s="49">
        <f>IFERROR(D87/D84,"")</f>
        <v/>
      </c>
      <c r="E86" s="49">
        <f>IFERROR(E87/E84,"")</f>
        <v/>
      </c>
      <c r="F86" s="49">
        <f>IFERROR(F87/F84,"")</f>
        <v/>
      </c>
      <c r="G86" s="49">
        <f>IFERROR(G87/G84,"")</f>
        <v/>
      </c>
      <c r="H86" s="49">
        <f>IFERROR(H87/H84,"")</f>
        <v/>
      </c>
      <c r="I86" s="49">
        <f>IFERROR(I87/I84,"")</f>
        <v/>
      </c>
      <c r="J86" s="49">
        <f>IFERROR(J87/J84,"")</f>
        <v/>
      </c>
      <c r="K86" s="49">
        <f>IFERROR(K87/K84,"")</f>
        <v/>
      </c>
      <c r="L86" s="49">
        <f>IFERROR(L87/L84,"")</f>
        <v/>
      </c>
      <c r="M86" s="49">
        <f>IFERROR(M87/M84,"")</f>
        <v/>
      </c>
      <c r="N86" s="49">
        <f>IFERROR(N87/N84,"")</f>
        <v/>
      </c>
      <c r="O86" s="49">
        <f>IFERROR(O87/O84,"")</f>
        <v/>
      </c>
      <c r="P86" s="49">
        <f>IFERROR(P87/P84,"")</f>
        <v/>
      </c>
      <c r="Q86" s="49">
        <f>IFERROR(Q87/Q84,"")</f>
        <v/>
      </c>
      <c r="R86" s="49">
        <f>IFERROR(R87/R84,"")</f>
        <v/>
      </c>
      <c r="S86" s="49">
        <f>IFERROR(S87/S84,"")</f>
        <v/>
      </c>
      <c r="T86" s="49">
        <f>IFERROR(T87/T84,"")</f>
        <v/>
      </c>
      <c r="U86" s="49">
        <f>IFERROR(U87/U84,"")</f>
        <v/>
      </c>
      <c r="V86" s="49">
        <f>IFERROR(V87/V84,"")</f>
        <v/>
      </c>
      <c r="W86" s="49">
        <f>IFERROR(W87/W84,"")</f>
        <v/>
      </c>
      <c r="AB86" s="19" t="n"/>
      <c r="AC86" s="52">
        <f>IFERROR(AC87/AC84,"")</f>
        <v/>
      </c>
      <c r="AD86" s="52">
        <f>IFERROR(AD87/AD84,"")</f>
        <v/>
      </c>
      <c r="AE86" s="52">
        <f>IFERROR(AE87/AE84,"")</f>
        <v/>
      </c>
      <c r="AF86" s="52">
        <f>IFERROR(AF87/AF84,"")</f>
        <v/>
      </c>
      <c r="AG86" s="52">
        <f>IFERROR(AG87/AG84,"")</f>
        <v/>
      </c>
      <c r="AH86" s="52">
        <f>IFERROR(AH87/AH84,"")</f>
        <v/>
      </c>
      <c r="AI86" s="52">
        <f>IFERROR(AI87/AI84,"")</f>
        <v/>
      </c>
      <c r="AJ86" s="52">
        <f>IFERROR(AJ87/AJ84,"")</f>
        <v/>
      </c>
      <c r="AK86" s="50" t="n">
        <v>0.85</v>
      </c>
      <c r="AL86" s="50" t="n">
        <v>0.85</v>
      </c>
      <c r="AM86" s="50" t="n">
        <v>0.85</v>
      </c>
      <c r="AN86" s="50" t="n">
        <v>0.85</v>
      </c>
    </row>
    <row r="87" outlineLevel="1">
      <c r="A87" s="20" t="inlineStr">
        <is>
          <t>NSV</t>
        </is>
      </c>
      <c r="B87" s="17" t="inlineStr">
        <is>
          <t>Rs Mn</t>
        </is>
      </c>
      <c r="C87" s="22" t="inlineStr">
        <is>
          <t>Link: Raw Data - Ops KPIs</t>
        </is>
      </c>
      <c r="D87" s="56">
        <f>'Raw Data - Ops KPIs'!D126</f>
        <v/>
      </c>
      <c r="E87" s="56">
        <f>'Raw Data - Ops KPIs'!E126</f>
        <v/>
      </c>
      <c r="F87" s="56">
        <f>'Raw Data - Ops KPIs'!F126</f>
        <v/>
      </c>
      <c r="G87" s="56">
        <f>'Raw Data - Ops KPIs'!G126</f>
        <v/>
      </c>
      <c r="H87" s="56">
        <f>'Raw Data - Ops KPIs'!H126</f>
        <v/>
      </c>
      <c r="I87" s="56">
        <f>'Raw Data - Ops KPIs'!I126</f>
        <v/>
      </c>
      <c r="J87" s="56">
        <f>'Raw Data - Ops KPIs'!J126</f>
        <v/>
      </c>
      <c r="K87" s="56">
        <f>'Raw Data - Ops KPIs'!K126</f>
        <v/>
      </c>
      <c r="L87" s="56">
        <f>'Raw Data - Ops KPIs'!L126</f>
        <v/>
      </c>
      <c r="M87" s="56">
        <f>'Raw Data - Ops KPIs'!M126</f>
        <v/>
      </c>
      <c r="N87" s="56">
        <f>'Raw Data - Ops KPIs'!N126</f>
        <v/>
      </c>
      <c r="O87" s="56">
        <f>'Raw Data - Ops KPIs'!O126</f>
        <v/>
      </c>
      <c r="P87" s="56">
        <f>'Raw Data - Ops KPIs'!P126</f>
        <v/>
      </c>
      <c r="Q87" s="56">
        <f>'Raw Data - Ops KPIs'!Q126</f>
        <v/>
      </c>
      <c r="R87" s="56">
        <f>'Raw Data - Ops KPIs'!R126</f>
        <v/>
      </c>
      <c r="S87" s="56">
        <f>'Raw Data - Ops KPIs'!S126</f>
        <v/>
      </c>
      <c r="T87" s="56">
        <f>'Raw Data - Ops KPIs'!T126</f>
        <v/>
      </c>
      <c r="U87" s="56">
        <f>'Raw Data - Ops KPIs'!U126</f>
        <v/>
      </c>
      <c r="V87" s="56">
        <f>'Raw Data - Ops KPIs'!V126</f>
        <v/>
      </c>
      <c r="W87" s="56">
        <f>'Raw Data - Ops KPIs'!W126</f>
        <v/>
      </c>
      <c r="AB87" s="19" t="n"/>
      <c r="AF87" s="56">
        <f>'Raw Data - Ops KPIs'!AF126</f>
        <v/>
      </c>
      <c r="AG87" s="56">
        <f>'Raw Data - Ops KPIs'!AG126</f>
        <v/>
      </c>
      <c r="AH87" s="56">
        <f>'Raw Data - Ops KPIs'!AH126</f>
        <v/>
      </c>
      <c r="AI87" s="56">
        <f>'Raw Data - Ops KPIs'!AI126</f>
        <v/>
      </c>
      <c r="AJ87" s="56">
        <f>'Raw Data - Ops KPIs'!AJ126</f>
        <v/>
      </c>
      <c r="AK87" s="56">
        <f>AK84*AK86</f>
        <v/>
      </c>
      <c r="AL87" s="56">
        <f>AL84*AL86</f>
        <v/>
      </c>
      <c r="AM87" s="56">
        <f>AM84*AM86</f>
        <v/>
      </c>
      <c r="AN87" s="56">
        <f>AN84*AN86</f>
        <v/>
      </c>
    </row>
    <row r="88" outlineLevel="1">
      <c r="A88" s="20" t="inlineStr">
        <is>
          <t xml:space="preserve">  Revenue / NSV</t>
        </is>
      </c>
      <c r="B88" s="17" t="inlineStr">
        <is>
          <t>%</t>
        </is>
      </c>
      <c r="C88" s="48" t="inlineStr">
        <is>
          <t>Assumption (edit me)</t>
        </is>
      </c>
      <c r="D88" s="49">
        <f>IFERROR(D89/D87,"")</f>
        <v/>
      </c>
      <c r="E88" s="49">
        <f>IFERROR(E89/E87,"")</f>
        <v/>
      </c>
      <c r="F88" s="49">
        <f>IFERROR(F89/F87,"")</f>
        <v/>
      </c>
      <c r="G88" s="49">
        <f>IFERROR(G89/G87,"")</f>
        <v/>
      </c>
      <c r="H88" s="49">
        <f>IFERROR(H89/H87,"")</f>
        <v/>
      </c>
      <c r="I88" s="49">
        <f>IFERROR(I89/I87,"")</f>
        <v/>
      </c>
      <c r="J88" s="49">
        <f>IFERROR(J89/J87,"")</f>
        <v/>
      </c>
      <c r="K88" s="49">
        <f>IFERROR(K89/K87,"")</f>
        <v/>
      </c>
      <c r="L88" s="49">
        <f>IFERROR(L89/L87,"")</f>
        <v/>
      </c>
      <c r="M88" s="49">
        <f>IFERROR(M89/M87,"")</f>
        <v/>
      </c>
      <c r="N88" s="49">
        <f>IFERROR(N89/N87,"")</f>
        <v/>
      </c>
      <c r="O88" s="49">
        <f>IFERROR(O89/O87,"")</f>
        <v/>
      </c>
      <c r="P88" s="49">
        <f>IFERROR(P89/P87,"")</f>
        <v/>
      </c>
      <c r="Q88" s="49">
        <f>IFERROR(Q89/Q87,"")</f>
        <v/>
      </c>
      <c r="R88" s="49">
        <f>IFERROR(R89/R87,"")</f>
        <v/>
      </c>
      <c r="S88" s="49">
        <f>IFERROR(S89/S87,"")</f>
        <v/>
      </c>
      <c r="T88" s="49">
        <f>IFERROR(T89/T87,"")</f>
        <v/>
      </c>
      <c r="U88" s="49">
        <f>IFERROR(U89/U87,"")</f>
        <v/>
      </c>
      <c r="V88" s="49">
        <f>IFERROR(V89/V87,"")</f>
        <v/>
      </c>
      <c r="W88" s="49">
        <f>IFERROR(W89/W87,"")</f>
        <v/>
      </c>
      <c r="AB88" s="19" t="n"/>
      <c r="AC88" s="52">
        <f>IFERROR(AC89/AC87,"")</f>
        <v/>
      </c>
      <c r="AD88" s="52">
        <f>IFERROR(AD89/AD87,"")</f>
        <v/>
      </c>
      <c r="AE88" s="52">
        <f>IFERROR(AE89/AE87,"")</f>
        <v/>
      </c>
      <c r="AF88" s="52">
        <f>IFERROR(AF89/AF87,"")</f>
        <v/>
      </c>
      <c r="AG88" s="52">
        <f>IFERROR(AG89/AG87,"")</f>
        <v/>
      </c>
      <c r="AH88" s="52">
        <f>IFERROR(AH89/AH87,"")</f>
        <v/>
      </c>
      <c r="AI88" s="52">
        <f>IFERROR(AI89/AI87,"")</f>
        <v/>
      </c>
      <c r="AJ88" s="52">
        <f>IFERROR(AJ89/AJ87,"")</f>
        <v/>
      </c>
      <c r="AK88" s="50" t="n">
        <v>1.09</v>
      </c>
      <c r="AL88" s="50" t="n">
        <v>1.09</v>
      </c>
      <c r="AM88" s="50" t="n">
        <v>1.09</v>
      </c>
      <c r="AN88" s="50" t="n">
        <v>1.09</v>
      </c>
    </row>
    <row r="89" outlineLevel="1">
      <c r="A89" s="20" t="inlineStr">
        <is>
          <t>Revenue</t>
        </is>
      </c>
      <c r="B89" s="17" t="inlineStr">
        <is>
          <t>Rs Mn</t>
        </is>
      </c>
      <c r="C89" s="22" t="inlineStr">
        <is>
          <t>Link: Raw Data - Ops KPIs</t>
        </is>
      </c>
      <c r="D89" s="56">
        <f>'Raw Data - Ops KPIs'!D127</f>
        <v/>
      </c>
      <c r="E89" s="56">
        <f>'Raw Data - Ops KPIs'!E127</f>
        <v/>
      </c>
      <c r="F89" s="56">
        <f>'Raw Data - Ops KPIs'!F127</f>
        <v/>
      </c>
      <c r="G89" s="56">
        <f>'Raw Data - Ops KPIs'!G127</f>
        <v/>
      </c>
      <c r="H89" s="56">
        <f>'Raw Data - Ops KPIs'!H127</f>
        <v/>
      </c>
      <c r="I89" s="56">
        <f>'Raw Data - Ops KPIs'!I127</f>
        <v/>
      </c>
      <c r="J89" s="56">
        <f>'Raw Data - Ops KPIs'!J127</f>
        <v/>
      </c>
      <c r="K89" s="56">
        <f>'Raw Data - Ops KPIs'!K127</f>
        <v/>
      </c>
      <c r="L89" s="56">
        <f>'Raw Data - Ops KPIs'!L127</f>
        <v/>
      </c>
      <c r="M89" s="56">
        <f>'Raw Data - Ops KPIs'!M127</f>
        <v/>
      </c>
      <c r="N89" s="56">
        <f>'Raw Data - Ops KPIs'!N127</f>
        <v/>
      </c>
      <c r="O89" s="56">
        <f>'Raw Data - Ops KPIs'!O127</f>
        <v/>
      </c>
      <c r="P89" s="56">
        <f>'Raw Data - Ops KPIs'!P127</f>
        <v/>
      </c>
      <c r="Q89" s="56">
        <f>'Raw Data - Ops KPIs'!Q127</f>
        <v/>
      </c>
      <c r="R89" s="56">
        <f>'Raw Data - Ops KPIs'!R127</f>
        <v/>
      </c>
      <c r="S89" s="56">
        <f>'Raw Data - Ops KPIs'!S127</f>
        <v/>
      </c>
      <c r="T89" s="56">
        <f>'Raw Data - Ops KPIs'!T127</f>
        <v/>
      </c>
      <c r="U89" s="56">
        <f>'Raw Data - Ops KPIs'!U127</f>
        <v/>
      </c>
      <c r="V89" s="56">
        <f>'Raw Data - Ops KPIs'!V127</f>
        <v/>
      </c>
      <c r="W89" s="56">
        <f>'Raw Data - Ops KPIs'!W127</f>
        <v/>
      </c>
      <c r="AB89" s="19" t="n"/>
      <c r="AF89" s="56">
        <f>'Raw Data - Ops KPIs'!AF127</f>
        <v/>
      </c>
      <c r="AG89" s="56">
        <f>'Raw Data - Ops KPIs'!AG127</f>
        <v/>
      </c>
      <c r="AH89" s="56">
        <f>'Raw Data - Ops KPIs'!AH127</f>
        <v/>
      </c>
      <c r="AI89" s="56">
        <f>'Raw Data - Ops KPIs'!AI127</f>
        <v/>
      </c>
      <c r="AJ89" s="56">
        <f>'Raw Data - Ops KPIs'!AJ127</f>
        <v/>
      </c>
      <c r="AK89" s="56">
        <f>AK87*AK88</f>
        <v/>
      </c>
      <c r="AL89" s="56">
        <f>AL87*AL88</f>
        <v/>
      </c>
      <c r="AM89" s="56">
        <f>AM87*AM88</f>
        <v/>
      </c>
      <c r="AN89" s="56">
        <f>AN87*AN88</f>
        <v/>
      </c>
    </row>
    <row r="90" outlineLevel="1">
      <c r="A90" s="20" t="inlineStr">
        <is>
          <t xml:space="preserve">  Contribution margin (% of NSV)</t>
        </is>
      </c>
      <c r="B90" s="17" t="inlineStr">
        <is>
          <t>%</t>
        </is>
      </c>
      <c r="C90" s="48" t="inlineStr">
        <is>
          <t>Assumption (edit me)</t>
        </is>
      </c>
      <c r="D90" s="49">
        <f>IFERROR(D91/D87,"")</f>
        <v/>
      </c>
      <c r="E90" s="49">
        <f>IFERROR(E91/E87,"")</f>
        <v/>
      </c>
      <c r="F90" s="49">
        <f>IFERROR(F91/F87,"")</f>
        <v/>
      </c>
      <c r="G90" s="49">
        <f>IFERROR(G91/G87,"")</f>
        <v/>
      </c>
      <c r="H90" s="49">
        <f>IFERROR(H91/H87,"")</f>
        <v/>
      </c>
      <c r="I90" s="49">
        <f>IFERROR(I91/I87,"")</f>
        <v/>
      </c>
      <c r="J90" s="49">
        <f>IFERROR(J91/J87,"")</f>
        <v/>
      </c>
      <c r="K90" s="49">
        <f>IFERROR(K91/K87,"")</f>
        <v/>
      </c>
      <c r="L90" s="49">
        <f>IFERROR(L91/L87,"")</f>
        <v/>
      </c>
      <c r="M90" s="49">
        <f>IFERROR(M91/M87,"")</f>
        <v/>
      </c>
      <c r="N90" s="49">
        <f>IFERROR(N91/N87,"")</f>
        <v/>
      </c>
      <c r="O90" s="49">
        <f>IFERROR(O91/O87,"")</f>
        <v/>
      </c>
      <c r="P90" s="49">
        <f>IFERROR(P91/P87,"")</f>
        <v/>
      </c>
      <c r="Q90" s="49">
        <f>IFERROR(Q91/Q87,"")</f>
        <v/>
      </c>
      <c r="R90" s="49">
        <f>IFERROR(R91/R87,"")</f>
        <v/>
      </c>
      <c r="S90" s="49">
        <f>IFERROR(S91/S87,"")</f>
        <v/>
      </c>
      <c r="T90" s="49">
        <f>IFERROR(T91/T87,"")</f>
        <v/>
      </c>
      <c r="U90" s="49">
        <f>IFERROR(U91/U87,"")</f>
        <v/>
      </c>
      <c r="V90" s="49">
        <f>IFERROR(V91/V87,"")</f>
        <v/>
      </c>
      <c r="W90" s="49">
        <f>IFERROR(W91/W87,"")</f>
        <v/>
      </c>
      <c r="AB90" s="19" t="n"/>
      <c r="AC90" s="52">
        <f>IFERROR(AC91/AC87,"")</f>
        <v/>
      </c>
      <c r="AD90" s="52">
        <f>IFERROR(AD91/AD87,"")</f>
        <v/>
      </c>
      <c r="AE90" s="52">
        <f>IFERROR(AE91/AE87,"")</f>
        <v/>
      </c>
      <c r="AF90" s="52">
        <f>IFERROR(AF91/AF87,"")</f>
        <v/>
      </c>
      <c r="AG90" s="52">
        <f>IFERROR(AG91/AG87,"")</f>
        <v/>
      </c>
      <c r="AH90" s="52">
        <f>IFERROR(AH91/AH87,"")</f>
        <v/>
      </c>
      <c r="AI90" s="52">
        <f>IFERROR(AI91/AI87,"")</f>
        <v/>
      </c>
      <c r="AJ90" s="52">
        <f>IFERROR(AJ91/AJ87,"")</f>
        <v/>
      </c>
      <c r="AK90" s="50" t="n">
        <v>0.16</v>
      </c>
      <c r="AL90" s="50" t="n">
        <v>0.16</v>
      </c>
      <c r="AM90" s="50" t="n">
        <v>0.16</v>
      </c>
      <c r="AN90" s="50" t="n">
        <v>0.16</v>
      </c>
    </row>
    <row r="91" outlineLevel="1">
      <c r="A91" s="20" t="inlineStr">
        <is>
          <t>Contribution profit</t>
        </is>
      </c>
      <c r="B91" s="17" t="inlineStr">
        <is>
          <t>Rs Mn</t>
        </is>
      </c>
      <c r="C91" s="22" t="inlineStr">
        <is>
          <t>Link: Raw Data - Ops KPIs</t>
        </is>
      </c>
      <c r="D91" s="56">
        <f>'Raw Data - Ops KPIs'!D131</f>
        <v/>
      </c>
      <c r="E91" s="56">
        <f>'Raw Data - Ops KPIs'!E131</f>
        <v/>
      </c>
      <c r="F91" s="56">
        <f>'Raw Data - Ops KPIs'!F131</f>
        <v/>
      </c>
      <c r="G91" s="56">
        <f>'Raw Data - Ops KPIs'!G131</f>
        <v/>
      </c>
      <c r="H91" s="56">
        <f>'Raw Data - Ops KPIs'!H131</f>
        <v/>
      </c>
      <c r="I91" s="56">
        <f>'Raw Data - Ops KPIs'!I131</f>
        <v/>
      </c>
      <c r="J91" s="56">
        <f>'Raw Data - Ops KPIs'!J131</f>
        <v/>
      </c>
      <c r="K91" s="56">
        <f>'Raw Data - Ops KPIs'!K131</f>
        <v/>
      </c>
      <c r="L91" s="56">
        <f>'Raw Data - Ops KPIs'!L131</f>
        <v/>
      </c>
      <c r="M91" s="56">
        <f>'Raw Data - Ops KPIs'!M131</f>
        <v/>
      </c>
      <c r="N91" s="56">
        <f>'Raw Data - Ops KPIs'!N131</f>
        <v/>
      </c>
      <c r="O91" s="56">
        <f>'Raw Data - Ops KPIs'!O131</f>
        <v/>
      </c>
      <c r="P91" s="56">
        <f>'Raw Data - Ops KPIs'!P131</f>
        <v/>
      </c>
      <c r="Q91" s="56">
        <f>'Raw Data - Ops KPIs'!Q131</f>
        <v/>
      </c>
      <c r="R91" s="56">
        <f>'Raw Data - Ops KPIs'!R131</f>
        <v/>
      </c>
      <c r="S91" s="56">
        <f>'Raw Data - Ops KPIs'!S131</f>
        <v/>
      </c>
      <c r="T91" s="56">
        <f>'Raw Data - Ops KPIs'!T131</f>
        <v/>
      </c>
      <c r="U91" s="56">
        <f>'Raw Data - Ops KPIs'!U131</f>
        <v/>
      </c>
      <c r="V91" s="56">
        <f>'Raw Data - Ops KPIs'!V131</f>
        <v/>
      </c>
      <c r="W91" s="56">
        <f>'Raw Data - Ops KPIs'!W131</f>
        <v/>
      </c>
      <c r="AB91" s="19" t="n"/>
      <c r="AF91" s="56">
        <f>'Raw Data - Ops KPIs'!AF131</f>
        <v/>
      </c>
      <c r="AG91" s="56">
        <f>'Raw Data - Ops KPIs'!AG131</f>
        <v/>
      </c>
      <c r="AH91" s="56">
        <f>'Raw Data - Ops KPIs'!AH131</f>
        <v/>
      </c>
      <c r="AI91" s="56">
        <f>'Raw Data - Ops KPIs'!AI131</f>
        <v/>
      </c>
      <c r="AJ91" s="56">
        <f>'Raw Data - Ops KPIs'!AJ131</f>
        <v/>
      </c>
      <c r="AK91" s="56">
        <f>AK87*AK90</f>
        <v/>
      </c>
      <c r="AL91" s="56">
        <f>AL87*AL90</f>
        <v/>
      </c>
      <c r="AM91" s="56">
        <f>AM87*AM90</f>
        <v/>
      </c>
      <c r="AN91" s="56">
        <f>AN87*AN90</f>
        <v/>
      </c>
    </row>
    <row r="92" outlineLevel="1">
      <c r="A92" s="20" t="inlineStr">
        <is>
          <t xml:space="preserve">  Other expenses (% of NSV)</t>
        </is>
      </c>
      <c r="B92" s="17" t="inlineStr">
        <is>
          <t>%</t>
        </is>
      </c>
      <c r="C92" s="48" t="inlineStr">
        <is>
          <t>Assumption (edit me)</t>
        </is>
      </c>
      <c r="D92" s="49">
        <f>IFERROR(D93/D87,"")</f>
        <v/>
      </c>
      <c r="E92" s="49">
        <f>IFERROR(E93/E87,"")</f>
        <v/>
      </c>
      <c r="F92" s="49">
        <f>IFERROR(F93/F87,"")</f>
        <v/>
      </c>
      <c r="G92" s="49">
        <f>IFERROR(G93/G87,"")</f>
        <v/>
      </c>
      <c r="H92" s="49">
        <f>IFERROR(H93/H87,"")</f>
        <v/>
      </c>
      <c r="I92" s="49">
        <f>IFERROR(I93/I87,"")</f>
        <v/>
      </c>
      <c r="J92" s="49">
        <f>IFERROR(J93/J87,"")</f>
        <v/>
      </c>
      <c r="K92" s="49">
        <f>IFERROR(K93/K87,"")</f>
        <v/>
      </c>
      <c r="L92" s="49">
        <f>IFERROR(L93/L87,"")</f>
        <v/>
      </c>
      <c r="M92" s="49">
        <f>IFERROR(M93/M87,"")</f>
        <v/>
      </c>
      <c r="N92" s="49">
        <f>IFERROR(N93/N87,"")</f>
        <v/>
      </c>
      <c r="O92" s="49">
        <f>IFERROR(O93/O87,"")</f>
        <v/>
      </c>
      <c r="P92" s="49">
        <f>IFERROR(P93/P87,"")</f>
        <v/>
      </c>
      <c r="Q92" s="49">
        <f>IFERROR(Q93/Q87,"")</f>
        <v/>
      </c>
      <c r="R92" s="49">
        <f>IFERROR(R93/R87,"")</f>
        <v/>
      </c>
      <c r="S92" s="49">
        <f>IFERROR(S93/S87,"")</f>
        <v/>
      </c>
      <c r="T92" s="49">
        <f>IFERROR(T93/T87,"")</f>
        <v/>
      </c>
      <c r="U92" s="49">
        <f>IFERROR(U93/U87,"")</f>
        <v/>
      </c>
      <c r="V92" s="49">
        <f>IFERROR(V93/V87,"")</f>
        <v/>
      </c>
      <c r="W92" s="49">
        <f>IFERROR(W93/W87,"")</f>
        <v/>
      </c>
      <c r="AB92" s="19" t="n"/>
      <c r="AC92" s="52">
        <f>IFERROR(AC93/AC87,"")</f>
        <v/>
      </c>
      <c r="AD92" s="52">
        <f>IFERROR(AD93/AD87,"")</f>
        <v/>
      </c>
      <c r="AE92" s="52">
        <f>IFERROR(AE93/AE87,"")</f>
        <v/>
      </c>
      <c r="AF92" s="52">
        <f>IFERROR(AF93/AF87,"")</f>
        <v/>
      </c>
      <c r="AG92" s="52">
        <f>IFERROR(AG93/AG87,"")</f>
        <v/>
      </c>
      <c r="AH92" s="52">
        <f>IFERROR(AH93/AH87,"")</f>
        <v/>
      </c>
      <c r="AI92" s="52">
        <f>IFERROR(AI93/AI87,"")</f>
        <v/>
      </c>
      <c r="AJ92" s="52">
        <f>IFERROR(AJ93/AJ87,"")</f>
        <v/>
      </c>
      <c r="AK92" s="50" t="n">
        <v>-0.1</v>
      </c>
      <c r="AL92" s="50" t="n">
        <v>-0.1</v>
      </c>
      <c r="AM92" s="50" t="n">
        <v>-0.1</v>
      </c>
      <c r="AN92" s="50" t="n">
        <v>-0.1</v>
      </c>
    </row>
    <row r="93" outlineLevel="1">
      <c r="A93" s="20" t="inlineStr">
        <is>
          <t>Other expenses (G&amp;A + employee)</t>
        </is>
      </c>
      <c r="B93" s="17" t="inlineStr">
        <is>
          <t>Rs Mn</t>
        </is>
      </c>
      <c r="C93" s="22" t="inlineStr">
        <is>
          <t>Link: Raw Data - Ops KPIs</t>
        </is>
      </c>
      <c r="D93" s="56">
        <f>'Raw Data - Ops KPIs'!D132</f>
        <v/>
      </c>
      <c r="E93" s="56">
        <f>'Raw Data - Ops KPIs'!E132</f>
        <v/>
      </c>
      <c r="F93" s="56">
        <f>'Raw Data - Ops KPIs'!F132</f>
        <v/>
      </c>
      <c r="G93" s="56">
        <f>'Raw Data - Ops KPIs'!G132</f>
        <v/>
      </c>
      <c r="H93" s="56">
        <f>'Raw Data - Ops KPIs'!H132</f>
        <v/>
      </c>
      <c r="I93" s="56">
        <f>'Raw Data - Ops KPIs'!I132</f>
        <v/>
      </c>
      <c r="J93" s="56">
        <f>'Raw Data - Ops KPIs'!J132</f>
        <v/>
      </c>
      <c r="K93" s="56">
        <f>'Raw Data - Ops KPIs'!K132</f>
        <v/>
      </c>
      <c r="L93" s="56">
        <f>'Raw Data - Ops KPIs'!L132</f>
        <v/>
      </c>
      <c r="M93" s="56">
        <f>'Raw Data - Ops KPIs'!M132</f>
        <v/>
      </c>
      <c r="N93" s="56">
        <f>'Raw Data - Ops KPIs'!N132</f>
        <v/>
      </c>
      <c r="O93" s="56">
        <f>'Raw Data - Ops KPIs'!O132</f>
        <v/>
      </c>
      <c r="P93" s="56">
        <f>'Raw Data - Ops KPIs'!P132</f>
        <v/>
      </c>
      <c r="Q93" s="56">
        <f>'Raw Data - Ops KPIs'!Q132</f>
        <v/>
      </c>
      <c r="R93" s="56">
        <f>'Raw Data - Ops KPIs'!R132</f>
        <v/>
      </c>
      <c r="S93" s="56">
        <f>'Raw Data - Ops KPIs'!S132</f>
        <v/>
      </c>
      <c r="T93" s="56">
        <f>'Raw Data - Ops KPIs'!T132</f>
        <v/>
      </c>
      <c r="U93" s="56">
        <f>'Raw Data - Ops KPIs'!U132</f>
        <v/>
      </c>
      <c r="V93" s="56">
        <f>'Raw Data - Ops KPIs'!V132</f>
        <v/>
      </c>
      <c r="W93" s="56">
        <f>'Raw Data - Ops KPIs'!W132</f>
        <v/>
      </c>
      <c r="AB93" s="19" t="n"/>
      <c r="AF93" s="56">
        <f>'Raw Data - Ops KPIs'!AF132</f>
        <v/>
      </c>
      <c r="AG93" s="56">
        <f>'Raw Data - Ops KPIs'!AG132</f>
        <v/>
      </c>
      <c r="AH93" s="56">
        <f>'Raw Data - Ops KPIs'!AH132</f>
        <v/>
      </c>
      <c r="AI93" s="56">
        <f>'Raw Data - Ops KPIs'!AI132</f>
        <v/>
      </c>
      <c r="AJ93" s="56">
        <f>'Raw Data - Ops KPIs'!AJ132</f>
        <v/>
      </c>
      <c r="AK93" s="56">
        <f>AK87*AK92</f>
        <v/>
      </c>
      <c r="AL93" s="56">
        <f>AL87*AL92</f>
        <v/>
      </c>
      <c r="AM93" s="56">
        <f>AM87*AM92</f>
        <v/>
      </c>
      <c r="AN93" s="56">
        <f>AN87*AN92</f>
        <v/>
      </c>
    </row>
    <row r="94" outlineLevel="1">
      <c r="A94" s="20" t="inlineStr">
        <is>
          <t>EBITDA</t>
        </is>
      </c>
      <c r="B94" s="17" t="inlineStr">
        <is>
          <t>Rs Mn</t>
        </is>
      </c>
      <c r="C94" s="22" t="inlineStr">
        <is>
          <t>Formula</t>
        </is>
      </c>
      <c r="D94" s="55">
        <f>IFERROR(D91-D93,"")</f>
        <v/>
      </c>
      <c r="E94" s="55">
        <f>IFERROR(E91-E93,"")</f>
        <v/>
      </c>
      <c r="F94" s="55">
        <f>IFERROR(F91-F93,"")</f>
        <v/>
      </c>
      <c r="G94" s="55">
        <f>IFERROR(G91-G93,"")</f>
        <v/>
      </c>
      <c r="H94" s="55">
        <f>IFERROR(H91-H93,"")</f>
        <v/>
      </c>
      <c r="I94" s="55">
        <f>IFERROR(I91-I93,"")</f>
        <v/>
      </c>
      <c r="J94" s="55">
        <f>IFERROR(J91-J93,"")</f>
        <v/>
      </c>
      <c r="K94" s="55">
        <f>IFERROR(K91-K93,"")</f>
        <v/>
      </c>
      <c r="L94" s="55">
        <f>IFERROR(L91-L93,"")</f>
        <v/>
      </c>
      <c r="M94" s="55">
        <f>IFERROR(M91-M93,"")</f>
        <v/>
      </c>
      <c r="N94" s="55">
        <f>IFERROR(N91-N93,"")</f>
        <v/>
      </c>
      <c r="O94" s="55">
        <f>IFERROR(O91-O93,"")</f>
        <v/>
      </c>
      <c r="P94" s="55">
        <f>IFERROR(P91-P93,"")</f>
        <v/>
      </c>
      <c r="Q94" s="55">
        <f>IFERROR(Q91-Q93,"")</f>
        <v/>
      </c>
      <c r="R94" s="55">
        <f>IFERROR(R91-R93,"")</f>
        <v/>
      </c>
      <c r="S94" s="55">
        <f>IFERROR(S91-S93,"")</f>
        <v/>
      </c>
      <c r="T94" s="55">
        <f>IFERROR(T91-T93,"")</f>
        <v/>
      </c>
      <c r="U94" s="55">
        <f>IFERROR(U91-U93,"")</f>
        <v/>
      </c>
      <c r="V94" s="55">
        <f>IFERROR(V91-V93,"")</f>
        <v/>
      </c>
      <c r="W94" s="55">
        <f>IFERROR(W91-W93,"")</f>
        <v/>
      </c>
      <c r="AB94" s="19" t="n"/>
      <c r="AC94" s="56">
        <f>IFERROR(AC91-AC93,"")</f>
        <v/>
      </c>
      <c r="AD94" s="56">
        <f>IFERROR(AD91-AD93,"")</f>
        <v/>
      </c>
      <c r="AE94" s="56">
        <f>IFERROR(AE91-AE93,"")</f>
        <v/>
      </c>
      <c r="AF94" s="56">
        <f>IFERROR(AF91-AF93,"")</f>
        <v/>
      </c>
      <c r="AG94" s="56">
        <f>IFERROR(AG91-AG93,"")</f>
        <v/>
      </c>
      <c r="AH94" s="56">
        <f>IFERROR(AH91-AH93,"")</f>
        <v/>
      </c>
      <c r="AI94" s="56">
        <f>IFERROR(AI91-AI93,"")</f>
        <v/>
      </c>
      <c r="AJ94" s="56">
        <f>IFERROR(AJ91-AJ93,"")</f>
        <v/>
      </c>
      <c r="AK94" s="56">
        <f>IFERROR(AK91-AK93,"")</f>
        <v/>
      </c>
      <c r="AL94" s="56">
        <f>IFERROR(AL91-AL93,"")</f>
        <v/>
      </c>
      <c r="AM94" s="56">
        <f>IFERROR(AM91-AM93,"")</f>
        <v/>
      </c>
      <c r="AN94" s="56">
        <f>IFERROR(AN91-AN93,"")</f>
        <v/>
      </c>
    </row>
    <row r="95" outlineLevel="1">
      <c r="A95" s="20" t="inlineStr">
        <is>
          <t xml:space="preserve">  EBITDA margin (% of NSV)</t>
        </is>
      </c>
      <c r="B95" s="17" t="inlineStr">
        <is>
          <t>%</t>
        </is>
      </c>
      <c r="C95" s="22" t="inlineStr">
        <is>
          <t>Formula</t>
        </is>
      </c>
      <c r="D95" s="49">
        <f>IFERROR(D94/D87,"")</f>
        <v/>
      </c>
      <c r="E95" s="49">
        <f>IFERROR(E94/E87,"")</f>
        <v/>
      </c>
      <c r="F95" s="49">
        <f>IFERROR(F94/F87,"")</f>
        <v/>
      </c>
      <c r="G95" s="49">
        <f>IFERROR(G94/G87,"")</f>
        <v/>
      </c>
      <c r="H95" s="49">
        <f>IFERROR(H94/H87,"")</f>
        <v/>
      </c>
      <c r="I95" s="49">
        <f>IFERROR(I94/I87,"")</f>
        <v/>
      </c>
      <c r="J95" s="49">
        <f>IFERROR(J94/J87,"")</f>
        <v/>
      </c>
      <c r="K95" s="49">
        <f>IFERROR(K94/K87,"")</f>
        <v/>
      </c>
      <c r="L95" s="49">
        <f>IFERROR(L94/L87,"")</f>
        <v/>
      </c>
      <c r="M95" s="49">
        <f>IFERROR(M94/M87,"")</f>
        <v/>
      </c>
      <c r="N95" s="49">
        <f>IFERROR(N94/N87,"")</f>
        <v/>
      </c>
      <c r="O95" s="49">
        <f>IFERROR(O94/O87,"")</f>
        <v/>
      </c>
      <c r="P95" s="49">
        <f>IFERROR(P94/P87,"")</f>
        <v/>
      </c>
      <c r="Q95" s="49">
        <f>IFERROR(Q94/Q87,"")</f>
        <v/>
      </c>
      <c r="R95" s="49">
        <f>IFERROR(R94/R87,"")</f>
        <v/>
      </c>
      <c r="S95" s="49">
        <f>IFERROR(S94/S87,"")</f>
        <v/>
      </c>
      <c r="T95" s="49">
        <f>IFERROR(T94/T87,"")</f>
        <v/>
      </c>
      <c r="U95" s="49">
        <f>IFERROR(U94/U87,"")</f>
        <v/>
      </c>
      <c r="V95" s="49">
        <f>IFERROR(V94/V87,"")</f>
        <v/>
      </c>
      <c r="W95" s="49">
        <f>IFERROR(W94/W87,"")</f>
        <v/>
      </c>
      <c r="AB95" s="19" t="n"/>
      <c r="AC95" s="52">
        <f>IFERROR(AC94/AC87,"")</f>
        <v/>
      </c>
      <c r="AD95" s="52">
        <f>IFERROR(AD94/AD87,"")</f>
        <v/>
      </c>
      <c r="AE95" s="52">
        <f>IFERROR(AE94/AE87,"")</f>
        <v/>
      </c>
      <c r="AF95" s="52">
        <f>IFERROR(AF94/AF87,"")</f>
        <v/>
      </c>
      <c r="AG95" s="52">
        <f>IFERROR(AG94/AG87,"")</f>
        <v/>
      </c>
      <c r="AH95" s="52">
        <f>IFERROR(AH94/AH87,"")</f>
        <v/>
      </c>
      <c r="AI95" s="52">
        <f>IFERROR(AI94/AI87,"")</f>
        <v/>
      </c>
      <c r="AJ95" s="52">
        <f>IFERROR(AJ94/AJ87,"")</f>
        <v/>
      </c>
      <c r="AK95" s="52">
        <f>IFERROR(AK94/AK87,"")</f>
        <v/>
      </c>
      <c r="AL95" s="52">
        <f>IFERROR(AL94/AL87,"")</f>
        <v/>
      </c>
      <c r="AM95" s="52">
        <f>IFERROR(AM94/AM87,"")</f>
        <v/>
      </c>
      <c r="AN95" s="52">
        <f>IFERROR(AN94/AN87,"")</f>
        <v/>
      </c>
    </row>
    <row r="96">
      <c r="AB96" s="19" t="n"/>
    </row>
    <row r="97">
      <c r="A97" s="5" t="inlineStr">
        <is>
          <t>CONSOLIDATED BRIDGE (EBITDA TO EPS)</t>
        </is>
      </c>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44" t="n"/>
      <c r="AC97" s="5" t="n"/>
      <c r="AD97" s="5" t="n"/>
      <c r="AE97" s="5" t="n"/>
      <c r="AF97" s="5" t="n"/>
      <c r="AG97" s="5" t="n"/>
      <c r="AH97" s="5" t="n"/>
      <c r="AI97" s="5" t="n"/>
      <c r="AJ97" s="5" t="n"/>
      <c r="AK97" s="5" t="n"/>
      <c r="AL97" s="5" t="n"/>
      <c r="AM97" s="5" t="n"/>
      <c r="AN97" s="5" t="n"/>
    </row>
    <row r="98">
      <c r="A98" s="17" t="inlineStr">
        <is>
          <t>Segment EBITDAs (Beauty + Fashion + New Business) roll up here, then D&amp;A / finance costs / other income / tax bring it down to PAT and EPS -- these lines aren't split by segment in Nykaa's disclosure, so they only exist at the consolidated level.</t>
        </is>
      </c>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45" t="n"/>
      <c r="AC98" s="17" t="n"/>
      <c r="AD98" s="17" t="n"/>
      <c r="AE98" s="17" t="n"/>
      <c r="AF98" s="17" t="n"/>
      <c r="AG98" s="17" t="n"/>
      <c r="AH98" s="17" t="n"/>
      <c r="AI98" s="17" t="n"/>
      <c r="AJ98" s="17" t="n"/>
      <c r="AK98" s="17" t="n"/>
      <c r="AL98" s="17" t="n"/>
      <c r="AM98" s="17" t="n"/>
      <c r="AN98" s="17" t="n"/>
    </row>
    <row r="99" outlineLevel="1">
      <c r="A99" s="20" t="inlineStr">
        <is>
          <t>Total EBITDA (Beauty + Fashion + New Business)</t>
        </is>
      </c>
      <c r="B99" s="17" t="inlineStr">
        <is>
          <t>Rs Mn</t>
        </is>
      </c>
      <c r="C99" s="22" t="inlineStr">
        <is>
          <t>Formula</t>
        </is>
      </c>
      <c r="D99" s="55">
        <f>IFERROR(D50+D79+D94,"")</f>
        <v/>
      </c>
      <c r="E99" s="55">
        <f>IFERROR(E50+E79+E94,"")</f>
        <v/>
      </c>
      <c r="F99" s="55">
        <f>IFERROR(F50+F79+F94,"")</f>
        <v/>
      </c>
      <c r="G99" s="55">
        <f>IFERROR(G50+G79+G94,"")</f>
        <v/>
      </c>
      <c r="H99" s="55">
        <f>IFERROR(H50+H79+H94,"")</f>
        <v/>
      </c>
      <c r="I99" s="55">
        <f>IFERROR(I50+I79+I94,"")</f>
        <v/>
      </c>
      <c r="J99" s="55">
        <f>IFERROR(J50+J79+J94,"")</f>
        <v/>
      </c>
      <c r="K99" s="55">
        <f>IFERROR(K50+K79+K94,"")</f>
        <v/>
      </c>
      <c r="L99" s="55">
        <f>IFERROR(L50+L79+L94,"")</f>
        <v/>
      </c>
      <c r="M99" s="55">
        <f>IFERROR(M50+M79+M94,"")</f>
        <v/>
      </c>
      <c r="N99" s="55">
        <f>IFERROR(N50+N79+N94,"")</f>
        <v/>
      </c>
      <c r="O99" s="55">
        <f>IFERROR(O50+O79+O94,"")</f>
        <v/>
      </c>
      <c r="P99" s="55">
        <f>IFERROR(P50+P79+P94,"")</f>
        <v/>
      </c>
      <c r="Q99" s="55">
        <f>IFERROR(Q50+Q79+Q94,"")</f>
        <v/>
      </c>
      <c r="R99" s="55">
        <f>IFERROR(R50+R79+R94,"")</f>
        <v/>
      </c>
      <c r="S99" s="55">
        <f>IFERROR(S50+S79+S94,"")</f>
        <v/>
      </c>
      <c r="T99" s="55">
        <f>IFERROR(T50+T79+T94,"")</f>
        <v/>
      </c>
      <c r="U99" s="55">
        <f>IFERROR(U50+U79+U94,"")</f>
        <v/>
      </c>
      <c r="V99" s="55">
        <f>IFERROR(V50+V79+V94,"")</f>
        <v/>
      </c>
      <c r="W99" s="55">
        <f>IFERROR(W50+W79+W94,"")</f>
        <v/>
      </c>
      <c r="AB99" s="19" t="n"/>
      <c r="AC99" s="56">
        <f>IFERROR(AC50+AC79+AC94,"")</f>
        <v/>
      </c>
      <c r="AD99" s="56">
        <f>IFERROR(AD50+AD79+AD94,"")</f>
        <v/>
      </c>
      <c r="AE99" s="56">
        <f>IFERROR(AE50+AE79+AE94,"")</f>
        <v/>
      </c>
      <c r="AF99" s="56">
        <f>IFERROR(AF50+AF79+AF94,"")</f>
        <v/>
      </c>
      <c r="AG99" s="56">
        <f>IFERROR(AG50+AG79+AG94,"")</f>
        <v/>
      </c>
      <c r="AH99" s="56">
        <f>IFERROR(AH50+AH79+AH94,"")</f>
        <v/>
      </c>
      <c r="AI99" s="56">
        <f>IFERROR(AI50+AI79+AI94,"")</f>
        <v/>
      </c>
      <c r="AJ99" s="56">
        <f>IFERROR(AJ50+AJ79+AJ94,"")</f>
        <v/>
      </c>
      <c r="AK99" s="56">
        <f>IFERROR(AK50+AK79+AK94,"")</f>
        <v/>
      </c>
      <c r="AL99" s="56">
        <f>IFERROR(AL50+AL79+AL94,"")</f>
        <v/>
      </c>
      <c r="AM99" s="56">
        <f>IFERROR(AM50+AM79+AM94,"")</f>
        <v/>
      </c>
      <c r="AN99" s="56">
        <f>IFERROR(AN50+AN79+AN94,"")</f>
        <v/>
      </c>
    </row>
    <row r="100" outlineLevel="1">
      <c r="A100" s="20" t="inlineStr">
        <is>
          <t xml:space="preserve">  EBITDA margin (% of Revenue)</t>
        </is>
      </c>
      <c r="B100" s="17" t="inlineStr">
        <is>
          <t>%</t>
        </is>
      </c>
      <c r="C100" s="22" t="inlineStr">
        <is>
          <t>Formula</t>
        </is>
      </c>
      <c r="D100" s="49">
        <f>IFERROR(D99/D9,"")</f>
        <v/>
      </c>
      <c r="E100" s="49">
        <f>IFERROR(E99/E9,"")</f>
        <v/>
      </c>
      <c r="F100" s="49">
        <f>IFERROR(F99/F9,"")</f>
        <v/>
      </c>
      <c r="G100" s="49">
        <f>IFERROR(G99/G9,"")</f>
        <v/>
      </c>
      <c r="H100" s="49">
        <f>IFERROR(H99/H9,"")</f>
        <v/>
      </c>
      <c r="I100" s="49">
        <f>IFERROR(I99/I9,"")</f>
        <v/>
      </c>
      <c r="J100" s="49">
        <f>IFERROR(J99/J9,"")</f>
        <v/>
      </c>
      <c r="K100" s="49">
        <f>IFERROR(K99/K9,"")</f>
        <v/>
      </c>
      <c r="L100" s="49">
        <f>IFERROR(L99/L9,"")</f>
        <v/>
      </c>
      <c r="M100" s="49">
        <f>IFERROR(M99/M9,"")</f>
        <v/>
      </c>
      <c r="N100" s="49">
        <f>IFERROR(N99/N9,"")</f>
        <v/>
      </c>
      <c r="O100" s="49">
        <f>IFERROR(O99/O9,"")</f>
        <v/>
      </c>
      <c r="P100" s="49">
        <f>IFERROR(P99/P9,"")</f>
        <v/>
      </c>
      <c r="Q100" s="49">
        <f>IFERROR(Q99/Q9,"")</f>
        <v/>
      </c>
      <c r="R100" s="49">
        <f>IFERROR(R99/R9,"")</f>
        <v/>
      </c>
      <c r="S100" s="49">
        <f>IFERROR(S99/S9,"")</f>
        <v/>
      </c>
      <c r="T100" s="49">
        <f>IFERROR(T99/T9,"")</f>
        <v/>
      </c>
      <c r="U100" s="49">
        <f>IFERROR(U99/U9,"")</f>
        <v/>
      </c>
      <c r="V100" s="49">
        <f>IFERROR(V99/V9,"")</f>
        <v/>
      </c>
      <c r="W100" s="49">
        <f>IFERROR(W99/W9,"")</f>
        <v/>
      </c>
      <c r="AB100" s="19" t="n"/>
      <c r="AC100" s="52">
        <f>IFERROR(AC99/AC9,"")</f>
        <v/>
      </c>
      <c r="AD100" s="52">
        <f>IFERROR(AD99/AD9,"")</f>
        <v/>
      </c>
      <c r="AE100" s="52">
        <f>IFERROR(AE99/AE9,"")</f>
        <v/>
      </c>
      <c r="AF100" s="52">
        <f>IFERROR(AF99/AF9,"")</f>
        <v/>
      </c>
      <c r="AG100" s="52">
        <f>IFERROR(AG99/AG9,"")</f>
        <v/>
      </c>
      <c r="AH100" s="52">
        <f>IFERROR(AH99/AH9,"")</f>
        <v/>
      </c>
      <c r="AI100" s="52">
        <f>IFERROR(AI99/AI9,"")</f>
        <v/>
      </c>
      <c r="AJ100" s="52">
        <f>IFERROR(AJ99/AJ9,"")</f>
        <v/>
      </c>
      <c r="AK100" s="52">
        <f>IFERROR(AK99/AK9,"")</f>
        <v/>
      </c>
      <c r="AL100" s="52">
        <f>IFERROR(AL99/AL9,"")</f>
        <v/>
      </c>
      <c r="AM100" s="52">
        <f>IFERROR(AM99/AM9,"")</f>
        <v/>
      </c>
      <c r="AN100" s="52">
        <f>IFERROR(AN99/AN9,"")</f>
        <v/>
      </c>
    </row>
    <row r="101" outlineLevel="1">
      <c r="A101" s="20" t="inlineStr">
        <is>
          <t xml:space="preserve">  D&amp;A (% of Revenue)</t>
        </is>
      </c>
      <c r="B101" s="17" t="inlineStr">
        <is>
          <t>%</t>
        </is>
      </c>
      <c r="C101" s="48" t="inlineStr">
        <is>
          <t>Assumption (edit me)</t>
        </is>
      </c>
      <c r="D101" s="49">
        <f>IFERROR(D102/D9,"")</f>
        <v/>
      </c>
      <c r="E101" s="49">
        <f>IFERROR(E102/E9,"")</f>
        <v/>
      </c>
      <c r="F101" s="49">
        <f>IFERROR(F102/F9,"")</f>
        <v/>
      </c>
      <c r="G101" s="49">
        <f>IFERROR(G102/G9,"")</f>
        <v/>
      </c>
      <c r="H101" s="49">
        <f>IFERROR(H102/H9,"")</f>
        <v/>
      </c>
      <c r="I101" s="49">
        <f>IFERROR(I102/I9,"")</f>
        <v/>
      </c>
      <c r="J101" s="49">
        <f>IFERROR(J102/J9,"")</f>
        <v/>
      </c>
      <c r="K101" s="49">
        <f>IFERROR(K102/K9,"")</f>
        <v/>
      </c>
      <c r="L101" s="49">
        <f>IFERROR(L102/L9,"")</f>
        <v/>
      </c>
      <c r="M101" s="49">
        <f>IFERROR(M102/M9,"")</f>
        <v/>
      </c>
      <c r="N101" s="49">
        <f>IFERROR(N102/N9,"")</f>
        <v/>
      </c>
      <c r="O101" s="49">
        <f>IFERROR(O102/O9,"")</f>
        <v/>
      </c>
      <c r="P101" s="49">
        <f>IFERROR(P102/P9,"")</f>
        <v/>
      </c>
      <c r="Q101" s="49">
        <f>IFERROR(Q102/Q9,"")</f>
        <v/>
      </c>
      <c r="R101" s="49">
        <f>IFERROR(R102/R9,"")</f>
        <v/>
      </c>
      <c r="S101" s="49">
        <f>IFERROR(S102/S9,"")</f>
        <v/>
      </c>
      <c r="T101" s="49">
        <f>IFERROR(T102/T9,"")</f>
        <v/>
      </c>
      <c r="U101" s="49">
        <f>IFERROR(U102/U9,"")</f>
        <v/>
      </c>
      <c r="V101" s="49">
        <f>IFERROR(V102/V9,"")</f>
        <v/>
      </c>
      <c r="W101" s="49">
        <f>IFERROR(W102/W9,"")</f>
        <v/>
      </c>
      <c r="AB101" s="19" t="n"/>
      <c r="AC101" s="52">
        <f>IFERROR(AC102/AC9,"")</f>
        <v/>
      </c>
      <c r="AD101" s="52">
        <f>IFERROR(AD102/AD9,"")</f>
        <v/>
      </c>
      <c r="AE101" s="52">
        <f>IFERROR(AE102/AE9,"")</f>
        <v/>
      </c>
      <c r="AF101" s="52">
        <f>IFERROR(AF102/AF9,"")</f>
        <v/>
      </c>
      <c r="AG101" s="52">
        <f>IFERROR(AG102/AG9,"")</f>
        <v/>
      </c>
      <c r="AH101" s="52">
        <f>IFERROR(AH102/AH9,"")</f>
        <v/>
      </c>
      <c r="AI101" s="52">
        <f>IFERROR(AI102/AI9,"")</f>
        <v/>
      </c>
      <c r="AJ101" s="52">
        <f>IFERROR(AJ102/AJ9,"")</f>
        <v/>
      </c>
      <c r="AK101" s="50" t="n">
        <v>0.032</v>
      </c>
      <c r="AL101" s="50" t="n">
        <v>0.032</v>
      </c>
      <c r="AM101" s="50" t="n">
        <v>0.032</v>
      </c>
      <c r="AN101" s="50" t="n">
        <v>0.032</v>
      </c>
    </row>
    <row r="102" outlineLevel="1">
      <c r="A102" s="20" t="inlineStr">
        <is>
          <t>Depreciation &amp; amortisation</t>
        </is>
      </c>
      <c r="B102" s="17" t="inlineStr">
        <is>
          <t>Rs Mn</t>
        </is>
      </c>
      <c r="C102" s="22" t="inlineStr">
        <is>
          <t>Link: Raw Data - financials</t>
        </is>
      </c>
      <c r="D102" s="56">
        <f>'Raw Data - financials'!D15</f>
        <v/>
      </c>
      <c r="E102" s="56">
        <f>'Raw Data - financials'!E15</f>
        <v/>
      </c>
      <c r="F102" s="56">
        <f>'Raw Data - financials'!F15</f>
        <v/>
      </c>
      <c r="G102" s="56">
        <f>'Raw Data - financials'!G15</f>
        <v/>
      </c>
      <c r="H102" s="56">
        <f>'Raw Data - financials'!H15</f>
        <v/>
      </c>
      <c r="I102" s="56">
        <f>'Raw Data - financials'!I15</f>
        <v/>
      </c>
      <c r="J102" s="56">
        <f>'Raw Data - financials'!J15</f>
        <v/>
      </c>
      <c r="K102" s="56">
        <f>'Raw Data - financials'!K15</f>
        <v/>
      </c>
      <c r="L102" s="56">
        <f>'Raw Data - financials'!L15</f>
        <v/>
      </c>
      <c r="M102" s="56">
        <f>'Raw Data - financials'!M15</f>
        <v/>
      </c>
      <c r="N102" s="56">
        <f>'Raw Data - financials'!N15</f>
        <v/>
      </c>
      <c r="O102" s="56">
        <f>'Raw Data - financials'!O15</f>
        <v/>
      </c>
      <c r="P102" s="56">
        <f>'Raw Data - financials'!P15</f>
        <v/>
      </c>
      <c r="Q102" s="56">
        <f>'Raw Data - financials'!Q15</f>
        <v/>
      </c>
      <c r="R102" s="56">
        <f>'Raw Data - financials'!R15</f>
        <v/>
      </c>
      <c r="S102" s="56">
        <f>'Raw Data - financials'!S15</f>
        <v/>
      </c>
      <c r="T102" s="56">
        <f>'Raw Data - financials'!T15</f>
        <v/>
      </c>
      <c r="U102" s="56">
        <f>'Raw Data - financials'!U15</f>
        <v/>
      </c>
      <c r="V102" s="56">
        <f>'Raw Data - financials'!V15</f>
        <v/>
      </c>
      <c r="W102" s="56">
        <f>'Raw Data - financials'!W15</f>
        <v/>
      </c>
      <c r="AB102" s="19" t="n"/>
      <c r="AC102" s="56">
        <f>'Raw Data - financials'!AC15</f>
        <v/>
      </c>
      <c r="AD102" s="56">
        <f>'Raw Data - financials'!AD15</f>
        <v/>
      </c>
      <c r="AE102" s="56">
        <f>'Raw Data - financials'!AE15</f>
        <v/>
      </c>
      <c r="AF102" s="56">
        <f>'Raw Data - financials'!AF15</f>
        <v/>
      </c>
      <c r="AG102" s="56">
        <f>'Raw Data - financials'!AG15</f>
        <v/>
      </c>
      <c r="AH102" s="56">
        <f>'Raw Data - financials'!AH15</f>
        <v/>
      </c>
      <c r="AI102" s="56">
        <f>'Raw Data - financials'!AI15</f>
        <v/>
      </c>
      <c r="AJ102" s="56">
        <f>'Raw Data - financials'!AJ15</f>
        <v/>
      </c>
      <c r="AK102" s="56">
        <f>AK9*AK101</f>
        <v/>
      </c>
      <c r="AL102" s="56">
        <f>AL9*AL101</f>
        <v/>
      </c>
      <c r="AM102" s="56">
        <f>AM9*AM101</f>
        <v/>
      </c>
      <c r="AN102" s="56">
        <f>AN9*AN101</f>
        <v/>
      </c>
    </row>
    <row r="103" outlineLevel="1">
      <c r="A103" s="20" t="inlineStr">
        <is>
          <t>EBIT</t>
        </is>
      </c>
      <c r="B103" s="17" t="inlineStr">
        <is>
          <t>Rs Mn</t>
        </is>
      </c>
      <c r="C103" s="22" t="inlineStr">
        <is>
          <t>Formula</t>
        </is>
      </c>
      <c r="D103" s="55">
        <f>IFERROR(D99-D102,"")</f>
        <v/>
      </c>
      <c r="E103" s="55">
        <f>IFERROR(E99-E102,"")</f>
        <v/>
      </c>
      <c r="F103" s="55">
        <f>IFERROR(F99-F102,"")</f>
        <v/>
      </c>
      <c r="G103" s="55">
        <f>IFERROR(G99-G102,"")</f>
        <v/>
      </c>
      <c r="H103" s="55">
        <f>IFERROR(H99-H102,"")</f>
        <v/>
      </c>
      <c r="I103" s="55">
        <f>IFERROR(I99-I102,"")</f>
        <v/>
      </c>
      <c r="J103" s="55">
        <f>IFERROR(J99-J102,"")</f>
        <v/>
      </c>
      <c r="K103" s="55">
        <f>IFERROR(K99-K102,"")</f>
        <v/>
      </c>
      <c r="L103" s="55">
        <f>IFERROR(L99-L102,"")</f>
        <v/>
      </c>
      <c r="M103" s="55">
        <f>IFERROR(M99-M102,"")</f>
        <v/>
      </c>
      <c r="N103" s="55">
        <f>IFERROR(N99-N102,"")</f>
        <v/>
      </c>
      <c r="O103" s="55">
        <f>IFERROR(O99-O102,"")</f>
        <v/>
      </c>
      <c r="P103" s="55">
        <f>IFERROR(P99-P102,"")</f>
        <v/>
      </c>
      <c r="Q103" s="55">
        <f>IFERROR(Q99-Q102,"")</f>
        <v/>
      </c>
      <c r="R103" s="55">
        <f>IFERROR(R99-R102,"")</f>
        <v/>
      </c>
      <c r="S103" s="55">
        <f>IFERROR(S99-S102,"")</f>
        <v/>
      </c>
      <c r="T103" s="55">
        <f>IFERROR(T99-T102,"")</f>
        <v/>
      </c>
      <c r="U103" s="55">
        <f>IFERROR(U99-U102,"")</f>
        <v/>
      </c>
      <c r="V103" s="55">
        <f>IFERROR(V99-V102,"")</f>
        <v/>
      </c>
      <c r="W103" s="55">
        <f>IFERROR(W99-W102,"")</f>
        <v/>
      </c>
      <c r="AB103" s="19" t="n"/>
      <c r="AC103" s="56">
        <f>IFERROR(AC99-AC102,"")</f>
        <v/>
      </c>
      <c r="AD103" s="56">
        <f>IFERROR(AD99-AD102,"")</f>
        <v/>
      </c>
      <c r="AE103" s="56">
        <f>IFERROR(AE99-AE102,"")</f>
        <v/>
      </c>
      <c r="AF103" s="56">
        <f>IFERROR(AF99-AF102,"")</f>
        <v/>
      </c>
      <c r="AG103" s="56">
        <f>IFERROR(AG99-AG102,"")</f>
        <v/>
      </c>
      <c r="AH103" s="56">
        <f>IFERROR(AH99-AH102,"")</f>
        <v/>
      </c>
      <c r="AI103" s="56">
        <f>IFERROR(AI99-AI102,"")</f>
        <v/>
      </c>
      <c r="AJ103" s="56">
        <f>IFERROR(AJ99-AJ102,"")</f>
        <v/>
      </c>
      <c r="AK103" s="56">
        <f>IFERROR(AK99-AK102,"")</f>
        <v/>
      </c>
      <c r="AL103" s="56">
        <f>IFERROR(AL99-AL102,"")</f>
        <v/>
      </c>
      <c r="AM103" s="56">
        <f>IFERROR(AM99-AM102,"")</f>
        <v/>
      </c>
      <c r="AN103" s="56">
        <f>IFERROR(AN99-AN102,"")</f>
        <v/>
      </c>
    </row>
    <row r="104" outlineLevel="1">
      <c r="A104" s="20" t="inlineStr">
        <is>
          <t xml:space="preserve">  Finance costs (% of Revenue)</t>
        </is>
      </c>
      <c r="B104" s="17" t="inlineStr">
        <is>
          <t>%</t>
        </is>
      </c>
      <c r="C104" s="48" t="inlineStr">
        <is>
          <t>Assumption (edit me)</t>
        </is>
      </c>
      <c r="D104" s="49">
        <f>IFERROR(D105/D9,"")</f>
        <v/>
      </c>
      <c r="E104" s="49">
        <f>IFERROR(E105/E9,"")</f>
        <v/>
      </c>
      <c r="F104" s="49">
        <f>IFERROR(F105/F9,"")</f>
        <v/>
      </c>
      <c r="G104" s="49">
        <f>IFERROR(G105/G9,"")</f>
        <v/>
      </c>
      <c r="H104" s="49">
        <f>IFERROR(H105/H9,"")</f>
        <v/>
      </c>
      <c r="I104" s="49">
        <f>IFERROR(I105/I9,"")</f>
        <v/>
      </c>
      <c r="J104" s="49">
        <f>IFERROR(J105/J9,"")</f>
        <v/>
      </c>
      <c r="K104" s="49">
        <f>IFERROR(K105/K9,"")</f>
        <v/>
      </c>
      <c r="L104" s="49">
        <f>IFERROR(L105/L9,"")</f>
        <v/>
      </c>
      <c r="M104" s="49">
        <f>IFERROR(M105/M9,"")</f>
        <v/>
      </c>
      <c r="N104" s="49">
        <f>IFERROR(N105/N9,"")</f>
        <v/>
      </c>
      <c r="O104" s="49">
        <f>IFERROR(O105/O9,"")</f>
        <v/>
      </c>
      <c r="P104" s="49">
        <f>IFERROR(P105/P9,"")</f>
        <v/>
      </c>
      <c r="Q104" s="49">
        <f>IFERROR(Q105/Q9,"")</f>
        <v/>
      </c>
      <c r="R104" s="49">
        <f>IFERROR(R105/R9,"")</f>
        <v/>
      </c>
      <c r="S104" s="49">
        <f>IFERROR(S105/S9,"")</f>
        <v/>
      </c>
      <c r="T104" s="49">
        <f>IFERROR(T105/T9,"")</f>
        <v/>
      </c>
      <c r="U104" s="49">
        <f>IFERROR(U105/U9,"")</f>
        <v/>
      </c>
      <c r="V104" s="49">
        <f>IFERROR(V105/V9,"")</f>
        <v/>
      </c>
      <c r="W104" s="49">
        <f>IFERROR(W105/W9,"")</f>
        <v/>
      </c>
      <c r="AB104" s="19" t="n"/>
      <c r="AC104" s="52">
        <f>IFERROR(AC105/AC9,"")</f>
        <v/>
      </c>
      <c r="AD104" s="52">
        <f>IFERROR(AD105/AD9,"")</f>
        <v/>
      </c>
      <c r="AE104" s="52">
        <f>IFERROR(AE105/AE9,"")</f>
        <v/>
      </c>
      <c r="AF104" s="52">
        <f>IFERROR(AF105/AF9,"")</f>
        <v/>
      </c>
      <c r="AG104" s="52">
        <f>IFERROR(AG105/AG9,"")</f>
        <v/>
      </c>
      <c r="AH104" s="52">
        <f>IFERROR(AH105/AH9,"")</f>
        <v/>
      </c>
      <c r="AI104" s="52">
        <f>IFERROR(AI105/AI9,"")</f>
        <v/>
      </c>
      <c r="AJ104" s="52">
        <f>IFERROR(AJ105/AJ9,"")</f>
        <v/>
      </c>
      <c r="AK104" s="50" t="n">
        <v>0.0117</v>
      </c>
      <c r="AL104" s="50" t="n">
        <v>0.0117</v>
      </c>
      <c r="AM104" s="50" t="n">
        <v>0.0117</v>
      </c>
      <c r="AN104" s="50" t="n">
        <v>0.0117</v>
      </c>
    </row>
    <row r="105" outlineLevel="1">
      <c r="A105" s="20" t="inlineStr">
        <is>
          <t>Finance costs</t>
        </is>
      </c>
      <c r="B105" s="17" t="inlineStr">
        <is>
          <t>Rs Mn</t>
        </is>
      </c>
      <c r="C105" s="22" t="inlineStr">
        <is>
          <t>Link: Raw Data - financials</t>
        </is>
      </c>
      <c r="D105" s="56">
        <f>'Raw Data - financials'!D14</f>
        <v/>
      </c>
      <c r="E105" s="56">
        <f>'Raw Data - financials'!E14</f>
        <v/>
      </c>
      <c r="F105" s="56">
        <f>'Raw Data - financials'!F14</f>
        <v/>
      </c>
      <c r="G105" s="56">
        <f>'Raw Data - financials'!G14</f>
        <v/>
      </c>
      <c r="H105" s="56">
        <f>'Raw Data - financials'!H14</f>
        <v/>
      </c>
      <c r="I105" s="56">
        <f>'Raw Data - financials'!I14</f>
        <v/>
      </c>
      <c r="J105" s="56">
        <f>'Raw Data - financials'!J14</f>
        <v/>
      </c>
      <c r="K105" s="56">
        <f>'Raw Data - financials'!K14</f>
        <v/>
      </c>
      <c r="L105" s="56">
        <f>'Raw Data - financials'!L14</f>
        <v/>
      </c>
      <c r="M105" s="56">
        <f>'Raw Data - financials'!M14</f>
        <v/>
      </c>
      <c r="N105" s="56">
        <f>'Raw Data - financials'!N14</f>
        <v/>
      </c>
      <c r="O105" s="56">
        <f>'Raw Data - financials'!O14</f>
        <v/>
      </c>
      <c r="P105" s="56">
        <f>'Raw Data - financials'!P14</f>
        <v/>
      </c>
      <c r="Q105" s="56">
        <f>'Raw Data - financials'!Q14</f>
        <v/>
      </c>
      <c r="R105" s="56">
        <f>'Raw Data - financials'!R14</f>
        <v/>
      </c>
      <c r="S105" s="56">
        <f>'Raw Data - financials'!S14</f>
        <v/>
      </c>
      <c r="T105" s="56">
        <f>'Raw Data - financials'!T14</f>
        <v/>
      </c>
      <c r="U105" s="56">
        <f>'Raw Data - financials'!U14</f>
        <v/>
      </c>
      <c r="V105" s="56">
        <f>'Raw Data - financials'!V14</f>
        <v/>
      </c>
      <c r="W105" s="56">
        <f>'Raw Data - financials'!W14</f>
        <v/>
      </c>
      <c r="AB105" s="19" t="n"/>
      <c r="AC105" s="56">
        <f>'Raw Data - financials'!AC14</f>
        <v/>
      </c>
      <c r="AD105" s="56">
        <f>'Raw Data - financials'!AD14</f>
        <v/>
      </c>
      <c r="AE105" s="56">
        <f>'Raw Data - financials'!AE14</f>
        <v/>
      </c>
      <c r="AF105" s="56">
        <f>'Raw Data - financials'!AF14</f>
        <v/>
      </c>
      <c r="AG105" s="56">
        <f>'Raw Data - financials'!AG14</f>
        <v/>
      </c>
      <c r="AH105" s="56">
        <f>'Raw Data - financials'!AH14</f>
        <v/>
      </c>
      <c r="AI105" s="56">
        <f>'Raw Data - financials'!AI14</f>
        <v/>
      </c>
      <c r="AJ105" s="56">
        <f>'Raw Data - financials'!AJ14</f>
        <v/>
      </c>
      <c r="AK105" s="56">
        <f>AK9*AK104</f>
        <v/>
      </c>
      <c r="AL105" s="56">
        <f>AL9*AL104</f>
        <v/>
      </c>
      <c r="AM105" s="56">
        <f>AM9*AM104</f>
        <v/>
      </c>
      <c r="AN105" s="56">
        <f>AN9*AN104</f>
        <v/>
      </c>
    </row>
    <row r="106" outlineLevel="1">
      <c r="A106" s="20" t="inlineStr">
        <is>
          <t xml:space="preserve">  Other income (% of Revenue)</t>
        </is>
      </c>
      <c r="B106" s="17" t="inlineStr">
        <is>
          <t>%</t>
        </is>
      </c>
      <c r="C106" s="48" t="inlineStr">
        <is>
          <t>Assumption (edit me)</t>
        </is>
      </c>
      <c r="D106" s="49">
        <f>IFERROR(D107/D9,"")</f>
        <v/>
      </c>
      <c r="E106" s="49">
        <f>IFERROR(E107/E9,"")</f>
        <v/>
      </c>
      <c r="F106" s="49">
        <f>IFERROR(F107/F9,"")</f>
        <v/>
      </c>
      <c r="G106" s="49">
        <f>IFERROR(G107/G9,"")</f>
        <v/>
      </c>
      <c r="H106" s="49">
        <f>IFERROR(H107/H9,"")</f>
        <v/>
      </c>
      <c r="I106" s="49">
        <f>IFERROR(I107/I9,"")</f>
        <v/>
      </c>
      <c r="J106" s="49">
        <f>IFERROR(J107/J9,"")</f>
        <v/>
      </c>
      <c r="K106" s="49">
        <f>IFERROR(K107/K9,"")</f>
        <v/>
      </c>
      <c r="L106" s="49">
        <f>IFERROR(L107/L9,"")</f>
        <v/>
      </c>
      <c r="M106" s="49">
        <f>IFERROR(M107/M9,"")</f>
        <v/>
      </c>
      <c r="N106" s="49">
        <f>IFERROR(N107/N9,"")</f>
        <v/>
      </c>
      <c r="O106" s="49">
        <f>IFERROR(O107/O9,"")</f>
        <v/>
      </c>
      <c r="P106" s="49">
        <f>IFERROR(P107/P9,"")</f>
        <v/>
      </c>
      <c r="Q106" s="49">
        <f>IFERROR(Q107/Q9,"")</f>
        <v/>
      </c>
      <c r="R106" s="49">
        <f>IFERROR(R107/R9,"")</f>
        <v/>
      </c>
      <c r="S106" s="49">
        <f>IFERROR(S107/S9,"")</f>
        <v/>
      </c>
      <c r="T106" s="49">
        <f>IFERROR(T107/T9,"")</f>
        <v/>
      </c>
      <c r="U106" s="49">
        <f>IFERROR(U107/U9,"")</f>
        <v/>
      </c>
      <c r="V106" s="49">
        <f>IFERROR(V107/V9,"")</f>
        <v/>
      </c>
      <c r="W106" s="49">
        <f>IFERROR(W107/W9,"")</f>
        <v/>
      </c>
      <c r="AB106" s="19" t="n"/>
      <c r="AC106" s="52">
        <f>IFERROR(AC107/AC9,"")</f>
        <v/>
      </c>
      <c r="AD106" s="52">
        <f>IFERROR(AD107/AD9,"")</f>
        <v/>
      </c>
      <c r="AE106" s="52">
        <f>IFERROR(AE107/AE9,"")</f>
        <v/>
      </c>
      <c r="AF106" s="52">
        <f>IFERROR(AF107/AF9,"")</f>
        <v/>
      </c>
      <c r="AG106" s="52">
        <f>IFERROR(AG107/AG9,"")</f>
        <v/>
      </c>
      <c r="AH106" s="52">
        <f>IFERROR(AH107/AH9,"")</f>
        <v/>
      </c>
      <c r="AI106" s="52">
        <f>IFERROR(AI107/AI9,"")</f>
        <v/>
      </c>
      <c r="AJ106" s="52">
        <f>IFERROR(AJ107/AJ9,"")</f>
        <v/>
      </c>
      <c r="AK106" s="50" t="n">
        <v>0.0033</v>
      </c>
      <c r="AL106" s="50" t="n">
        <v>0.0033</v>
      </c>
      <c r="AM106" s="50" t="n">
        <v>0.0033</v>
      </c>
      <c r="AN106" s="50" t="n">
        <v>0.0033</v>
      </c>
    </row>
    <row r="107" outlineLevel="1">
      <c r="A107" s="20" t="inlineStr">
        <is>
          <t>Other income</t>
        </is>
      </c>
      <c r="B107" s="17" t="inlineStr">
        <is>
          <t>Rs Mn</t>
        </is>
      </c>
      <c r="C107" s="22" t="inlineStr">
        <is>
          <t>Link: Raw Data - financials</t>
        </is>
      </c>
      <c r="D107" s="56">
        <f>'Raw Data - financials'!D6</f>
        <v/>
      </c>
      <c r="E107" s="56">
        <f>'Raw Data - financials'!E6</f>
        <v/>
      </c>
      <c r="F107" s="56">
        <f>'Raw Data - financials'!F6</f>
        <v/>
      </c>
      <c r="G107" s="56">
        <f>'Raw Data - financials'!G6</f>
        <v/>
      </c>
      <c r="H107" s="56">
        <f>'Raw Data - financials'!H6</f>
        <v/>
      </c>
      <c r="I107" s="56">
        <f>'Raw Data - financials'!I6</f>
        <v/>
      </c>
      <c r="J107" s="56">
        <f>'Raw Data - financials'!J6</f>
        <v/>
      </c>
      <c r="K107" s="56">
        <f>'Raw Data - financials'!K6</f>
        <v/>
      </c>
      <c r="L107" s="56">
        <f>'Raw Data - financials'!L6</f>
        <v/>
      </c>
      <c r="M107" s="56">
        <f>'Raw Data - financials'!M6</f>
        <v/>
      </c>
      <c r="N107" s="56">
        <f>'Raw Data - financials'!N6</f>
        <v/>
      </c>
      <c r="O107" s="56">
        <f>'Raw Data - financials'!O6</f>
        <v/>
      </c>
      <c r="P107" s="56">
        <f>'Raw Data - financials'!P6</f>
        <v/>
      </c>
      <c r="Q107" s="56">
        <f>'Raw Data - financials'!Q6</f>
        <v/>
      </c>
      <c r="R107" s="56">
        <f>'Raw Data - financials'!R6</f>
        <v/>
      </c>
      <c r="S107" s="56">
        <f>'Raw Data - financials'!S6</f>
        <v/>
      </c>
      <c r="T107" s="56">
        <f>'Raw Data - financials'!T6</f>
        <v/>
      </c>
      <c r="U107" s="56">
        <f>'Raw Data - financials'!U6</f>
        <v/>
      </c>
      <c r="V107" s="56">
        <f>'Raw Data - financials'!V6</f>
        <v/>
      </c>
      <c r="W107" s="56">
        <f>'Raw Data - financials'!W6</f>
        <v/>
      </c>
      <c r="AB107" s="19" t="n"/>
      <c r="AC107" s="56">
        <f>'Raw Data - financials'!AC6</f>
        <v/>
      </c>
      <c r="AD107" s="56">
        <f>'Raw Data - financials'!AD6</f>
        <v/>
      </c>
      <c r="AE107" s="56">
        <f>'Raw Data - financials'!AE6</f>
        <v/>
      </c>
      <c r="AF107" s="56">
        <f>'Raw Data - financials'!AF6</f>
        <v/>
      </c>
      <c r="AG107" s="56">
        <f>'Raw Data - financials'!AG6</f>
        <v/>
      </c>
      <c r="AH107" s="56">
        <f>'Raw Data - financials'!AH6</f>
        <v/>
      </c>
      <c r="AI107" s="56">
        <f>'Raw Data - financials'!AI6</f>
        <v/>
      </c>
      <c r="AJ107" s="56">
        <f>'Raw Data - financials'!AJ6</f>
        <v/>
      </c>
      <c r="AK107" s="56">
        <f>AK9*AK106</f>
        <v/>
      </c>
      <c r="AL107" s="56">
        <f>AL9*AL106</f>
        <v/>
      </c>
      <c r="AM107" s="56">
        <f>AM9*AM106</f>
        <v/>
      </c>
      <c r="AN107" s="56">
        <f>AN9*AN106</f>
        <v/>
      </c>
    </row>
    <row r="108" outlineLevel="1">
      <c r="A108" s="20" t="inlineStr">
        <is>
          <t>Profit Before Tax</t>
        </is>
      </c>
      <c r="B108" s="17" t="inlineStr">
        <is>
          <t>Rs Mn</t>
        </is>
      </c>
      <c r="C108" s="22" t="inlineStr">
        <is>
          <t>Formula</t>
        </is>
      </c>
      <c r="D108" s="55">
        <f>IFERROR(D103-D105+D107,"")</f>
        <v/>
      </c>
      <c r="E108" s="55">
        <f>IFERROR(E103-E105+E107,"")</f>
        <v/>
      </c>
      <c r="F108" s="55">
        <f>IFERROR(F103-F105+F107,"")</f>
        <v/>
      </c>
      <c r="G108" s="55">
        <f>IFERROR(G103-G105+G107,"")</f>
        <v/>
      </c>
      <c r="H108" s="55">
        <f>IFERROR(H103-H105+H107,"")</f>
        <v/>
      </c>
      <c r="I108" s="55">
        <f>IFERROR(I103-I105+I107,"")</f>
        <v/>
      </c>
      <c r="J108" s="55">
        <f>IFERROR(J103-J105+J107,"")</f>
        <v/>
      </c>
      <c r="K108" s="55">
        <f>IFERROR(K103-K105+K107,"")</f>
        <v/>
      </c>
      <c r="L108" s="55">
        <f>IFERROR(L103-L105+L107,"")</f>
        <v/>
      </c>
      <c r="M108" s="55">
        <f>IFERROR(M103-M105+M107,"")</f>
        <v/>
      </c>
      <c r="N108" s="55">
        <f>IFERROR(N103-N105+N107,"")</f>
        <v/>
      </c>
      <c r="O108" s="55">
        <f>IFERROR(O103-O105+O107,"")</f>
        <v/>
      </c>
      <c r="P108" s="55">
        <f>IFERROR(P103-P105+P107,"")</f>
        <v/>
      </c>
      <c r="Q108" s="55">
        <f>IFERROR(Q103-Q105+Q107,"")</f>
        <v/>
      </c>
      <c r="R108" s="55">
        <f>IFERROR(R103-R105+R107,"")</f>
        <v/>
      </c>
      <c r="S108" s="55">
        <f>IFERROR(S103-S105+S107,"")</f>
        <v/>
      </c>
      <c r="T108" s="55">
        <f>IFERROR(T103-T105+T107,"")</f>
        <v/>
      </c>
      <c r="U108" s="55">
        <f>IFERROR(U103-U105+U107,"")</f>
        <v/>
      </c>
      <c r="V108" s="55">
        <f>IFERROR(V103-V105+V107,"")</f>
        <v/>
      </c>
      <c r="W108" s="55">
        <f>IFERROR(W103-W105+W107,"")</f>
        <v/>
      </c>
      <c r="AB108" s="19" t="n"/>
      <c r="AC108" s="56">
        <f>IFERROR(AC103-AC105+AC107,"")</f>
        <v/>
      </c>
      <c r="AD108" s="56">
        <f>IFERROR(AD103-AD105+AD107,"")</f>
        <v/>
      </c>
      <c r="AE108" s="56">
        <f>IFERROR(AE103-AE105+AE107,"")</f>
        <v/>
      </c>
      <c r="AF108" s="56">
        <f>IFERROR(AF103-AF105+AF107,"")</f>
        <v/>
      </c>
      <c r="AG108" s="56">
        <f>IFERROR(AG103-AG105+AG107,"")</f>
        <v/>
      </c>
      <c r="AH108" s="56">
        <f>IFERROR(AH103-AH105+AH107,"")</f>
        <v/>
      </c>
      <c r="AI108" s="56">
        <f>IFERROR(AI103-AI105+AI107,"")</f>
        <v/>
      </c>
      <c r="AJ108" s="56">
        <f>IFERROR(AJ103-AJ105+AJ107,"")</f>
        <v/>
      </c>
      <c r="AK108" s="56">
        <f>IFERROR(AK103-AK105+AK107,"")</f>
        <v/>
      </c>
      <c r="AL108" s="56">
        <f>IFERROR(AL103-AL105+AL107,"")</f>
        <v/>
      </c>
      <c r="AM108" s="56">
        <f>IFERROR(AM103-AM105+AM107,"")</f>
        <v/>
      </c>
      <c r="AN108" s="56">
        <f>IFERROR(AN103-AN105+AN107,"")</f>
        <v/>
      </c>
    </row>
    <row r="109" outlineLevel="1">
      <c r="A109" s="20" t="inlineStr">
        <is>
          <t xml:space="preserve">  Effective tax rate (% of PBT)</t>
        </is>
      </c>
      <c r="B109" s="17" t="inlineStr">
        <is>
          <t>%</t>
        </is>
      </c>
      <c r="C109" s="48" t="inlineStr">
        <is>
          <t>Assumption (edit me)</t>
        </is>
      </c>
      <c r="D109" s="49">
        <f>IFERROR(D110/D108,"")</f>
        <v/>
      </c>
      <c r="E109" s="49">
        <f>IFERROR(E110/E108,"")</f>
        <v/>
      </c>
      <c r="F109" s="49">
        <f>IFERROR(F110/F108,"")</f>
        <v/>
      </c>
      <c r="G109" s="49">
        <f>IFERROR(G110/G108,"")</f>
        <v/>
      </c>
      <c r="H109" s="49">
        <f>IFERROR(H110/H108,"")</f>
        <v/>
      </c>
      <c r="I109" s="49">
        <f>IFERROR(I110/I108,"")</f>
        <v/>
      </c>
      <c r="J109" s="49">
        <f>IFERROR(J110/J108,"")</f>
        <v/>
      </c>
      <c r="K109" s="49">
        <f>IFERROR(K110/K108,"")</f>
        <v/>
      </c>
      <c r="L109" s="49">
        <f>IFERROR(L110/L108,"")</f>
        <v/>
      </c>
      <c r="M109" s="49">
        <f>IFERROR(M110/M108,"")</f>
        <v/>
      </c>
      <c r="N109" s="49">
        <f>IFERROR(N110/N108,"")</f>
        <v/>
      </c>
      <c r="O109" s="49">
        <f>IFERROR(O110/O108,"")</f>
        <v/>
      </c>
      <c r="P109" s="49">
        <f>IFERROR(P110/P108,"")</f>
        <v/>
      </c>
      <c r="Q109" s="49">
        <f>IFERROR(Q110/Q108,"")</f>
        <v/>
      </c>
      <c r="R109" s="49">
        <f>IFERROR(R110/R108,"")</f>
        <v/>
      </c>
      <c r="S109" s="49">
        <f>IFERROR(S110/S108,"")</f>
        <v/>
      </c>
      <c r="T109" s="49">
        <f>IFERROR(T110/T108,"")</f>
        <v/>
      </c>
      <c r="U109" s="49">
        <f>IFERROR(U110/U108,"")</f>
        <v/>
      </c>
      <c r="V109" s="49">
        <f>IFERROR(V110/V108,"")</f>
        <v/>
      </c>
      <c r="W109" s="49">
        <f>IFERROR(W110/W108,"")</f>
        <v/>
      </c>
      <c r="AB109" s="19" t="n"/>
      <c r="AC109" s="52">
        <f>IFERROR(AC110/AC108,"")</f>
        <v/>
      </c>
      <c r="AD109" s="52">
        <f>IFERROR(AD110/AD108,"")</f>
        <v/>
      </c>
      <c r="AE109" s="52">
        <f>IFERROR(AE110/AE108,"")</f>
        <v/>
      </c>
      <c r="AF109" s="52">
        <f>IFERROR(AF110/AF108,"")</f>
        <v/>
      </c>
      <c r="AG109" s="52">
        <f>IFERROR(AG110/AG108,"")</f>
        <v/>
      </c>
      <c r="AH109" s="52">
        <f>IFERROR(AH110/AH108,"")</f>
        <v/>
      </c>
      <c r="AI109" s="52">
        <f>IFERROR(AI110/AI108,"")</f>
        <v/>
      </c>
      <c r="AJ109" s="52">
        <f>IFERROR(AJ110/AJ108,"")</f>
        <v/>
      </c>
      <c r="AK109" s="50" t="n">
        <v>0.3824</v>
      </c>
      <c r="AL109" s="50" t="n">
        <v>0.3824</v>
      </c>
      <c r="AM109" s="50" t="n">
        <v>0.3824</v>
      </c>
      <c r="AN109" s="50" t="n">
        <v>0.3824</v>
      </c>
    </row>
    <row r="110" outlineLevel="1">
      <c r="A110" s="20" t="inlineStr">
        <is>
          <t>Tax expense</t>
        </is>
      </c>
      <c r="B110" s="17" t="inlineStr">
        <is>
          <t>Rs Mn</t>
        </is>
      </c>
      <c r="C110" s="22" t="inlineStr">
        <is>
          <t>Link: Raw Data - financials</t>
        </is>
      </c>
      <c r="D110" s="56">
        <f>'Raw Data - financials'!D28</f>
        <v/>
      </c>
      <c r="E110" s="56">
        <f>'Raw Data - financials'!E28</f>
        <v/>
      </c>
      <c r="F110" s="56">
        <f>'Raw Data - financials'!F28</f>
        <v/>
      </c>
      <c r="G110" s="56">
        <f>'Raw Data - financials'!G28</f>
        <v/>
      </c>
      <c r="H110" s="56">
        <f>'Raw Data - financials'!H28</f>
        <v/>
      </c>
      <c r="I110" s="56">
        <f>'Raw Data - financials'!I28</f>
        <v/>
      </c>
      <c r="J110" s="56">
        <f>'Raw Data - financials'!J28</f>
        <v/>
      </c>
      <c r="K110" s="56">
        <f>'Raw Data - financials'!K28</f>
        <v/>
      </c>
      <c r="L110" s="56">
        <f>'Raw Data - financials'!L28</f>
        <v/>
      </c>
      <c r="M110" s="56">
        <f>'Raw Data - financials'!M28</f>
        <v/>
      </c>
      <c r="N110" s="56">
        <f>'Raw Data - financials'!N28</f>
        <v/>
      </c>
      <c r="O110" s="56">
        <f>'Raw Data - financials'!O28</f>
        <v/>
      </c>
      <c r="P110" s="56">
        <f>'Raw Data - financials'!P28</f>
        <v/>
      </c>
      <c r="Q110" s="56">
        <f>'Raw Data - financials'!Q28</f>
        <v/>
      </c>
      <c r="R110" s="56">
        <f>'Raw Data - financials'!R28</f>
        <v/>
      </c>
      <c r="S110" s="56">
        <f>'Raw Data - financials'!S28</f>
        <v/>
      </c>
      <c r="T110" s="56">
        <f>'Raw Data - financials'!T28</f>
        <v/>
      </c>
      <c r="U110" s="56">
        <f>'Raw Data - financials'!U28</f>
        <v/>
      </c>
      <c r="V110" s="56">
        <f>'Raw Data - financials'!V28</f>
        <v/>
      </c>
      <c r="W110" s="56">
        <f>'Raw Data - financials'!W28</f>
        <v/>
      </c>
      <c r="AB110" s="19" t="n"/>
      <c r="AC110" s="56">
        <f>'Raw Data - financials'!AC28</f>
        <v/>
      </c>
      <c r="AD110" s="56">
        <f>'Raw Data - financials'!AD28</f>
        <v/>
      </c>
      <c r="AE110" s="56">
        <f>'Raw Data - financials'!AE28</f>
        <v/>
      </c>
      <c r="AF110" s="56">
        <f>'Raw Data - financials'!AF28</f>
        <v/>
      </c>
      <c r="AG110" s="56">
        <f>'Raw Data - financials'!AG28</f>
        <v/>
      </c>
      <c r="AH110" s="56">
        <f>'Raw Data - financials'!AH28</f>
        <v/>
      </c>
      <c r="AI110" s="56">
        <f>'Raw Data - financials'!AI28</f>
        <v/>
      </c>
      <c r="AJ110" s="56">
        <f>'Raw Data - financials'!AJ28</f>
        <v/>
      </c>
      <c r="AK110" s="56">
        <f>MAX(AK108,0)*AK109</f>
        <v/>
      </c>
      <c r="AL110" s="56">
        <f>MAX(AL108,0)*AL109</f>
        <v/>
      </c>
      <c r="AM110" s="56">
        <f>MAX(AM108,0)*AM109</f>
        <v/>
      </c>
      <c r="AN110" s="56">
        <f>MAX(AN108,0)*AN109</f>
        <v/>
      </c>
    </row>
    <row r="111" outlineLevel="1">
      <c r="A111" s="20" t="inlineStr">
        <is>
          <t>PAT</t>
        </is>
      </c>
      <c r="B111" s="17" t="inlineStr">
        <is>
          <t>Rs Mn</t>
        </is>
      </c>
      <c r="C111" s="22" t="inlineStr">
        <is>
          <t>Formula</t>
        </is>
      </c>
      <c r="D111" s="55">
        <f>IFERROR(D108-D110,"")</f>
        <v/>
      </c>
      <c r="E111" s="55">
        <f>IFERROR(E108-E110,"")</f>
        <v/>
      </c>
      <c r="F111" s="55">
        <f>IFERROR(F108-F110,"")</f>
        <v/>
      </c>
      <c r="G111" s="55">
        <f>IFERROR(G108-G110,"")</f>
        <v/>
      </c>
      <c r="H111" s="55">
        <f>IFERROR(H108-H110,"")</f>
        <v/>
      </c>
      <c r="I111" s="55">
        <f>IFERROR(I108-I110,"")</f>
        <v/>
      </c>
      <c r="J111" s="55">
        <f>IFERROR(J108-J110,"")</f>
        <v/>
      </c>
      <c r="K111" s="55">
        <f>IFERROR(K108-K110,"")</f>
        <v/>
      </c>
      <c r="L111" s="55">
        <f>IFERROR(L108-L110,"")</f>
        <v/>
      </c>
      <c r="M111" s="55">
        <f>IFERROR(M108-M110,"")</f>
        <v/>
      </c>
      <c r="N111" s="55">
        <f>IFERROR(N108-N110,"")</f>
        <v/>
      </c>
      <c r="O111" s="55">
        <f>IFERROR(O108-O110,"")</f>
        <v/>
      </c>
      <c r="P111" s="55">
        <f>IFERROR(P108-P110,"")</f>
        <v/>
      </c>
      <c r="Q111" s="55">
        <f>IFERROR(Q108-Q110,"")</f>
        <v/>
      </c>
      <c r="R111" s="55">
        <f>IFERROR(R108-R110,"")</f>
        <v/>
      </c>
      <c r="S111" s="55">
        <f>IFERROR(S108-S110,"")</f>
        <v/>
      </c>
      <c r="T111" s="55">
        <f>IFERROR(T108-T110,"")</f>
        <v/>
      </c>
      <c r="U111" s="55">
        <f>IFERROR(U108-U110,"")</f>
        <v/>
      </c>
      <c r="V111" s="55">
        <f>IFERROR(V108-V110,"")</f>
        <v/>
      </c>
      <c r="W111" s="55">
        <f>IFERROR(W108-W110,"")</f>
        <v/>
      </c>
      <c r="AB111" s="19" t="n"/>
      <c r="AC111" s="56">
        <f>IFERROR(AC108-AC110,"")</f>
        <v/>
      </c>
      <c r="AD111" s="56">
        <f>IFERROR(AD108-AD110,"")</f>
        <v/>
      </c>
      <c r="AE111" s="56">
        <f>IFERROR(AE108-AE110,"")</f>
        <v/>
      </c>
      <c r="AF111" s="56">
        <f>IFERROR(AF108-AF110,"")</f>
        <v/>
      </c>
      <c r="AG111" s="56">
        <f>IFERROR(AG108-AG110,"")</f>
        <v/>
      </c>
      <c r="AH111" s="56">
        <f>IFERROR(AH108-AH110,"")</f>
        <v/>
      </c>
      <c r="AI111" s="56">
        <f>IFERROR(AI108-AI110,"")</f>
        <v/>
      </c>
      <c r="AJ111" s="56">
        <f>IFERROR(AJ108-AJ110,"")</f>
        <v/>
      </c>
      <c r="AK111" s="56">
        <f>IFERROR(AK108-AK110,"")</f>
        <v/>
      </c>
      <c r="AL111" s="56">
        <f>IFERROR(AL108-AL110,"")</f>
        <v/>
      </c>
      <c r="AM111" s="56">
        <f>IFERROR(AM108-AM110,"")</f>
        <v/>
      </c>
      <c r="AN111" s="56">
        <f>IFERROR(AN108-AN110,"")</f>
        <v/>
      </c>
    </row>
    <row r="112" outlineLevel="1">
      <c r="A112" s="20" t="inlineStr">
        <is>
          <t xml:space="preserve">  PAT margin (% of Revenue)</t>
        </is>
      </c>
      <c r="B112" s="17" t="inlineStr">
        <is>
          <t>%</t>
        </is>
      </c>
      <c r="C112" s="22" t="inlineStr">
        <is>
          <t>Formula</t>
        </is>
      </c>
      <c r="D112" s="49">
        <f>IFERROR(D111/D9,"")</f>
        <v/>
      </c>
      <c r="E112" s="49">
        <f>IFERROR(E111/E9,"")</f>
        <v/>
      </c>
      <c r="F112" s="49">
        <f>IFERROR(F111/F9,"")</f>
        <v/>
      </c>
      <c r="G112" s="49">
        <f>IFERROR(G111/G9,"")</f>
        <v/>
      </c>
      <c r="H112" s="49">
        <f>IFERROR(H111/H9,"")</f>
        <v/>
      </c>
      <c r="I112" s="49">
        <f>IFERROR(I111/I9,"")</f>
        <v/>
      </c>
      <c r="J112" s="49">
        <f>IFERROR(J111/J9,"")</f>
        <v/>
      </c>
      <c r="K112" s="49">
        <f>IFERROR(K111/K9,"")</f>
        <v/>
      </c>
      <c r="L112" s="49">
        <f>IFERROR(L111/L9,"")</f>
        <v/>
      </c>
      <c r="M112" s="49">
        <f>IFERROR(M111/M9,"")</f>
        <v/>
      </c>
      <c r="N112" s="49">
        <f>IFERROR(N111/N9,"")</f>
        <v/>
      </c>
      <c r="O112" s="49">
        <f>IFERROR(O111/O9,"")</f>
        <v/>
      </c>
      <c r="P112" s="49">
        <f>IFERROR(P111/P9,"")</f>
        <v/>
      </c>
      <c r="Q112" s="49">
        <f>IFERROR(Q111/Q9,"")</f>
        <v/>
      </c>
      <c r="R112" s="49">
        <f>IFERROR(R111/R9,"")</f>
        <v/>
      </c>
      <c r="S112" s="49">
        <f>IFERROR(S111/S9,"")</f>
        <v/>
      </c>
      <c r="T112" s="49">
        <f>IFERROR(T111/T9,"")</f>
        <v/>
      </c>
      <c r="U112" s="49">
        <f>IFERROR(U111/U9,"")</f>
        <v/>
      </c>
      <c r="V112" s="49">
        <f>IFERROR(V111/V9,"")</f>
        <v/>
      </c>
      <c r="W112" s="49">
        <f>IFERROR(W111/W9,"")</f>
        <v/>
      </c>
      <c r="AB112" s="19" t="n"/>
      <c r="AC112" s="52">
        <f>IFERROR(AC111/AC9,"")</f>
        <v/>
      </c>
      <c r="AD112" s="52">
        <f>IFERROR(AD111/AD9,"")</f>
        <v/>
      </c>
      <c r="AE112" s="52">
        <f>IFERROR(AE111/AE9,"")</f>
        <v/>
      </c>
      <c r="AF112" s="52">
        <f>IFERROR(AF111/AF9,"")</f>
        <v/>
      </c>
      <c r="AG112" s="52">
        <f>IFERROR(AG111/AG9,"")</f>
        <v/>
      </c>
      <c r="AH112" s="52">
        <f>IFERROR(AH111/AH9,"")</f>
        <v/>
      </c>
      <c r="AI112" s="52">
        <f>IFERROR(AI111/AI9,"")</f>
        <v/>
      </c>
      <c r="AJ112" s="52">
        <f>IFERROR(AJ111/AJ9,"")</f>
        <v/>
      </c>
      <c r="AK112" s="52">
        <f>IFERROR(AK111/AK9,"")</f>
        <v/>
      </c>
      <c r="AL112" s="52">
        <f>IFERROR(AL111/AL9,"")</f>
        <v/>
      </c>
      <c r="AM112" s="52">
        <f>IFERROR(AM111/AM9,"")</f>
        <v/>
      </c>
      <c r="AN112" s="52">
        <f>IFERROR(AN111/AN9,"")</f>
        <v/>
      </c>
    </row>
    <row r="113" outlineLevel="1">
      <c r="A113" s="20" t="inlineStr">
        <is>
          <t>Diluted shares outstanding</t>
        </is>
      </c>
      <c r="B113" s="17" t="inlineStr">
        <is>
          <t>Mn</t>
        </is>
      </c>
      <c r="C113" s="48" t="inlineStr">
        <is>
          <t>Assumption (edit me)</t>
        </is>
      </c>
      <c r="D113" s="57">
        <f>IFERROR(D111/D114,"")</f>
        <v/>
      </c>
      <c r="E113" s="57">
        <f>IFERROR(E111/E114,"")</f>
        <v/>
      </c>
      <c r="F113" s="57">
        <f>IFERROR(F111/F114,"")</f>
        <v/>
      </c>
      <c r="G113" s="57">
        <f>IFERROR(G111/G114,"")</f>
        <v/>
      </c>
      <c r="H113" s="57">
        <f>IFERROR(H111/H114,"")</f>
        <v/>
      </c>
      <c r="I113" s="57">
        <f>IFERROR(I111/I114,"")</f>
        <v/>
      </c>
      <c r="J113" s="57">
        <f>IFERROR(J111/J114,"")</f>
        <v/>
      </c>
      <c r="K113" s="57">
        <f>IFERROR(K111/K114,"")</f>
        <v/>
      </c>
      <c r="L113" s="57">
        <f>IFERROR(L111/L114,"")</f>
        <v/>
      </c>
      <c r="M113" s="57">
        <f>IFERROR(M111/M114,"")</f>
        <v/>
      </c>
      <c r="N113" s="57">
        <f>IFERROR(N111/N114,"")</f>
        <v/>
      </c>
      <c r="O113" s="57">
        <f>IFERROR(O111/O114,"")</f>
        <v/>
      </c>
      <c r="P113" s="57">
        <f>IFERROR(P111/P114,"")</f>
        <v/>
      </c>
      <c r="Q113" s="57">
        <f>IFERROR(Q111/Q114,"")</f>
        <v/>
      </c>
      <c r="R113" s="57">
        <f>IFERROR(R111/R114,"")</f>
        <v/>
      </c>
      <c r="S113" s="57">
        <f>IFERROR(S111/S114,"")</f>
        <v/>
      </c>
      <c r="T113" s="57">
        <f>IFERROR(T111/T114,"")</f>
        <v/>
      </c>
      <c r="U113" s="57">
        <f>IFERROR(U111/U114,"")</f>
        <v/>
      </c>
      <c r="V113" s="57">
        <f>IFERROR(V111/V114,"")</f>
        <v/>
      </c>
      <c r="W113" s="57">
        <f>IFERROR(W111/W114,"")</f>
        <v/>
      </c>
      <c r="AB113" s="19" t="n"/>
      <c r="AC113" s="58">
        <f>IFERROR(AC111/AC114,"")</f>
        <v/>
      </c>
      <c r="AD113" s="58">
        <f>IFERROR(AD111/AD114,"")</f>
        <v/>
      </c>
      <c r="AE113" s="58">
        <f>IFERROR(AE111/AE114,"")</f>
        <v/>
      </c>
      <c r="AF113" s="58">
        <f>IFERROR(AF111/AF114,"")</f>
        <v/>
      </c>
      <c r="AG113" s="58">
        <f>IFERROR(AG111/AG114,"")</f>
        <v/>
      </c>
      <c r="AH113" s="58">
        <f>IFERROR(AH111/AH114,"")</f>
        <v/>
      </c>
      <c r="AI113" s="58">
        <f>IFERROR(AI111/AI114,"")</f>
        <v/>
      </c>
      <c r="AJ113" s="58">
        <f>IFERROR(AJ111/AJ114,"")</f>
        <v/>
      </c>
      <c r="AK113" s="51" t="n">
        <v>2849</v>
      </c>
      <c r="AL113" s="51" t="n">
        <v>2849</v>
      </c>
      <c r="AM113" s="51" t="n">
        <v>2849</v>
      </c>
      <c r="AN113" s="51" t="n">
        <v>2849</v>
      </c>
    </row>
    <row r="114" outlineLevel="1">
      <c r="A114" s="20" t="inlineStr">
        <is>
          <t>EPS (diluted)</t>
        </is>
      </c>
      <c r="B114" s="17" t="inlineStr">
        <is>
          <t>Rs</t>
        </is>
      </c>
      <c r="C114" s="22" t="inlineStr">
        <is>
          <t>Link: Raw Data - financials</t>
        </is>
      </c>
      <c r="D114" s="13">
        <f>'Raw Data - financials'!D42</f>
        <v/>
      </c>
      <c r="E114" s="13">
        <f>'Raw Data - financials'!E42</f>
        <v/>
      </c>
      <c r="F114" s="13">
        <f>'Raw Data - financials'!F42</f>
        <v/>
      </c>
      <c r="G114" s="13">
        <f>'Raw Data - financials'!G42</f>
        <v/>
      </c>
      <c r="H114" s="13">
        <f>'Raw Data - financials'!H42</f>
        <v/>
      </c>
      <c r="I114" s="13">
        <f>'Raw Data - financials'!I42</f>
        <v/>
      </c>
      <c r="J114" s="13">
        <f>'Raw Data - financials'!J42</f>
        <v/>
      </c>
      <c r="K114" s="13">
        <f>'Raw Data - financials'!K42</f>
        <v/>
      </c>
      <c r="L114" s="13">
        <f>'Raw Data - financials'!L42</f>
        <v/>
      </c>
      <c r="M114" s="13">
        <f>'Raw Data - financials'!M42</f>
        <v/>
      </c>
      <c r="N114" s="13">
        <f>'Raw Data - financials'!N42</f>
        <v/>
      </c>
      <c r="O114" s="13">
        <f>'Raw Data - financials'!O42</f>
        <v/>
      </c>
      <c r="P114" s="13">
        <f>'Raw Data - financials'!P42</f>
        <v/>
      </c>
      <c r="Q114" s="13">
        <f>'Raw Data - financials'!Q42</f>
        <v/>
      </c>
      <c r="R114" s="13">
        <f>'Raw Data - financials'!R42</f>
        <v/>
      </c>
      <c r="S114" s="13">
        <f>'Raw Data - financials'!S42</f>
        <v/>
      </c>
      <c r="T114" s="13">
        <f>'Raw Data - financials'!T42</f>
        <v/>
      </c>
      <c r="U114" s="13">
        <f>'Raw Data - financials'!U42</f>
        <v/>
      </c>
      <c r="V114" s="13">
        <f>'Raw Data - financials'!V42</f>
        <v/>
      </c>
      <c r="W114" s="13">
        <f>'Raw Data - financials'!W42</f>
        <v/>
      </c>
      <c r="AB114" s="19" t="n"/>
      <c r="AC114" s="13">
        <f>'Raw Data - financials'!AC42</f>
        <v/>
      </c>
      <c r="AD114" s="13">
        <f>'Raw Data - financials'!AD42</f>
        <v/>
      </c>
      <c r="AE114" s="13">
        <f>'Raw Data - financials'!AE42</f>
        <v/>
      </c>
      <c r="AF114" s="13">
        <f>'Raw Data - financials'!AF42</f>
        <v/>
      </c>
      <c r="AG114" s="13">
        <f>'Raw Data - financials'!AG42</f>
        <v/>
      </c>
      <c r="AH114" s="13">
        <f>'Raw Data - financials'!AH42</f>
        <v/>
      </c>
      <c r="AI114" s="13">
        <f>'Raw Data - financials'!AI42</f>
        <v/>
      </c>
      <c r="AJ114" s="13">
        <f>'Raw Data - financials'!AJ42</f>
        <v/>
      </c>
      <c r="AK114" s="13">
        <f>IFERROR(AK111/AK113,"")</f>
        <v/>
      </c>
      <c r="AL114" s="13">
        <f>IFERROR(AL111/AL113,"")</f>
        <v/>
      </c>
      <c r="AM114" s="13">
        <f>IFERROR(AM111/AM113,"")</f>
        <v/>
      </c>
      <c r="AN114" s="13">
        <f>IFERROR(AN111/AN113,"")</f>
        <v/>
      </c>
    </row>
    <row r="115">
      <c r="AB115" s="19" t="n"/>
    </row>
    <row r="116">
      <c r="A116" s="5" t="inlineStr">
        <is>
          <t>CONSOLIDATED P&amp;L (STATEMENT FORMAT)</t>
        </is>
      </c>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44" t="n"/>
      <c r="AC116" s="5" t="n"/>
      <c r="AD116" s="5" t="n"/>
      <c r="AE116" s="5" t="n"/>
      <c r="AF116" s="5" t="n"/>
      <c r="AG116" s="5" t="n"/>
      <c r="AH116" s="5" t="n"/>
      <c r="AI116" s="5" t="n"/>
      <c r="AJ116" s="5" t="n"/>
      <c r="AK116" s="5" t="n"/>
      <c r="AL116" s="5" t="n"/>
      <c r="AM116" s="5" t="n"/>
      <c r="AN116" s="5" t="n"/>
    </row>
    <row r="117">
      <c r="A117" s="17" t="inlineStr">
        <is>
          <t>Revenue, Other income, D&amp;A, Finance costs, Tax and PAT/EPS below are the SAME figures as the Summary and Consolidated Bridge sections above (re-shown here in a standard statement layout) -- they are not re-derived. COGS and Employee benefits are new assumption-driven lines for the projected years; Other expenses is a plug for the projected years (Total Income - COGS - Employee - Finance - D&amp;A - PBT) so that PBT/PAT/EPS keep tying to the segment-built Consolidated Bridge above. For historical years, COGS/Employee/Other expenses are direct links to the Raw Data - financials actuals, so Total Expenses there matches reported Total Expenses; note historical PBT here is 'before exceptional items' (Nykaa had one-off exceptional items in FY26 e.g.) since exceptional items aren't forecast.</t>
        </is>
      </c>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45" t="n"/>
      <c r="AC117" s="17" t="n"/>
      <c r="AD117" s="17" t="n"/>
      <c r="AE117" s="17" t="n"/>
      <c r="AF117" s="17" t="n"/>
      <c r="AG117" s="17" t="n"/>
      <c r="AH117" s="17" t="n"/>
      <c r="AI117" s="17" t="n"/>
      <c r="AJ117" s="17" t="n"/>
      <c r="AK117" s="17" t="n"/>
      <c r="AL117" s="17" t="n"/>
      <c r="AM117" s="17" t="n"/>
      <c r="AN117" s="17" t="n"/>
    </row>
    <row r="118" outlineLevel="1">
      <c r="A118" s="20" t="inlineStr">
        <is>
          <t>Revenue from operations</t>
        </is>
      </c>
      <c r="B118" s="17" t="inlineStr">
        <is>
          <t>Rs Mn</t>
        </is>
      </c>
      <c r="C118" s="22" t="inlineStr">
        <is>
          <t>Formula</t>
        </is>
      </c>
      <c r="D118" s="71">
        <f>IF(D9="","",D9)</f>
        <v/>
      </c>
      <c r="E118" s="71">
        <f>IF(E9="","",E9)</f>
        <v/>
      </c>
      <c r="F118" s="71">
        <f>IF(F9="","",F9)</f>
        <v/>
      </c>
      <c r="G118" s="71">
        <f>IF(G9="","",G9)</f>
        <v/>
      </c>
      <c r="H118" s="71">
        <f>IF(H9="","",H9)</f>
        <v/>
      </c>
      <c r="I118" s="71">
        <f>IF(I9="","",I9)</f>
        <v/>
      </c>
      <c r="J118" s="71">
        <f>IF(J9="","",J9)</f>
        <v/>
      </c>
      <c r="K118" s="71">
        <f>IF(K9="","",K9)</f>
        <v/>
      </c>
      <c r="L118" s="71">
        <f>IF(L9="","",L9)</f>
        <v/>
      </c>
      <c r="M118" s="71">
        <f>IF(M9="","",M9)</f>
        <v/>
      </c>
      <c r="N118" s="71">
        <f>IF(N9="","",N9)</f>
        <v/>
      </c>
      <c r="O118" s="71">
        <f>IF(O9="","",O9)</f>
        <v/>
      </c>
      <c r="P118" s="71">
        <f>IF(P9="","",P9)</f>
        <v/>
      </c>
      <c r="Q118" s="71">
        <f>IF(Q9="","",Q9)</f>
        <v/>
      </c>
      <c r="R118" s="71">
        <f>IF(R9="","",R9)</f>
        <v/>
      </c>
      <c r="S118" s="71">
        <f>IF(S9="","",S9)</f>
        <v/>
      </c>
      <c r="T118" s="71">
        <f>IF(T9="","",T9)</f>
        <v/>
      </c>
      <c r="U118" s="71">
        <f>IF(U9="","",U9)</f>
        <v/>
      </c>
      <c r="V118" s="71">
        <f>IF(V9="","",V9)</f>
        <v/>
      </c>
      <c r="W118" s="71">
        <f>IF(W9="","",W9)</f>
        <v/>
      </c>
      <c r="AB118" s="19" t="n"/>
      <c r="AC118" s="72">
        <f>IF(AC9="","",AC9)</f>
        <v/>
      </c>
      <c r="AD118" s="72">
        <f>IF(AD9="","",AD9)</f>
        <v/>
      </c>
      <c r="AE118" s="72">
        <f>IF(AE9="","",AE9)</f>
        <v/>
      </c>
      <c r="AF118" s="72">
        <f>IF(AF9="","",AF9)</f>
        <v/>
      </c>
      <c r="AG118" s="72">
        <f>IF(AG9="","",AG9)</f>
        <v/>
      </c>
      <c r="AH118" s="72">
        <f>IF(AH9="","",AH9)</f>
        <v/>
      </c>
      <c r="AI118" s="72">
        <f>IF(AI9="","",AI9)</f>
        <v/>
      </c>
      <c r="AJ118" s="72">
        <f>IF(AJ9="","",AJ9)</f>
        <v/>
      </c>
      <c r="AK118" s="72">
        <f>IF(AK9="","",AK9)</f>
        <v/>
      </c>
      <c r="AL118" s="72">
        <f>IF(AL9="","",AL9)</f>
        <v/>
      </c>
      <c r="AM118" s="72">
        <f>IF(AM9="","",AM9)</f>
        <v/>
      </c>
      <c r="AN118" s="72">
        <f>IF(AN9="","",AN9)</f>
        <v/>
      </c>
    </row>
    <row r="119" outlineLevel="1">
      <c r="A119" s="20" t="inlineStr">
        <is>
          <t>Other income</t>
        </is>
      </c>
      <c r="B119" s="17" t="inlineStr">
        <is>
          <t>Rs Mn</t>
        </is>
      </c>
      <c r="C119" s="22" t="inlineStr">
        <is>
          <t>Formula</t>
        </is>
      </c>
      <c r="D119" s="71">
        <f>IF(D107="","",D107)</f>
        <v/>
      </c>
      <c r="E119" s="71">
        <f>IF(E107="","",E107)</f>
        <v/>
      </c>
      <c r="F119" s="71">
        <f>IF(F107="","",F107)</f>
        <v/>
      </c>
      <c r="G119" s="71">
        <f>IF(G107="","",G107)</f>
        <v/>
      </c>
      <c r="H119" s="71">
        <f>IF(H107="","",H107)</f>
        <v/>
      </c>
      <c r="I119" s="71">
        <f>IF(I107="","",I107)</f>
        <v/>
      </c>
      <c r="J119" s="71">
        <f>IF(J107="","",J107)</f>
        <v/>
      </c>
      <c r="K119" s="71">
        <f>IF(K107="","",K107)</f>
        <v/>
      </c>
      <c r="L119" s="71">
        <f>IF(L107="","",L107)</f>
        <v/>
      </c>
      <c r="M119" s="71">
        <f>IF(M107="","",M107)</f>
        <v/>
      </c>
      <c r="N119" s="71">
        <f>IF(N107="","",N107)</f>
        <v/>
      </c>
      <c r="O119" s="71">
        <f>IF(O107="","",O107)</f>
        <v/>
      </c>
      <c r="P119" s="71">
        <f>IF(P107="","",P107)</f>
        <v/>
      </c>
      <c r="Q119" s="71">
        <f>IF(Q107="","",Q107)</f>
        <v/>
      </c>
      <c r="R119" s="71">
        <f>IF(R107="","",R107)</f>
        <v/>
      </c>
      <c r="S119" s="71">
        <f>IF(S107="","",S107)</f>
        <v/>
      </c>
      <c r="T119" s="71">
        <f>IF(T107="","",T107)</f>
        <v/>
      </c>
      <c r="U119" s="71">
        <f>IF(U107="","",U107)</f>
        <v/>
      </c>
      <c r="V119" s="71">
        <f>IF(V107="","",V107)</f>
        <v/>
      </c>
      <c r="W119" s="71">
        <f>IF(W107="","",W107)</f>
        <v/>
      </c>
      <c r="AB119" s="19" t="n"/>
      <c r="AC119" s="72">
        <f>IF(AC107="","",AC107)</f>
        <v/>
      </c>
      <c r="AD119" s="72">
        <f>IF(AD107="","",AD107)</f>
        <v/>
      </c>
      <c r="AE119" s="72">
        <f>IF(AE107="","",AE107)</f>
        <v/>
      </c>
      <c r="AF119" s="72">
        <f>IF(AF107="","",AF107)</f>
        <v/>
      </c>
      <c r="AG119" s="72">
        <f>IF(AG107="","",AG107)</f>
        <v/>
      </c>
      <c r="AH119" s="72">
        <f>IF(AH107="","",AH107)</f>
        <v/>
      </c>
      <c r="AI119" s="72">
        <f>IF(AI107="","",AI107)</f>
        <v/>
      </c>
      <c r="AJ119" s="72">
        <f>IF(AJ107="","",AJ107)</f>
        <v/>
      </c>
      <c r="AK119" s="72">
        <f>IF(AK107="","",AK107)</f>
        <v/>
      </c>
      <c r="AL119" s="72">
        <f>IF(AL107="","",AL107)</f>
        <v/>
      </c>
      <c r="AM119" s="72">
        <f>IF(AM107="","",AM107)</f>
        <v/>
      </c>
      <c r="AN119" s="72">
        <f>IF(AN107="","",AN107)</f>
        <v/>
      </c>
    </row>
    <row r="120" outlineLevel="1">
      <c r="A120" s="20" t="inlineStr">
        <is>
          <t>Total Income</t>
        </is>
      </c>
      <c r="B120" s="17" t="inlineStr">
        <is>
          <t>Rs Mn</t>
        </is>
      </c>
      <c r="C120" s="22" t="inlineStr">
        <is>
          <t>Formula</t>
        </is>
      </c>
      <c r="D120" s="71">
        <f>IFERROR(D118+D119,"")</f>
        <v/>
      </c>
      <c r="E120" s="71">
        <f>IFERROR(E118+E119,"")</f>
        <v/>
      </c>
      <c r="F120" s="71">
        <f>IFERROR(F118+F119,"")</f>
        <v/>
      </c>
      <c r="G120" s="71">
        <f>IFERROR(G118+G119,"")</f>
        <v/>
      </c>
      <c r="H120" s="71">
        <f>IFERROR(H118+H119,"")</f>
        <v/>
      </c>
      <c r="I120" s="71">
        <f>IFERROR(I118+I119,"")</f>
        <v/>
      </c>
      <c r="J120" s="71">
        <f>IFERROR(J118+J119,"")</f>
        <v/>
      </c>
      <c r="K120" s="71">
        <f>IFERROR(K118+K119,"")</f>
        <v/>
      </c>
      <c r="L120" s="71">
        <f>IFERROR(L118+L119,"")</f>
        <v/>
      </c>
      <c r="M120" s="71">
        <f>IFERROR(M118+M119,"")</f>
        <v/>
      </c>
      <c r="N120" s="71">
        <f>IFERROR(N118+N119,"")</f>
        <v/>
      </c>
      <c r="O120" s="71">
        <f>IFERROR(O118+O119,"")</f>
        <v/>
      </c>
      <c r="P120" s="71">
        <f>IFERROR(P118+P119,"")</f>
        <v/>
      </c>
      <c r="Q120" s="71">
        <f>IFERROR(Q118+Q119,"")</f>
        <v/>
      </c>
      <c r="R120" s="71">
        <f>IFERROR(R118+R119,"")</f>
        <v/>
      </c>
      <c r="S120" s="71">
        <f>IFERROR(S118+S119,"")</f>
        <v/>
      </c>
      <c r="T120" s="71">
        <f>IFERROR(T118+T119,"")</f>
        <v/>
      </c>
      <c r="U120" s="71">
        <f>IFERROR(U118+U119,"")</f>
        <v/>
      </c>
      <c r="V120" s="71">
        <f>IFERROR(V118+V119,"")</f>
        <v/>
      </c>
      <c r="W120" s="71">
        <f>IFERROR(W118+W119,"")</f>
        <v/>
      </c>
      <c r="AB120" s="19" t="n"/>
      <c r="AC120" s="72">
        <f>IFERROR(AC118+AC119,"")</f>
        <v/>
      </c>
      <c r="AD120" s="72">
        <f>IFERROR(AD118+AD119,"")</f>
        <v/>
      </c>
      <c r="AE120" s="72">
        <f>IFERROR(AE118+AE119,"")</f>
        <v/>
      </c>
      <c r="AF120" s="72">
        <f>IFERROR(AF118+AF119,"")</f>
        <v/>
      </c>
      <c r="AG120" s="72">
        <f>IFERROR(AG118+AG119,"")</f>
        <v/>
      </c>
      <c r="AH120" s="72">
        <f>IFERROR(AH118+AH119,"")</f>
        <v/>
      </c>
      <c r="AI120" s="72">
        <f>IFERROR(AI118+AI119,"")</f>
        <v/>
      </c>
      <c r="AJ120" s="72">
        <f>IFERROR(AJ118+AJ119,"")</f>
        <v/>
      </c>
      <c r="AK120" s="72">
        <f>IFERROR(AK118+AK119,"")</f>
        <v/>
      </c>
      <c r="AL120" s="72">
        <f>IFERROR(AL118+AL119,"")</f>
        <v/>
      </c>
      <c r="AM120" s="72">
        <f>IFERROR(AM118+AM119,"")</f>
        <v/>
      </c>
      <c r="AN120" s="72">
        <f>IFERROR(AN118+AN119,"")</f>
        <v/>
      </c>
    </row>
    <row r="121">
      <c r="A121" s="9" t="inlineStr">
        <is>
          <t>Expenses</t>
        </is>
      </c>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46" t="n"/>
      <c r="AC121" s="9" t="n"/>
      <c r="AD121" s="9" t="n"/>
      <c r="AE121" s="9" t="n"/>
      <c r="AF121" s="9" t="n"/>
      <c r="AG121" s="9" t="n"/>
      <c r="AH121" s="9" t="n"/>
      <c r="AI121" s="9" t="n"/>
      <c r="AJ121" s="9" t="n"/>
      <c r="AK121" s="9" t="n"/>
      <c r="AL121" s="9" t="n"/>
      <c r="AM121" s="9" t="n"/>
      <c r="AN121" s="9" t="n"/>
    </row>
    <row r="122" outlineLevel="2">
      <c r="A122" s="20" t="inlineStr">
        <is>
          <t xml:space="preserve">  Cost of goods sold (% of Revenue)</t>
        </is>
      </c>
      <c r="B122" s="17" t="inlineStr">
        <is>
          <t>%</t>
        </is>
      </c>
      <c r="C122" s="48" t="inlineStr">
        <is>
          <t>Assumption (edit me)</t>
        </is>
      </c>
      <c r="D122" s="49">
        <f>IFERROR(D123/D118,"")</f>
        <v/>
      </c>
      <c r="E122" s="49">
        <f>IFERROR(E123/E118,"")</f>
        <v/>
      </c>
      <c r="F122" s="49">
        <f>IFERROR(F123/F118,"")</f>
        <v/>
      </c>
      <c r="G122" s="49">
        <f>IFERROR(G123/G118,"")</f>
        <v/>
      </c>
      <c r="H122" s="49">
        <f>IFERROR(H123/H118,"")</f>
        <v/>
      </c>
      <c r="I122" s="49">
        <f>IFERROR(I123/I118,"")</f>
        <v/>
      </c>
      <c r="J122" s="49">
        <f>IFERROR(J123/J118,"")</f>
        <v/>
      </c>
      <c r="K122" s="49">
        <f>IFERROR(K123/K118,"")</f>
        <v/>
      </c>
      <c r="L122" s="49">
        <f>IFERROR(L123/L118,"")</f>
        <v/>
      </c>
      <c r="M122" s="49">
        <f>IFERROR(M123/M118,"")</f>
        <v/>
      </c>
      <c r="N122" s="49">
        <f>IFERROR(N123/N118,"")</f>
        <v/>
      </c>
      <c r="O122" s="49">
        <f>IFERROR(O123/O118,"")</f>
        <v/>
      </c>
      <c r="P122" s="49">
        <f>IFERROR(P123/P118,"")</f>
        <v/>
      </c>
      <c r="Q122" s="49">
        <f>IFERROR(Q123/Q118,"")</f>
        <v/>
      </c>
      <c r="R122" s="49">
        <f>IFERROR(R123/R118,"")</f>
        <v/>
      </c>
      <c r="S122" s="49">
        <f>IFERROR(S123/S118,"")</f>
        <v/>
      </c>
      <c r="T122" s="49">
        <f>IFERROR(T123/T118,"")</f>
        <v/>
      </c>
      <c r="U122" s="49">
        <f>IFERROR(U123/U118,"")</f>
        <v/>
      </c>
      <c r="V122" s="49">
        <f>IFERROR(V123/V118,"")</f>
        <v/>
      </c>
      <c r="W122" s="49">
        <f>IFERROR(W123/W118,"")</f>
        <v/>
      </c>
      <c r="AB122" s="19" t="n"/>
      <c r="AC122" s="52">
        <f>IFERROR(AC123/AC118,"")</f>
        <v/>
      </c>
      <c r="AD122" s="52">
        <f>IFERROR(AD123/AD118,"")</f>
        <v/>
      </c>
      <c r="AE122" s="52">
        <f>IFERROR(AE123/AE118,"")</f>
        <v/>
      </c>
      <c r="AF122" s="52">
        <f>IFERROR(AF123/AF118,"")</f>
        <v/>
      </c>
      <c r="AG122" s="52">
        <f>IFERROR(AG123/AG118,"")</f>
        <v/>
      </c>
      <c r="AH122" s="52">
        <f>IFERROR(AH123/AH118,"")</f>
        <v/>
      </c>
      <c r="AI122" s="52">
        <f>IFERROR(AI123/AI118,"")</f>
        <v/>
      </c>
      <c r="AJ122" s="52">
        <f>IFERROR(AJ123/AJ118,"")</f>
        <v/>
      </c>
      <c r="AK122" s="50" t="n">
        <v>0.63</v>
      </c>
      <c r="AL122" s="50" t="n">
        <v>0.63</v>
      </c>
      <c r="AM122" s="50" t="n">
        <v>0.63</v>
      </c>
      <c r="AN122" s="50" t="n">
        <v>0.63</v>
      </c>
    </row>
    <row r="123" outlineLevel="1">
      <c r="A123" s="20" t="inlineStr">
        <is>
          <t>Cost of goods sold</t>
        </is>
      </c>
      <c r="B123" s="17" t="inlineStr">
        <is>
          <t>Rs Mn</t>
        </is>
      </c>
      <c r="C123" s="22" t="inlineStr">
        <is>
          <t>Formula</t>
        </is>
      </c>
      <c r="D123" s="71">
        <f>IF(COUNT('Raw Data - financials'!D10,'Raw Data - financials'!D11,'Raw Data - financials'!D12)=0,"",SUM('Raw Data - financials'!D10,'Raw Data - financials'!D11,'Raw Data - financials'!D12))</f>
        <v/>
      </c>
      <c r="E123" s="71">
        <f>IF(COUNT('Raw Data - financials'!E10,'Raw Data - financials'!E11,'Raw Data - financials'!E12)=0,"",SUM('Raw Data - financials'!E10,'Raw Data - financials'!E11,'Raw Data - financials'!E12))</f>
        <v/>
      </c>
      <c r="F123" s="71">
        <f>IF(COUNT('Raw Data - financials'!F10,'Raw Data - financials'!F11,'Raw Data - financials'!F12)=0,"",SUM('Raw Data - financials'!F10,'Raw Data - financials'!F11,'Raw Data - financials'!F12))</f>
        <v/>
      </c>
      <c r="G123" s="71">
        <f>IF(COUNT('Raw Data - financials'!G10,'Raw Data - financials'!G11,'Raw Data - financials'!G12)=0,"",SUM('Raw Data - financials'!G10,'Raw Data - financials'!G11,'Raw Data - financials'!G12))</f>
        <v/>
      </c>
      <c r="H123" s="71">
        <f>IF(COUNT('Raw Data - financials'!H10,'Raw Data - financials'!H11,'Raw Data - financials'!H12)=0,"",SUM('Raw Data - financials'!H10,'Raw Data - financials'!H11,'Raw Data - financials'!H12))</f>
        <v/>
      </c>
      <c r="I123" s="71">
        <f>IF(COUNT('Raw Data - financials'!I10,'Raw Data - financials'!I11,'Raw Data - financials'!I12)=0,"",SUM('Raw Data - financials'!I10,'Raw Data - financials'!I11,'Raw Data - financials'!I12))</f>
        <v/>
      </c>
      <c r="J123" s="71">
        <f>IF(COUNT('Raw Data - financials'!J10,'Raw Data - financials'!J11,'Raw Data - financials'!J12)=0,"",SUM('Raw Data - financials'!J10,'Raw Data - financials'!J11,'Raw Data - financials'!J12))</f>
        <v/>
      </c>
      <c r="K123" s="71">
        <f>IF(COUNT('Raw Data - financials'!K10,'Raw Data - financials'!K11,'Raw Data - financials'!K12)=0,"",SUM('Raw Data - financials'!K10,'Raw Data - financials'!K11,'Raw Data - financials'!K12))</f>
        <v/>
      </c>
      <c r="L123" s="71">
        <f>IF(COUNT('Raw Data - financials'!L10,'Raw Data - financials'!L11,'Raw Data - financials'!L12)=0,"",SUM('Raw Data - financials'!L10,'Raw Data - financials'!L11,'Raw Data - financials'!L12))</f>
        <v/>
      </c>
      <c r="M123" s="71">
        <f>IF(COUNT('Raw Data - financials'!M10,'Raw Data - financials'!M11,'Raw Data - financials'!M12)=0,"",SUM('Raw Data - financials'!M10,'Raw Data - financials'!M11,'Raw Data - financials'!M12))</f>
        <v/>
      </c>
      <c r="N123" s="71">
        <f>IF(COUNT('Raw Data - financials'!N10,'Raw Data - financials'!N11,'Raw Data - financials'!N12)=0,"",SUM('Raw Data - financials'!N10,'Raw Data - financials'!N11,'Raw Data - financials'!N12))</f>
        <v/>
      </c>
      <c r="O123" s="71">
        <f>IF(COUNT('Raw Data - financials'!O10,'Raw Data - financials'!O11,'Raw Data - financials'!O12)=0,"",SUM('Raw Data - financials'!O10,'Raw Data - financials'!O11,'Raw Data - financials'!O12))</f>
        <v/>
      </c>
      <c r="P123" s="71">
        <f>IF(COUNT('Raw Data - financials'!P10,'Raw Data - financials'!P11,'Raw Data - financials'!P12)=0,"",SUM('Raw Data - financials'!P10,'Raw Data - financials'!P11,'Raw Data - financials'!P12))</f>
        <v/>
      </c>
      <c r="Q123" s="71">
        <f>IF(COUNT('Raw Data - financials'!Q10,'Raw Data - financials'!Q11,'Raw Data - financials'!Q12)=0,"",SUM('Raw Data - financials'!Q10,'Raw Data - financials'!Q11,'Raw Data - financials'!Q12))</f>
        <v/>
      </c>
      <c r="R123" s="71">
        <f>IF(COUNT('Raw Data - financials'!R10,'Raw Data - financials'!R11,'Raw Data - financials'!R12)=0,"",SUM('Raw Data - financials'!R10,'Raw Data - financials'!R11,'Raw Data - financials'!R12))</f>
        <v/>
      </c>
      <c r="S123" s="71">
        <f>IF(COUNT('Raw Data - financials'!S10,'Raw Data - financials'!S11,'Raw Data - financials'!S12)=0,"",SUM('Raw Data - financials'!S10,'Raw Data - financials'!S11,'Raw Data - financials'!S12))</f>
        <v/>
      </c>
      <c r="T123" s="71">
        <f>IF(COUNT('Raw Data - financials'!T10,'Raw Data - financials'!T11,'Raw Data - financials'!T12)=0,"",SUM('Raw Data - financials'!T10,'Raw Data - financials'!T11,'Raw Data - financials'!T12))</f>
        <v/>
      </c>
      <c r="U123" s="71">
        <f>IF(COUNT('Raw Data - financials'!U10,'Raw Data - financials'!U11,'Raw Data - financials'!U12)=0,"",SUM('Raw Data - financials'!U10,'Raw Data - financials'!U11,'Raw Data - financials'!U12))</f>
        <v/>
      </c>
      <c r="V123" s="71">
        <f>IF(COUNT('Raw Data - financials'!V10,'Raw Data - financials'!V11,'Raw Data - financials'!V12)=0,"",SUM('Raw Data - financials'!V10,'Raw Data - financials'!V11,'Raw Data - financials'!V12))</f>
        <v/>
      </c>
      <c r="W123" s="71">
        <f>IF(COUNT('Raw Data - financials'!W10,'Raw Data - financials'!W11,'Raw Data - financials'!W12)=0,"",SUM('Raw Data - financials'!W10,'Raw Data - financials'!W11,'Raw Data - financials'!W12))</f>
        <v/>
      </c>
      <c r="AB123" s="19" t="n"/>
      <c r="AC123" s="72">
        <f>IF(COUNT('Raw Data - financials'!AC10,'Raw Data - financials'!AC11,'Raw Data - financials'!AC12)=0,"",SUM('Raw Data - financials'!AC10,'Raw Data - financials'!AC11,'Raw Data - financials'!AC12))</f>
        <v/>
      </c>
      <c r="AD123" s="72">
        <f>IF(COUNT('Raw Data - financials'!AD10,'Raw Data - financials'!AD11,'Raw Data - financials'!AD12)=0,"",SUM('Raw Data - financials'!AD10,'Raw Data - financials'!AD11,'Raw Data - financials'!AD12))</f>
        <v/>
      </c>
      <c r="AE123" s="72">
        <f>IF(COUNT('Raw Data - financials'!AE10,'Raw Data - financials'!AE11,'Raw Data - financials'!AE12)=0,"",SUM('Raw Data - financials'!AE10,'Raw Data - financials'!AE11,'Raw Data - financials'!AE12))</f>
        <v/>
      </c>
      <c r="AF123" s="72">
        <f>IF(COUNT('Raw Data - financials'!AF10,'Raw Data - financials'!AF11,'Raw Data - financials'!AF12)=0,"",SUM('Raw Data - financials'!AF10,'Raw Data - financials'!AF11,'Raw Data - financials'!AF12))</f>
        <v/>
      </c>
      <c r="AG123" s="72">
        <f>IF(COUNT('Raw Data - financials'!AG10,'Raw Data - financials'!AG11,'Raw Data - financials'!AG12)=0,"",SUM('Raw Data - financials'!AG10,'Raw Data - financials'!AG11,'Raw Data - financials'!AG12))</f>
        <v/>
      </c>
      <c r="AH123" s="72">
        <f>IF(COUNT('Raw Data - financials'!AH10,'Raw Data - financials'!AH11,'Raw Data - financials'!AH12)=0,"",SUM('Raw Data - financials'!AH10,'Raw Data - financials'!AH11,'Raw Data - financials'!AH12))</f>
        <v/>
      </c>
      <c r="AI123" s="72">
        <f>IF(COUNT('Raw Data - financials'!AI10,'Raw Data - financials'!AI11,'Raw Data - financials'!AI12)=0,"",SUM('Raw Data - financials'!AI10,'Raw Data - financials'!AI11,'Raw Data - financials'!AI12))</f>
        <v/>
      </c>
      <c r="AJ123" s="72">
        <f>IF(COUNT('Raw Data - financials'!AJ10,'Raw Data - financials'!AJ11,'Raw Data - financials'!AJ12)=0,"",SUM('Raw Data - financials'!AJ10,'Raw Data - financials'!AJ11,'Raw Data - financials'!AJ12))</f>
        <v/>
      </c>
      <c r="AK123" s="72">
        <f>AK118*AK122</f>
        <v/>
      </c>
      <c r="AL123" s="72">
        <f>AL118*AL122</f>
        <v/>
      </c>
      <c r="AM123" s="72">
        <f>AM118*AM122</f>
        <v/>
      </c>
      <c r="AN123" s="72">
        <f>AN118*AN122</f>
        <v/>
      </c>
    </row>
    <row r="124" outlineLevel="2">
      <c r="A124" s="20" t="inlineStr">
        <is>
          <t xml:space="preserve">  Employee benefits (% of Revenue)</t>
        </is>
      </c>
      <c r="B124" s="17" t="inlineStr">
        <is>
          <t>%</t>
        </is>
      </c>
      <c r="C124" s="48" t="inlineStr">
        <is>
          <t>Assumption (edit me)</t>
        </is>
      </c>
      <c r="D124" s="49">
        <f>IFERROR(D125/D118,"")</f>
        <v/>
      </c>
      <c r="E124" s="49">
        <f>IFERROR(E125/E118,"")</f>
        <v/>
      </c>
      <c r="F124" s="49">
        <f>IFERROR(F125/F118,"")</f>
        <v/>
      </c>
      <c r="G124" s="49">
        <f>IFERROR(G125/G118,"")</f>
        <v/>
      </c>
      <c r="H124" s="49">
        <f>IFERROR(H125/H118,"")</f>
        <v/>
      </c>
      <c r="I124" s="49">
        <f>IFERROR(I125/I118,"")</f>
        <v/>
      </c>
      <c r="J124" s="49">
        <f>IFERROR(J125/J118,"")</f>
        <v/>
      </c>
      <c r="K124" s="49">
        <f>IFERROR(K125/K118,"")</f>
        <v/>
      </c>
      <c r="L124" s="49">
        <f>IFERROR(L125/L118,"")</f>
        <v/>
      </c>
      <c r="M124" s="49">
        <f>IFERROR(M125/M118,"")</f>
        <v/>
      </c>
      <c r="N124" s="49">
        <f>IFERROR(N125/N118,"")</f>
        <v/>
      </c>
      <c r="O124" s="49">
        <f>IFERROR(O125/O118,"")</f>
        <v/>
      </c>
      <c r="P124" s="49">
        <f>IFERROR(P125/P118,"")</f>
        <v/>
      </c>
      <c r="Q124" s="49">
        <f>IFERROR(Q125/Q118,"")</f>
        <v/>
      </c>
      <c r="R124" s="49">
        <f>IFERROR(R125/R118,"")</f>
        <v/>
      </c>
      <c r="S124" s="49">
        <f>IFERROR(S125/S118,"")</f>
        <v/>
      </c>
      <c r="T124" s="49">
        <f>IFERROR(T125/T118,"")</f>
        <v/>
      </c>
      <c r="U124" s="49">
        <f>IFERROR(U125/U118,"")</f>
        <v/>
      </c>
      <c r="V124" s="49">
        <f>IFERROR(V125/V118,"")</f>
        <v/>
      </c>
      <c r="W124" s="49">
        <f>IFERROR(W125/W118,"")</f>
        <v/>
      </c>
      <c r="AB124" s="19" t="n"/>
      <c r="AC124" s="52">
        <f>IFERROR(AC125/AC118,"")</f>
        <v/>
      </c>
      <c r="AD124" s="52">
        <f>IFERROR(AD125/AD118,"")</f>
        <v/>
      </c>
      <c r="AE124" s="52">
        <f>IFERROR(AE125/AE118,"")</f>
        <v/>
      </c>
      <c r="AF124" s="52">
        <f>IFERROR(AF125/AF118,"")</f>
        <v/>
      </c>
      <c r="AG124" s="52">
        <f>IFERROR(AG125/AG118,"")</f>
        <v/>
      </c>
      <c r="AH124" s="52">
        <f>IFERROR(AH125/AH118,"")</f>
        <v/>
      </c>
      <c r="AI124" s="52">
        <f>IFERROR(AI125/AI118,"")</f>
        <v/>
      </c>
      <c r="AJ124" s="52">
        <f>IFERROR(AJ125/AJ118,"")</f>
        <v/>
      </c>
      <c r="AK124" s="50" t="n">
        <v>0.12</v>
      </c>
      <c r="AL124" s="50" t="n">
        <v>0.12</v>
      </c>
      <c r="AM124" s="50" t="n">
        <v>0.12</v>
      </c>
      <c r="AN124" s="50" t="n">
        <v>0.12</v>
      </c>
    </row>
    <row r="125" outlineLevel="1">
      <c r="A125" s="20" t="inlineStr">
        <is>
          <t>Employee benefits expense</t>
        </is>
      </c>
      <c r="B125" s="17" t="inlineStr">
        <is>
          <t>Rs Mn</t>
        </is>
      </c>
      <c r="C125" s="22" t="inlineStr">
        <is>
          <t>Formula</t>
        </is>
      </c>
      <c r="D125" s="71">
        <f>'Raw Data - financials'!D13</f>
        <v/>
      </c>
      <c r="E125" s="71">
        <f>'Raw Data - financials'!E13</f>
        <v/>
      </c>
      <c r="F125" s="71">
        <f>'Raw Data - financials'!F13</f>
        <v/>
      </c>
      <c r="G125" s="71">
        <f>'Raw Data - financials'!G13</f>
        <v/>
      </c>
      <c r="H125" s="71">
        <f>'Raw Data - financials'!H13</f>
        <v/>
      </c>
      <c r="I125" s="71">
        <f>'Raw Data - financials'!I13</f>
        <v/>
      </c>
      <c r="J125" s="71">
        <f>'Raw Data - financials'!J13</f>
        <v/>
      </c>
      <c r="K125" s="71">
        <f>'Raw Data - financials'!K13</f>
        <v/>
      </c>
      <c r="L125" s="71">
        <f>'Raw Data - financials'!L13</f>
        <v/>
      </c>
      <c r="M125" s="71">
        <f>'Raw Data - financials'!M13</f>
        <v/>
      </c>
      <c r="N125" s="71">
        <f>'Raw Data - financials'!N13</f>
        <v/>
      </c>
      <c r="O125" s="71">
        <f>'Raw Data - financials'!O13</f>
        <v/>
      </c>
      <c r="P125" s="71">
        <f>'Raw Data - financials'!P13</f>
        <v/>
      </c>
      <c r="Q125" s="71">
        <f>'Raw Data - financials'!Q13</f>
        <v/>
      </c>
      <c r="R125" s="71">
        <f>'Raw Data - financials'!R13</f>
        <v/>
      </c>
      <c r="S125" s="71">
        <f>'Raw Data - financials'!S13</f>
        <v/>
      </c>
      <c r="T125" s="71">
        <f>'Raw Data - financials'!T13</f>
        <v/>
      </c>
      <c r="U125" s="71">
        <f>'Raw Data - financials'!U13</f>
        <v/>
      </c>
      <c r="V125" s="71">
        <f>'Raw Data - financials'!V13</f>
        <v/>
      </c>
      <c r="W125" s="71">
        <f>'Raw Data - financials'!W13</f>
        <v/>
      </c>
      <c r="AB125" s="19" t="n"/>
      <c r="AC125" s="72">
        <f>'Raw Data - financials'!AC13</f>
        <v/>
      </c>
      <c r="AD125" s="72">
        <f>'Raw Data - financials'!AD13</f>
        <v/>
      </c>
      <c r="AE125" s="72">
        <f>'Raw Data - financials'!AE13</f>
        <v/>
      </c>
      <c r="AF125" s="72">
        <f>'Raw Data - financials'!AF13</f>
        <v/>
      </c>
      <c r="AG125" s="72">
        <f>'Raw Data - financials'!AG13</f>
        <v/>
      </c>
      <c r="AH125" s="72">
        <f>'Raw Data - financials'!AH13</f>
        <v/>
      </c>
      <c r="AI125" s="72">
        <f>'Raw Data - financials'!AI13</f>
        <v/>
      </c>
      <c r="AJ125" s="72">
        <f>'Raw Data - financials'!AJ13</f>
        <v/>
      </c>
      <c r="AK125" s="72">
        <f>AK118*AK124</f>
        <v/>
      </c>
      <c r="AL125" s="72">
        <f>AL118*AL124</f>
        <v/>
      </c>
      <c r="AM125" s="72">
        <f>AM118*AM124</f>
        <v/>
      </c>
      <c r="AN125" s="72">
        <f>AN118*AN124</f>
        <v/>
      </c>
    </row>
    <row r="126" outlineLevel="1">
      <c r="A126" s="20" t="inlineStr">
        <is>
          <t>Finance costs</t>
        </is>
      </c>
      <c r="B126" s="17" t="inlineStr">
        <is>
          <t>Rs Mn</t>
        </is>
      </c>
      <c r="C126" s="22" t="inlineStr">
        <is>
          <t>Link: Consolidated Bridge row 105</t>
        </is>
      </c>
      <c r="D126" s="71">
        <f>IF(D105="","",D105)</f>
        <v/>
      </c>
      <c r="E126" s="71">
        <f>IF(E105="","",E105)</f>
        <v/>
      </c>
      <c r="F126" s="71">
        <f>IF(F105="","",F105)</f>
        <v/>
      </c>
      <c r="G126" s="71">
        <f>IF(G105="","",G105)</f>
        <v/>
      </c>
      <c r="H126" s="71">
        <f>IF(H105="","",H105)</f>
        <v/>
      </c>
      <c r="I126" s="71">
        <f>IF(I105="","",I105)</f>
        <v/>
      </c>
      <c r="J126" s="71">
        <f>IF(J105="","",J105)</f>
        <v/>
      </c>
      <c r="K126" s="71">
        <f>IF(K105="","",K105)</f>
        <v/>
      </c>
      <c r="L126" s="71">
        <f>IF(L105="","",L105)</f>
        <v/>
      </c>
      <c r="M126" s="71">
        <f>IF(M105="","",M105)</f>
        <v/>
      </c>
      <c r="N126" s="71">
        <f>IF(N105="","",N105)</f>
        <v/>
      </c>
      <c r="O126" s="71">
        <f>IF(O105="","",O105)</f>
        <v/>
      </c>
      <c r="P126" s="71">
        <f>IF(P105="","",P105)</f>
        <v/>
      </c>
      <c r="Q126" s="71">
        <f>IF(Q105="","",Q105)</f>
        <v/>
      </c>
      <c r="R126" s="71">
        <f>IF(R105="","",R105)</f>
        <v/>
      </c>
      <c r="S126" s="71">
        <f>IF(S105="","",S105)</f>
        <v/>
      </c>
      <c r="T126" s="71">
        <f>IF(T105="","",T105)</f>
        <v/>
      </c>
      <c r="U126" s="71">
        <f>IF(U105="","",U105)</f>
        <v/>
      </c>
      <c r="V126" s="71">
        <f>IF(V105="","",V105)</f>
        <v/>
      </c>
      <c r="W126" s="71">
        <f>IF(W105="","",W105)</f>
        <v/>
      </c>
      <c r="AB126" s="19" t="n"/>
      <c r="AC126" s="72">
        <f>IF(AC105="","",AC105)</f>
        <v/>
      </c>
      <c r="AD126" s="72">
        <f>IF(AD105="","",AD105)</f>
        <v/>
      </c>
      <c r="AE126" s="72">
        <f>IF(AE105="","",AE105)</f>
        <v/>
      </c>
      <c r="AF126" s="72">
        <f>IF(AF105="","",AF105)</f>
        <v/>
      </c>
      <c r="AG126" s="72">
        <f>IF(AG105="","",AG105)</f>
        <v/>
      </c>
      <c r="AH126" s="72">
        <f>IF(AH105="","",AH105)</f>
        <v/>
      </c>
      <c r="AI126" s="72">
        <f>IF(AI105="","",AI105)</f>
        <v/>
      </c>
      <c r="AJ126" s="72">
        <f>IF(AJ105="","",AJ105)</f>
        <v/>
      </c>
      <c r="AK126" s="72">
        <f>IF(AK105="","",AK105)</f>
        <v/>
      </c>
      <c r="AL126" s="72">
        <f>IF(AL105="","",AL105)</f>
        <v/>
      </c>
      <c r="AM126" s="72">
        <f>IF(AM105="","",AM105)</f>
        <v/>
      </c>
      <c r="AN126" s="72">
        <f>IF(AN105="","",AN105)</f>
        <v/>
      </c>
    </row>
    <row r="127" outlineLevel="1">
      <c r="A127" s="20" t="inlineStr">
        <is>
          <t>Depreciation &amp; amortisation</t>
        </is>
      </c>
      <c r="B127" s="17" t="inlineStr">
        <is>
          <t>Rs Mn</t>
        </is>
      </c>
      <c r="C127" s="22" t="inlineStr">
        <is>
          <t>Link: Consolidated Bridge row 102</t>
        </is>
      </c>
      <c r="D127" s="71">
        <f>IF(D102="","",D102)</f>
        <v/>
      </c>
      <c r="E127" s="71">
        <f>IF(E102="","",E102)</f>
        <v/>
      </c>
      <c r="F127" s="71">
        <f>IF(F102="","",F102)</f>
        <v/>
      </c>
      <c r="G127" s="71">
        <f>IF(G102="","",G102)</f>
        <v/>
      </c>
      <c r="H127" s="71">
        <f>IF(H102="","",H102)</f>
        <v/>
      </c>
      <c r="I127" s="71">
        <f>IF(I102="","",I102)</f>
        <v/>
      </c>
      <c r="J127" s="71">
        <f>IF(J102="","",J102)</f>
        <v/>
      </c>
      <c r="K127" s="71">
        <f>IF(K102="","",K102)</f>
        <v/>
      </c>
      <c r="L127" s="71">
        <f>IF(L102="","",L102)</f>
        <v/>
      </c>
      <c r="M127" s="71">
        <f>IF(M102="","",M102)</f>
        <v/>
      </c>
      <c r="N127" s="71">
        <f>IF(N102="","",N102)</f>
        <v/>
      </c>
      <c r="O127" s="71">
        <f>IF(O102="","",O102)</f>
        <v/>
      </c>
      <c r="P127" s="71">
        <f>IF(P102="","",P102)</f>
        <v/>
      </c>
      <c r="Q127" s="71">
        <f>IF(Q102="","",Q102)</f>
        <v/>
      </c>
      <c r="R127" s="71">
        <f>IF(R102="","",R102)</f>
        <v/>
      </c>
      <c r="S127" s="71">
        <f>IF(S102="","",S102)</f>
        <v/>
      </c>
      <c r="T127" s="71">
        <f>IF(T102="","",T102)</f>
        <v/>
      </c>
      <c r="U127" s="71">
        <f>IF(U102="","",U102)</f>
        <v/>
      </c>
      <c r="V127" s="71">
        <f>IF(V102="","",V102)</f>
        <v/>
      </c>
      <c r="W127" s="71">
        <f>IF(W102="","",W102)</f>
        <v/>
      </c>
      <c r="AB127" s="19" t="n"/>
      <c r="AC127" s="72">
        <f>IF(AC102="","",AC102)</f>
        <v/>
      </c>
      <c r="AD127" s="72">
        <f>IF(AD102="","",AD102)</f>
        <v/>
      </c>
      <c r="AE127" s="72">
        <f>IF(AE102="","",AE102)</f>
        <v/>
      </c>
      <c r="AF127" s="72">
        <f>IF(AF102="","",AF102)</f>
        <v/>
      </c>
      <c r="AG127" s="72">
        <f>IF(AG102="","",AG102)</f>
        <v/>
      </c>
      <c r="AH127" s="72">
        <f>IF(AH102="","",AH102)</f>
        <v/>
      </c>
      <c r="AI127" s="72">
        <f>IF(AI102="","",AI102)</f>
        <v/>
      </c>
      <c r="AJ127" s="72">
        <f>IF(AJ102="","",AJ102)</f>
        <v/>
      </c>
      <c r="AK127" s="72">
        <f>IF(AK102="","",AK102)</f>
        <v/>
      </c>
      <c r="AL127" s="72">
        <f>IF(AL102="","",AL102)</f>
        <v/>
      </c>
      <c r="AM127" s="72">
        <f>IF(AM102="","",AM102)</f>
        <v/>
      </c>
      <c r="AN127" s="72">
        <f>IF(AN102="","",AN102)</f>
        <v/>
      </c>
    </row>
    <row r="128" outlineLevel="1">
      <c r="A128" s="20" t="inlineStr">
        <is>
          <t>Other expenses</t>
        </is>
      </c>
      <c r="B128" s="17" t="inlineStr">
        <is>
          <t>Rs Mn</t>
        </is>
      </c>
      <c r="C128" s="22" t="inlineStr">
        <is>
          <t>Formula</t>
        </is>
      </c>
      <c r="D128" s="71">
        <f>'Raw Data - financials'!D16</f>
        <v/>
      </c>
      <c r="E128" s="71">
        <f>'Raw Data - financials'!E16</f>
        <v/>
      </c>
      <c r="F128" s="71">
        <f>'Raw Data - financials'!F16</f>
        <v/>
      </c>
      <c r="G128" s="71">
        <f>'Raw Data - financials'!G16</f>
        <v/>
      </c>
      <c r="H128" s="71">
        <f>'Raw Data - financials'!H16</f>
        <v/>
      </c>
      <c r="I128" s="71">
        <f>'Raw Data - financials'!I16</f>
        <v/>
      </c>
      <c r="J128" s="71">
        <f>'Raw Data - financials'!J16</f>
        <v/>
      </c>
      <c r="K128" s="71">
        <f>'Raw Data - financials'!K16</f>
        <v/>
      </c>
      <c r="L128" s="71">
        <f>'Raw Data - financials'!L16</f>
        <v/>
      </c>
      <c r="M128" s="71">
        <f>'Raw Data - financials'!M16</f>
        <v/>
      </c>
      <c r="N128" s="71">
        <f>'Raw Data - financials'!N16</f>
        <v/>
      </c>
      <c r="O128" s="71">
        <f>'Raw Data - financials'!O16</f>
        <v/>
      </c>
      <c r="P128" s="71">
        <f>'Raw Data - financials'!P16</f>
        <v/>
      </c>
      <c r="Q128" s="71">
        <f>'Raw Data - financials'!Q16</f>
        <v/>
      </c>
      <c r="R128" s="71">
        <f>'Raw Data - financials'!R16</f>
        <v/>
      </c>
      <c r="S128" s="71">
        <f>'Raw Data - financials'!S16</f>
        <v/>
      </c>
      <c r="T128" s="71">
        <f>'Raw Data - financials'!T16</f>
        <v/>
      </c>
      <c r="U128" s="71">
        <f>'Raw Data - financials'!U16</f>
        <v/>
      </c>
      <c r="V128" s="71">
        <f>'Raw Data - financials'!V16</f>
        <v/>
      </c>
      <c r="W128" s="71">
        <f>'Raw Data - financials'!W16</f>
        <v/>
      </c>
      <c r="AB128" s="19" t="n"/>
      <c r="AC128" s="72">
        <f>'Raw Data - financials'!AC16</f>
        <v/>
      </c>
      <c r="AD128" s="72">
        <f>'Raw Data - financials'!AD16</f>
        <v/>
      </c>
      <c r="AE128" s="72">
        <f>'Raw Data - financials'!AE16</f>
        <v/>
      </c>
      <c r="AF128" s="72">
        <f>'Raw Data - financials'!AF16</f>
        <v/>
      </c>
      <c r="AG128" s="72">
        <f>'Raw Data - financials'!AG16</f>
        <v/>
      </c>
      <c r="AH128" s="72">
        <f>'Raw Data - financials'!AH16</f>
        <v/>
      </c>
      <c r="AI128" s="72">
        <f>'Raw Data - financials'!AI16</f>
        <v/>
      </c>
      <c r="AJ128" s="72">
        <f>'Raw Data - financials'!AJ16</f>
        <v/>
      </c>
      <c r="AK128" s="72">
        <f>IFERROR(AK120-AK123-AK125-AK126-AK127-AK108,"")</f>
        <v/>
      </c>
      <c r="AL128" s="72">
        <f>IFERROR(AL120-AL123-AL125-AL126-AL127-AL108,"")</f>
        <v/>
      </c>
      <c r="AM128" s="72">
        <f>IFERROR(AM120-AM123-AM125-AM126-AM127-AM108,"")</f>
        <v/>
      </c>
      <c r="AN128" s="72">
        <f>IFERROR(AN120-AN123-AN125-AN126-AN127-AN108,"")</f>
        <v/>
      </c>
    </row>
    <row r="129" outlineLevel="1">
      <c r="A129" s="20" t="inlineStr">
        <is>
          <t>Total Expenses</t>
        </is>
      </c>
      <c r="B129" s="17" t="inlineStr">
        <is>
          <t>Rs Mn</t>
        </is>
      </c>
      <c r="C129" s="22" t="inlineStr">
        <is>
          <t>Formula</t>
        </is>
      </c>
      <c r="D129" s="71">
        <f>IFERROR(D123+D125+D126+D127+D128,"")</f>
        <v/>
      </c>
      <c r="E129" s="71">
        <f>IFERROR(E123+E125+E126+E127+E128,"")</f>
        <v/>
      </c>
      <c r="F129" s="71">
        <f>IFERROR(F123+F125+F126+F127+F128,"")</f>
        <v/>
      </c>
      <c r="G129" s="71">
        <f>IFERROR(G123+G125+G126+G127+G128,"")</f>
        <v/>
      </c>
      <c r="H129" s="71">
        <f>IFERROR(H123+H125+H126+H127+H128,"")</f>
        <v/>
      </c>
      <c r="I129" s="71">
        <f>IFERROR(I123+I125+I126+I127+I128,"")</f>
        <v/>
      </c>
      <c r="J129" s="71">
        <f>IFERROR(J123+J125+J126+J127+J128,"")</f>
        <v/>
      </c>
      <c r="K129" s="71">
        <f>IFERROR(K123+K125+K126+K127+K128,"")</f>
        <v/>
      </c>
      <c r="L129" s="71">
        <f>IFERROR(L123+L125+L126+L127+L128,"")</f>
        <v/>
      </c>
      <c r="M129" s="71">
        <f>IFERROR(M123+M125+M126+M127+M128,"")</f>
        <v/>
      </c>
      <c r="N129" s="71">
        <f>IFERROR(N123+N125+N126+N127+N128,"")</f>
        <v/>
      </c>
      <c r="O129" s="71">
        <f>IFERROR(O123+O125+O126+O127+O128,"")</f>
        <v/>
      </c>
      <c r="P129" s="71">
        <f>IFERROR(P123+P125+P126+P127+P128,"")</f>
        <v/>
      </c>
      <c r="Q129" s="71">
        <f>IFERROR(Q123+Q125+Q126+Q127+Q128,"")</f>
        <v/>
      </c>
      <c r="R129" s="71">
        <f>IFERROR(R123+R125+R126+R127+R128,"")</f>
        <v/>
      </c>
      <c r="S129" s="71">
        <f>IFERROR(S123+S125+S126+S127+S128,"")</f>
        <v/>
      </c>
      <c r="T129" s="71">
        <f>IFERROR(T123+T125+T126+T127+T128,"")</f>
        <v/>
      </c>
      <c r="U129" s="71">
        <f>IFERROR(U123+U125+U126+U127+U128,"")</f>
        <v/>
      </c>
      <c r="V129" s="71">
        <f>IFERROR(V123+V125+V126+V127+V128,"")</f>
        <v/>
      </c>
      <c r="W129" s="71">
        <f>IFERROR(W123+W125+W126+W127+W128,"")</f>
        <v/>
      </c>
      <c r="AB129" s="19" t="n"/>
      <c r="AC129" s="72">
        <f>IFERROR(AC123+AC125+AC126+AC127+AC128,"")</f>
        <v/>
      </c>
      <c r="AD129" s="72">
        <f>IFERROR(AD123+AD125+AD126+AD127+AD128,"")</f>
        <v/>
      </c>
      <c r="AE129" s="72">
        <f>IFERROR(AE123+AE125+AE126+AE127+AE128,"")</f>
        <v/>
      </c>
      <c r="AF129" s="72">
        <f>IFERROR(AF123+AF125+AF126+AF127+AF128,"")</f>
        <v/>
      </c>
      <c r="AG129" s="72">
        <f>IFERROR(AG123+AG125+AG126+AG127+AG128,"")</f>
        <v/>
      </c>
      <c r="AH129" s="72">
        <f>IFERROR(AH123+AH125+AH126+AH127+AH128,"")</f>
        <v/>
      </c>
      <c r="AI129" s="72">
        <f>IFERROR(AI123+AI125+AI126+AI127+AI128,"")</f>
        <v/>
      </c>
      <c r="AJ129" s="72">
        <f>IFERROR(AJ123+AJ125+AJ126+AJ127+AJ128,"")</f>
        <v/>
      </c>
      <c r="AK129" s="72">
        <f>IFERROR(AK123+AK125+AK126+AK127+AK128,"")</f>
        <v/>
      </c>
      <c r="AL129" s="72">
        <f>IFERROR(AL123+AL125+AL126+AL127+AL128,"")</f>
        <v/>
      </c>
      <c r="AM129" s="72">
        <f>IFERROR(AM123+AM125+AM126+AM127+AM128,"")</f>
        <v/>
      </c>
      <c r="AN129" s="72">
        <f>IFERROR(AN123+AN125+AN126+AN127+AN128,"")</f>
        <v/>
      </c>
    </row>
    <row r="130" outlineLevel="1">
      <c r="A130" s="20" t="inlineStr">
        <is>
          <t>Profit Before Tax</t>
        </is>
      </c>
      <c r="B130" s="17" t="inlineStr">
        <is>
          <t>Rs Mn</t>
        </is>
      </c>
      <c r="C130" s="22" t="inlineStr">
        <is>
          <t>Formula</t>
        </is>
      </c>
      <c r="D130" s="71">
        <f>IFERROR(D120-D129,"")</f>
        <v/>
      </c>
      <c r="E130" s="71">
        <f>IFERROR(E120-E129,"")</f>
        <v/>
      </c>
      <c r="F130" s="71">
        <f>IFERROR(F120-F129,"")</f>
        <v/>
      </c>
      <c r="G130" s="71">
        <f>IFERROR(G120-G129,"")</f>
        <v/>
      </c>
      <c r="H130" s="71">
        <f>IFERROR(H120-H129,"")</f>
        <v/>
      </c>
      <c r="I130" s="71">
        <f>IFERROR(I120-I129,"")</f>
        <v/>
      </c>
      <c r="J130" s="71">
        <f>IFERROR(J120-J129,"")</f>
        <v/>
      </c>
      <c r="K130" s="71">
        <f>IFERROR(K120-K129,"")</f>
        <v/>
      </c>
      <c r="L130" s="71">
        <f>IFERROR(L120-L129,"")</f>
        <v/>
      </c>
      <c r="M130" s="71">
        <f>IFERROR(M120-M129,"")</f>
        <v/>
      </c>
      <c r="N130" s="71">
        <f>IFERROR(N120-N129,"")</f>
        <v/>
      </c>
      <c r="O130" s="71">
        <f>IFERROR(O120-O129,"")</f>
        <v/>
      </c>
      <c r="P130" s="71">
        <f>IFERROR(P120-P129,"")</f>
        <v/>
      </c>
      <c r="Q130" s="71">
        <f>IFERROR(Q120-Q129,"")</f>
        <v/>
      </c>
      <c r="R130" s="71">
        <f>IFERROR(R120-R129,"")</f>
        <v/>
      </c>
      <c r="S130" s="71">
        <f>IFERROR(S120-S129,"")</f>
        <v/>
      </c>
      <c r="T130" s="71">
        <f>IFERROR(T120-T129,"")</f>
        <v/>
      </c>
      <c r="U130" s="71">
        <f>IFERROR(U120-U129,"")</f>
        <v/>
      </c>
      <c r="V130" s="71">
        <f>IFERROR(V120-V129,"")</f>
        <v/>
      </c>
      <c r="W130" s="71">
        <f>IFERROR(W120-W129,"")</f>
        <v/>
      </c>
      <c r="AB130" s="19" t="n"/>
      <c r="AC130" s="72">
        <f>IFERROR(AC120-AC129,"")</f>
        <v/>
      </c>
      <c r="AD130" s="72">
        <f>IFERROR(AD120-AD129,"")</f>
        <v/>
      </c>
      <c r="AE130" s="72">
        <f>IFERROR(AE120-AE129,"")</f>
        <v/>
      </c>
      <c r="AF130" s="72">
        <f>IFERROR(AF120-AF129,"")</f>
        <v/>
      </c>
      <c r="AG130" s="72">
        <f>IFERROR(AG120-AG129,"")</f>
        <v/>
      </c>
      <c r="AH130" s="72">
        <f>IFERROR(AH120-AH129,"")</f>
        <v/>
      </c>
      <c r="AI130" s="72">
        <f>IFERROR(AI120-AI129,"")</f>
        <v/>
      </c>
      <c r="AJ130" s="72">
        <f>IFERROR(AJ120-AJ129,"")</f>
        <v/>
      </c>
      <c r="AK130" s="72">
        <f>IFERROR(AK120-AK129,"")</f>
        <v/>
      </c>
      <c r="AL130" s="72">
        <f>IFERROR(AL120-AL129,"")</f>
        <v/>
      </c>
      <c r="AM130" s="72">
        <f>IFERROR(AM120-AM129,"")</f>
        <v/>
      </c>
      <c r="AN130" s="72">
        <f>IFERROR(AN120-AN129,"")</f>
        <v/>
      </c>
    </row>
    <row r="131" outlineLevel="1">
      <c r="A131" s="20" t="inlineStr">
        <is>
          <t>Tax expense</t>
        </is>
      </c>
      <c r="B131" s="17" t="inlineStr">
        <is>
          <t>Rs Mn</t>
        </is>
      </c>
      <c r="C131" s="22" t="inlineStr">
        <is>
          <t>Link: Consolidated Bridge row 110</t>
        </is>
      </c>
      <c r="D131" s="71">
        <f>IF(D110="","",D110)</f>
        <v/>
      </c>
      <c r="E131" s="71">
        <f>IF(E110="","",E110)</f>
        <v/>
      </c>
      <c r="F131" s="71">
        <f>IF(F110="","",F110)</f>
        <v/>
      </c>
      <c r="G131" s="71">
        <f>IF(G110="","",G110)</f>
        <v/>
      </c>
      <c r="H131" s="71">
        <f>IF(H110="","",H110)</f>
        <v/>
      </c>
      <c r="I131" s="71">
        <f>IF(I110="","",I110)</f>
        <v/>
      </c>
      <c r="J131" s="71">
        <f>IF(J110="","",J110)</f>
        <v/>
      </c>
      <c r="K131" s="71">
        <f>IF(K110="","",K110)</f>
        <v/>
      </c>
      <c r="L131" s="71">
        <f>IF(L110="","",L110)</f>
        <v/>
      </c>
      <c r="M131" s="71">
        <f>IF(M110="","",M110)</f>
        <v/>
      </c>
      <c r="N131" s="71">
        <f>IF(N110="","",N110)</f>
        <v/>
      </c>
      <c r="O131" s="71">
        <f>IF(O110="","",O110)</f>
        <v/>
      </c>
      <c r="P131" s="71">
        <f>IF(P110="","",P110)</f>
        <v/>
      </c>
      <c r="Q131" s="71">
        <f>IF(Q110="","",Q110)</f>
        <v/>
      </c>
      <c r="R131" s="71">
        <f>IF(R110="","",R110)</f>
        <v/>
      </c>
      <c r="S131" s="71">
        <f>IF(S110="","",S110)</f>
        <v/>
      </c>
      <c r="T131" s="71">
        <f>IF(T110="","",T110)</f>
        <v/>
      </c>
      <c r="U131" s="71">
        <f>IF(U110="","",U110)</f>
        <v/>
      </c>
      <c r="V131" s="71">
        <f>IF(V110="","",V110)</f>
        <v/>
      </c>
      <c r="W131" s="71">
        <f>IF(W110="","",W110)</f>
        <v/>
      </c>
      <c r="AB131" s="19" t="n"/>
      <c r="AC131" s="72">
        <f>IF(AC110="","",AC110)</f>
        <v/>
      </c>
      <c r="AD131" s="72">
        <f>IF(AD110="","",AD110)</f>
        <v/>
      </c>
      <c r="AE131" s="72">
        <f>IF(AE110="","",AE110)</f>
        <v/>
      </c>
      <c r="AF131" s="72">
        <f>IF(AF110="","",AF110)</f>
        <v/>
      </c>
      <c r="AG131" s="72">
        <f>IF(AG110="","",AG110)</f>
        <v/>
      </c>
      <c r="AH131" s="72">
        <f>IF(AH110="","",AH110)</f>
        <v/>
      </c>
      <c r="AI131" s="72">
        <f>IF(AI110="","",AI110)</f>
        <v/>
      </c>
      <c r="AJ131" s="72">
        <f>IF(AJ110="","",AJ110)</f>
        <v/>
      </c>
      <c r="AK131" s="72">
        <f>IF(AK110="","",AK110)</f>
        <v/>
      </c>
      <c r="AL131" s="72">
        <f>IF(AL110="","",AL110)</f>
        <v/>
      </c>
      <c r="AM131" s="72">
        <f>IF(AM110="","",AM110)</f>
        <v/>
      </c>
      <c r="AN131" s="72">
        <f>IF(AN110="","",AN110)</f>
        <v/>
      </c>
    </row>
    <row r="132" outlineLevel="1">
      <c r="A132" s="20" t="inlineStr">
        <is>
          <t>Profit After Tax</t>
        </is>
      </c>
      <c r="B132" s="17" t="inlineStr">
        <is>
          <t>Rs Mn</t>
        </is>
      </c>
      <c r="C132" s="22" t="inlineStr">
        <is>
          <t>Formula</t>
        </is>
      </c>
      <c r="D132" s="71">
        <f>IFERROR(D130-D131,"")</f>
        <v/>
      </c>
      <c r="E132" s="71">
        <f>IFERROR(E130-E131,"")</f>
        <v/>
      </c>
      <c r="F132" s="71">
        <f>IFERROR(F130-F131,"")</f>
        <v/>
      </c>
      <c r="G132" s="71">
        <f>IFERROR(G130-G131,"")</f>
        <v/>
      </c>
      <c r="H132" s="71">
        <f>IFERROR(H130-H131,"")</f>
        <v/>
      </c>
      <c r="I132" s="71">
        <f>IFERROR(I130-I131,"")</f>
        <v/>
      </c>
      <c r="J132" s="71">
        <f>IFERROR(J130-J131,"")</f>
        <v/>
      </c>
      <c r="K132" s="71">
        <f>IFERROR(K130-K131,"")</f>
        <v/>
      </c>
      <c r="L132" s="71">
        <f>IFERROR(L130-L131,"")</f>
        <v/>
      </c>
      <c r="M132" s="71">
        <f>IFERROR(M130-M131,"")</f>
        <v/>
      </c>
      <c r="N132" s="71">
        <f>IFERROR(N130-N131,"")</f>
        <v/>
      </c>
      <c r="O132" s="71">
        <f>IFERROR(O130-O131,"")</f>
        <v/>
      </c>
      <c r="P132" s="71">
        <f>IFERROR(P130-P131,"")</f>
        <v/>
      </c>
      <c r="Q132" s="71">
        <f>IFERROR(Q130-Q131,"")</f>
        <v/>
      </c>
      <c r="R132" s="71">
        <f>IFERROR(R130-R131,"")</f>
        <v/>
      </c>
      <c r="S132" s="71">
        <f>IFERROR(S130-S131,"")</f>
        <v/>
      </c>
      <c r="T132" s="71">
        <f>IFERROR(T130-T131,"")</f>
        <v/>
      </c>
      <c r="U132" s="71">
        <f>IFERROR(U130-U131,"")</f>
        <v/>
      </c>
      <c r="V132" s="71">
        <f>IFERROR(V130-V131,"")</f>
        <v/>
      </c>
      <c r="W132" s="71">
        <f>IFERROR(W130-W131,"")</f>
        <v/>
      </c>
      <c r="AB132" s="19" t="n"/>
      <c r="AC132" s="72">
        <f>IFERROR(AC130-AC131,"")</f>
        <v/>
      </c>
      <c r="AD132" s="72">
        <f>IFERROR(AD130-AD131,"")</f>
        <v/>
      </c>
      <c r="AE132" s="72">
        <f>IFERROR(AE130-AE131,"")</f>
        <v/>
      </c>
      <c r="AF132" s="72">
        <f>IFERROR(AF130-AF131,"")</f>
        <v/>
      </c>
      <c r="AG132" s="72">
        <f>IFERROR(AG130-AG131,"")</f>
        <v/>
      </c>
      <c r="AH132" s="72">
        <f>IFERROR(AH130-AH131,"")</f>
        <v/>
      </c>
      <c r="AI132" s="72">
        <f>IFERROR(AI130-AI131,"")</f>
        <v/>
      </c>
      <c r="AJ132" s="72">
        <f>IFERROR(AJ130-AJ131,"")</f>
        <v/>
      </c>
      <c r="AK132" s="72">
        <f>IFERROR(AK130-AK131,"")</f>
        <v/>
      </c>
      <c r="AL132" s="72">
        <f>IFERROR(AL130-AL131,"")</f>
        <v/>
      </c>
      <c r="AM132" s="72">
        <f>IFERROR(AM130-AM131,"")</f>
        <v/>
      </c>
      <c r="AN132" s="72">
        <f>IFERROR(AN130-AN131,"")</f>
        <v/>
      </c>
    </row>
    <row r="133" outlineLevel="1">
      <c r="A133" s="20" t="inlineStr">
        <is>
          <t>EPS (diluted)</t>
        </is>
      </c>
      <c r="B133" s="17" t="inlineStr">
        <is>
          <t>Rs</t>
        </is>
      </c>
      <c r="C133" s="22" t="inlineStr">
        <is>
          <t>Link: Consolidated Bridge row 114</t>
        </is>
      </c>
      <c r="D133" s="54">
        <f>IF(D114="","",D114)</f>
        <v/>
      </c>
      <c r="E133" s="54">
        <f>IF(E114="","",E114)</f>
        <v/>
      </c>
      <c r="F133" s="54">
        <f>IF(F114="","",F114)</f>
        <v/>
      </c>
      <c r="G133" s="54">
        <f>IF(G114="","",G114)</f>
        <v/>
      </c>
      <c r="H133" s="54">
        <f>IF(H114="","",H114)</f>
        <v/>
      </c>
      <c r="I133" s="54">
        <f>IF(I114="","",I114)</f>
        <v/>
      </c>
      <c r="J133" s="54">
        <f>IF(J114="","",J114)</f>
        <v/>
      </c>
      <c r="K133" s="54">
        <f>IF(K114="","",K114)</f>
        <v/>
      </c>
      <c r="L133" s="54">
        <f>IF(L114="","",L114)</f>
        <v/>
      </c>
      <c r="M133" s="54">
        <f>IF(M114="","",M114)</f>
        <v/>
      </c>
      <c r="N133" s="54">
        <f>IF(N114="","",N114)</f>
        <v/>
      </c>
      <c r="O133" s="54">
        <f>IF(O114="","",O114)</f>
        <v/>
      </c>
      <c r="P133" s="54">
        <f>IF(P114="","",P114)</f>
        <v/>
      </c>
      <c r="Q133" s="54">
        <f>IF(Q114="","",Q114)</f>
        <v/>
      </c>
      <c r="R133" s="54">
        <f>IF(R114="","",R114)</f>
        <v/>
      </c>
      <c r="S133" s="54">
        <f>IF(S114="","",S114)</f>
        <v/>
      </c>
      <c r="T133" s="54">
        <f>IF(T114="","",T114)</f>
        <v/>
      </c>
      <c r="U133" s="54">
        <f>IF(U114="","",U114)</f>
        <v/>
      </c>
      <c r="V133" s="54">
        <f>IF(V114="","",V114)</f>
        <v/>
      </c>
      <c r="W133" s="54">
        <f>IF(W114="","",W114)</f>
        <v/>
      </c>
      <c r="AB133" s="19" t="n"/>
      <c r="AC133" s="13">
        <f>IF(AC114="","",AC114)</f>
        <v/>
      </c>
      <c r="AD133" s="13">
        <f>IF(AD114="","",AD114)</f>
        <v/>
      </c>
      <c r="AE133" s="13">
        <f>IF(AE114="","",AE114)</f>
        <v/>
      </c>
      <c r="AF133" s="13">
        <f>IF(AF114="","",AF114)</f>
        <v/>
      </c>
      <c r="AG133" s="13">
        <f>IF(AG114="","",AG114)</f>
        <v/>
      </c>
      <c r="AH133" s="13">
        <f>IF(AH114="","",AH114)</f>
        <v/>
      </c>
      <c r="AI133" s="13">
        <f>IF(AI114="","",AI114)</f>
        <v/>
      </c>
      <c r="AJ133" s="13">
        <f>IF(AJ114="","",AJ114)</f>
        <v/>
      </c>
      <c r="AK133" s="13">
        <f>IF(AK114="","",AK114)</f>
        <v/>
      </c>
      <c r="AL133" s="13">
        <f>IF(AL114="","",AL114)</f>
        <v/>
      </c>
      <c r="AM133" s="13">
        <f>IF(AM114="","",AM114)</f>
        <v/>
      </c>
      <c r="AN133" s="13">
        <f>IF(AN114="","",AN114)</f>
        <v/>
      </c>
    </row>
    <row r="134">
      <c r="AB134" s="19" t="n"/>
    </row>
    <row r="135">
      <c r="A135" s="5" t="inlineStr">
        <is>
          <t>BALANCE SHEET (SUMMARIZED)</t>
        </is>
      </c>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44" t="n"/>
      <c r="AC135" s="5" t="n"/>
      <c r="AD135" s="5" t="n"/>
      <c r="AE135" s="5" t="n"/>
      <c r="AF135" s="5" t="n"/>
      <c r="AG135" s="5" t="n"/>
      <c r="AH135" s="5" t="n"/>
      <c r="AI135" s="5" t="n"/>
      <c r="AJ135" s="5" t="n"/>
      <c r="AK135" s="5" t="n"/>
      <c r="AL135" s="5" t="n"/>
      <c r="AM135" s="5" t="n"/>
      <c r="AN135" s="5" t="n"/>
    </row>
    <row r="136">
      <c r="A136" s="17" t="inlineStr">
        <is>
          <t>Nykaa only discloses Balance Sheet figures at half-year/full-year ends (Q2 and Q4), so historical quarters here follow that same pattern -- Q1/Q3 stay blank, matching the Raw Data - financials tab. Projected years are annual only (FY27E-30E), consistent with the rest of this sheet. Each summarized line combines several Raw Data - financials rows (see column C / cell comments for exactly which). Cash and cash equivalents is the balancing plug for projected years -- it is NOT itself an assumption, it's whatever value makes Total Assets equal Total Liabilities &amp; Equity.</t>
        </is>
      </c>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45" t="n"/>
      <c r="AC136" s="17" t="n"/>
      <c r="AD136" s="17" t="n"/>
      <c r="AE136" s="17" t="n"/>
      <c r="AF136" s="17" t="n"/>
      <c r="AG136" s="17" t="n"/>
      <c r="AH136" s="17" t="n"/>
      <c r="AI136" s="17" t="n"/>
      <c r="AJ136" s="17" t="n"/>
      <c r="AK136" s="17" t="n"/>
      <c r="AL136" s="17" t="n"/>
      <c r="AM136" s="17" t="n"/>
      <c r="AN136" s="17" t="n"/>
    </row>
    <row r="137">
      <c r="A137" s="9" t="inlineStr">
        <is>
          <t>Assets</t>
        </is>
      </c>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46" t="n"/>
      <c r="AC137" s="9" t="n"/>
      <c r="AD137" s="9" t="n"/>
      <c r="AE137" s="9" t="n"/>
      <c r="AF137" s="9" t="n"/>
      <c r="AG137" s="9" t="n"/>
      <c r="AH137" s="9" t="n"/>
      <c r="AI137" s="9" t="n"/>
      <c r="AJ137" s="9" t="n"/>
      <c r="AK137" s="9" t="n"/>
      <c r="AL137" s="9" t="n"/>
      <c r="AM137" s="9" t="n"/>
      <c r="AN137" s="9" t="n"/>
    </row>
    <row r="138" outlineLevel="2">
      <c r="A138" s="20" t="inlineStr">
        <is>
          <t xml:space="preserve">  Capex (% of Revenue)</t>
        </is>
      </c>
      <c r="B138" s="17" t="inlineStr">
        <is>
          <t>%</t>
        </is>
      </c>
      <c r="C138" s="48" t="inlineStr">
        <is>
          <t>Assumption (edit me)</t>
        </is>
      </c>
      <c r="AB138" s="19" t="n"/>
      <c r="AC138" s="52">
        <f>IFERROR(-'Raw Data - financials'!AC148/AC118,"")</f>
        <v/>
      </c>
      <c r="AD138" s="52">
        <f>IFERROR(-'Raw Data - financials'!AD148/AD118,"")</f>
        <v/>
      </c>
      <c r="AE138" s="52">
        <f>IFERROR(-'Raw Data - financials'!AE148/AE118,"")</f>
        <v/>
      </c>
      <c r="AF138" s="52">
        <f>IFERROR(-'Raw Data - financials'!AF148/AF118,"")</f>
        <v/>
      </c>
      <c r="AG138" s="52">
        <f>IFERROR(-'Raw Data - financials'!AG148/AG118,"")</f>
        <v/>
      </c>
      <c r="AH138" s="52">
        <f>IFERROR(-'Raw Data - financials'!AH148/AH118,"")</f>
        <v/>
      </c>
      <c r="AI138" s="52">
        <f>IFERROR(-'Raw Data - financials'!AI148/AI118,"")</f>
        <v/>
      </c>
      <c r="AJ138" s="52">
        <f>IFERROR(-'Raw Data - financials'!AJ148/AJ118,"")</f>
        <v/>
      </c>
      <c r="AK138" s="50" t="n">
        <v>0.02</v>
      </c>
      <c r="AL138" s="50" t="n">
        <v>0.02</v>
      </c>
      <c r="AM138" s="50" t="n">
        <v>0.02</v>
      </c>
      <c r="AN138" s="50" t="n">
        <v>0.02</v>
      </c>
    </row>
    <row r="139" outlineLevel="1">
      <c r="A139" s="20" t="inlineStr">
        <is>
          <t>Fixed assets &amp; intangibles, net</t>
        </is>
      </c>
      <c r="B139" s="17" t="inlineStr">
        <is>
          <t>Rs Mn</t>
        </is>
      </c>
      <c r="C139" s="22" t="inlineStr">
        <is>
          <t>Formula</t>
        </is>
      </c>
      <c r="E139" s="71">
        <f>IF(COUNT('Raw Data - financials'!E49,'Raw Data - financials'!E50,'Raw Data - financials'!E51,'Raw Data - financials'!E52,'Raw Data - financials'!E53,'Raw Data - financials'!E54)=0,"",SUM('Raw Data - financials'!E49,'Raw Data - financials'!E50,'Raw Data - financials'!E51,'Raw Data - financials'!E52,'Raw Data - financials'!E53,'Raw Data - financials'!E54))</f>
        <v/>
      </c>
      <c r="G139" s="71">
        <f>IF(COUNT('Raw Data - financials'!G49,'Raw Data - financials'!G50,'Raw Data - financials'!G51,'Raw Data - financials'!G52,'Raw Data - financials'!G53,'Raw Data - financials'!G54)=0,"",SUM('Raw Data - financials'!G49,'Raw Data - financials'!G50,'Raw Data - financials'!G51,'Raw Data - financials'!G52,'Raw Data - financials'!G53,'Raw Data - financials'!G54))</f>
        <v/>
      </c>
      <c r="I139" s="71">
        <f>IF(COUNT('Raw Data - financials'!I49,'Raw Data - financials'!I50,'Raw Data - financials'!I51,'Raw Data - financials'!I52,'Raw Data - financials'!I53,'Raw Data - financials'!I54)=0,"",SUM('Raw Data - financials'!I49,'Raw Data - financials'!I50,'Raw Data - financials'!I51,'Raw Data - financials'!I52,'Raw Data - financials'!I53,'Raw Data - financials'!I54))</f>
        <v/>
      </c>
      <c r="K139" s="71">
        <f>IF(COUNT('Raw Data - financials'!K49,'Raw Data - financials'!K50,'Raw Data - financials'!K51,'Raw Data - financials'!K52,'Raw Data - financials'!K53,'Raw Data - financials'!K54)=0,"",SUM('Raw Data - financials'!K49,'Raw Data - financials'!K50,'Raw Data - financials'!K51,'Raw Data - financials'!K52,'Raw Data - financials'!K53,'Raw Data - financials'!K54))</f>
        <v/>
      </c>
      <c r="M139" s="71">
        <f>IF(COUNT('Raw Data - financials'!M49,'Raw Data - financials'!M50,'Raw Data - financials'!M51,'Raw Data - financials'!M52,'Raw Data - financials'!M53,'Raw Data - financials'!M54)=0,"",SUM('Raw Data - financials'!M49,'Raw Data - financials'!M50,'Raw Data - financials'!M51,'Raw Data - financials'!M52,'Raw Data - financials'!M53,'Raw Data - financials'!M54))</f>
        <v/>
      </c>
      <c r="O139" s="71">
        <f>IF(COUNT('Raw Data - financials'!O49,'Raw Data - financials'!O50,'Raw Data - financials'!O51,'Raw Data - financials'!O52,'Raw Data - financials'!O53,'Raw Data - financials'!O54)=0,"",SUM('Raw Data - financials'!O49,'Raw Data - financials'!O50,'Raw Data - financials'!O51,'Raw Data - financials'!O52,'Raw Data - financials'!O53,'Raw Data - financials'!O54))</f>
        <v/>
      </c>
      <c r="Q139" s="71">
        <f>IF(COUNT('Raw Data - financials'!Q49,'Raw Data - financials'!Q50,'Raw Data - financials'!Q51,'Raw Data - financials'!Q52,'Raw Data - financials'!Q53,'Raw Data - financials'!Q54)=0,"",SUM('Raw Data - financials'!Q49,'Raw Data - financials'!Q50,'Raw Data - financials'!Q51,'Raw Data - financials'!Q52,'Raw Data - financials'!Q53,'Raw Data - financials'!Q54))</f>
        <v/>
      </c>
      <c r="S139" s="71">
        <f>IF(COUNT('Raw Data - financials'!S49,'Raw Data - financials'!S50,'Raw Data - financials'!S51,'Raw Data - financials'!S52,'Raw Data - financials'!S53,'Raw Data - financials'!S54)=0,"",SUM('Raw Data - financials'!S49,'Raw Data - financials'!S50,'Raw Data - financials'!S51,'Raw Data - financials'!S52,'Raw Data - financials'!S53,'Raw Data - financials'!S54))</f>
        <v/>
      </c>
      <c r="U139" s="71">
        <f>IF(COUNT('Raw Data - financials'!U49,'Raw Data - financials'!U50,'Raw Data - financials'!U51,'Raw Data - financials'!U52,'Raw Data - financials'!U53,'Raw Data - financials'!U54)=0,"",SUM('Raw Data - financials'!U49,'Raw Data - financials'!U50,'Raw Data - financials'!U51,'Raw Data - financials'!U52,'Raw Data - financials'!U53,'Raw Data - financials'!U54))</f>
        <v/>
      </c>
      <c r="W139" s="71">
        <f>IF(COUNT('Raw Data - financials'!W49,'Raw Data - financials'!W50,'Raw Data - financials'!W51,'Raw Data - financials'!W52,'Raw Data - financials'!W53,'Raw Data - financials'!W54)=0,"",SUM('Raw Data - financials'!W49,'Raw Data - financials'!W50,'Raw Data - financials'!W51,'Raw Data - financials'!W52,'Raw Data - financials'!W53,'Raw Data - financials'!W54))</f>
        <v/>
      </c>
      <c r="AB139" s="19" t="n"/>
      <c r="AC139" s="72">
        <f>IF(COUNT('Raw Data - financials'!AC49,'Raw Data - financials'!AC50,'Raw Data - financials'!AC51,'Raw Data - financials'!AC52,'Raw Data - financials'!AC53,'Raw Data - financials'!AC54)=0,"",SUM('Raw Data - financials'!AC49,'Raw Data - financials'!AC50,'Raw Data - financials'!AC51,'Raw Data - financials'!AC52,'Raw Data - financials'!AC53,'Raw Data - financials'!AC54))</f>
        <v/>
      </c>
      <c r="AD139" s="72">
        <f>IF(COUNT('Raw Data - financials'!AD49,'Raw Data - financials'!AD50,'Raw Data - financials'!AD51,'Raw Data - financials'!AD52,'Raw Data - financials'!AD53,'Raw Data - financials'!AD54)=0,"",SUM('Raw Data - financials'!AD49,'Raw Data - financials'!AD50,'Raw Data - financials'!AD51,'Raw Data - financials'!AD52,'Raw Data - financials'!AD53,'Raw Data - financials'!AD54))</f>
        <v/>
      </c>
      <c r="AE139" s="72">
        <f>IF(COUNT('Raw Data - financials'!AE49,'Raw Data - financials'!AE50,'Raw Data - financials'!AE51,'Raw Data - financials'!AE52,'Raw Data - financials'!AE53,'Raw Data - financials'!AE54)=0,"",SUM('Raw Data - financials'!AE49,'Raw Data - financials'!AE50,'Raw Data - financials'!AE51,'Raw Data - financials'!AE52,'Raw Data - financials'!AE53,'Raw Data - financials'!AE54))</f>
        <v/>
      </c>
      <c r="AF139" s="72">
        <f>IF(COUNT('Raw Data - financials'!AF49,'Raw Data - financials'!AF50,'Raw Data - financials'!AF51,'Raw Data - financials'!AF52,'Raw Data - financials'!AF53,'Raw Data - financials'!AF54)=0,"",SUM('Raw Data - financials'!AF49,'Raw Data - financials'!AF50,'Raw Data - financials'!AF51,'Raw Data - financials'!AF52,'Raw Data - financials'!AF53,'Raw Data - financials'!AF54))</f>
        <v/>
      </c>
      <c r="AG139" s="72">
        <f>IF(COUNT('Raw Data - financials'!AG49,'Raw Data - financials'!AG50,'Raw Data - financials'!AG51,'Raw Data - financials'!AG52,'Raw Data - financials'!AG53,'Raw Data - financials'!AG54)=0,"",SUM('Raw Data - financials'!AG49,'Raw Data - financials'!AG50,'Raw Data - financials'!AG51,'Raw Data - financials'!AG52,'Raw Data - financials'!AG53,'Raw Data - financials'!AG54))</f>
        <v/>
      </c>
      <c r="AH139" s="72">
        <f>IF(COUNT('Raw Data - financials'!AH49,'Raw Data - financials'!AH50,'Raw Data - financials'!AH51,'Raw Data - financials'!AH52,'Raw Data - financials'!AH53,'Raw Data - financials'!AH54)=0,"",SUM('Raw Data - financials'!AH49,'Raw Data - financials'!AH50,'Raw Data - financials'!AH51,'Raw Data - financials'!AH52,'Raw Data - financials'!AH53,'Raw Data - financials'!AH54))</f>
        <v/>
      </c>
      <c r="AI139" s="72">
        <f>IF(COUNT('Raw Data - financials'!AI49,'Raw Data - financials'!AI50,'Raw Data - financials'!AI51,'Raw Data - financials'!AI52,'Raw Data - financials'!AI53,'Raw Data - financials'!AI54)=0,"",SUM('Raw Data - financials'!AI49,'Raw Data - financials'!AI50,'Raw Data - financials'!AI51,'Raw Data - financials'!AI52,'Raw Data - financials'!AI53,'Raw Data - financials'!AI54))</f>
        <v/>
      </c>
      <c r="AJ139" s="72">
        <f>IF(COUNT('Raw Data - financials'!AJ49,'Raw Data - financials'!AJ50,'Raw Data - financials'!AJ51,'Raw Data - financials'!AJ52,'Raw Data - financials'!AJ53,'Raw Data - financials'!AJ54)=0,"",SUM('Raw Data - financials'!AJ49,'Raw Data - financials'!AJ50,'Raw Data - financials'!AJ51,'Raw Data - financials'!AJ52,'Raw Data - financials'!AJ53,'Raw Data - financials'!AJ54))</f>
        <v/>
      </c>
      <c r="AK139" s="72">
        <f>IFERROR(AJ139+AK118*AK138-AK127,"")</f>
        <v/>
      </c>
      <c r="AL139" s="72">
        <f>IFERROR(AK139+AL118*AL138-AL127,"")</f>
        <v/>
      </c>
      <c r="AM139" s="72">
        <f>IFERROR(AL139+AM118*AM138-AM127,"")</f>
        <v/>
      </c>
      <c r="AN139" s="72">
        <f>IFERROR(AM139+AN118*AN138-AN127,"")</f>
        <v/>
      </c>
    </row>
    <row r="140" outlineLevel="2">
      <c r="A140" s="20" t="inlineStr">
        <is>
          <t xml:space="preserve">  Investments</t>
        </is>
      </c>
      <c r="B140" s="17" t="inlineStr">
        <is>
          <t>Rs Mn</t>
        </is>
      </c>
      <c r="C140" s="17" t="inlineStr">
        <is>
          <t>Held flat at FY26 (edit AK if needed)</t>
        </is>
      </c>
      <c r="E140" s="71">
        <f>IF(COUNT('Raw Data - financials'!E55,'Raw Data - financials'!E56,'Raw Data - financials'!E66)=0,"",SUM('Raw Data - financials'!E55,'Raw Data - financials'!E56,'Raw Data - financials'!E66))</f>
        <v/>
      </c>
      <c r="G140" s="71">
        <f>IF(COUNT('Raw Data - financials'!G55,'Raw Data - financials'!G56,'Raw Data - financials'!G66)=0,"",SUM('Raw Data - financials'!G55,'Raw Data - financials'!G56,'Raw Data - financials'!G66))</f>
        <v/>
      </c>
      <c r="I140" s="71">
        <f>IF(COUNT('Raw Data - financials'!I55,'Raw Data - financials'!I56,'Raw Data - financials'!I66)=0,"",SUM('Raw Data - financials'!I55,'Raw Data - financials'!I56,'Raw Data - financials'!I66))</f>
        <v/>
      </c>
      <c r="K140" s="71">
        <f>IF(COUNT('Raw Data - financials'!K55,'Raw Data - financials'!K56,'Raw Data - financials'!K66)=0,"",SUM('Raw Data - financials'!K55,'Raw Data - financials'!K56,'Raw Data - financials'!K66))</f>
        <v/>
      </c>
      <c r="M140" s="71">
        <f>IF(COUNT('Raw Data - financials'!M55,'Raw Data - financials'!M56,'Raw Data - financials'!M66)=0,"",SUM('Raw Data - financials'!M55,'Raw Data - financials'!M56,'Raw Data - financials'!M66))</f>
        <v/>
      </c>
      <c r="O140" s="71">
        <f>IF(COUNT('Raw Data - financials'!O55,'Raw Data - financials'!O56,'Raw Data - financials'!O66)=0,"",SUM('Raw Data - financials'!O55,'Raw Data - financials'!O56,'Raw Data - financials'!O66))</f>
        <v/>
      </c>
      <c r="Q140" s="71">
        <f>IF(COUNT('Raw Data - financials'!Q55,'Raw Data - financials'!Q56,'Raw Data - financials'!Q66)=0,"",SUM('Raw Data - financials'!Q55,'Raw Data - financials'!Q56,'Raw Data - financials'!Q66))</f>
        <v/>
      </c>
      <c r="S140" s="71">
        <f>IF(COUNT('Raw Data - financials'!S55,'Raw Data - financials'!S56,'Raw Data - financials'!S66)=0,"",SUM('Raw Data - financials'!S55,'Raw Data - financials'!S56,'Raw Data - financials'!S66))</f>
        <v/>
      </c>
      <c r="U140" s="71">
        <f>IF(COUNT('Raw Data - financials'!U55,'Raw Data - financials'!U56,'Raw Data - financials'!U66)=0,"",SUM('Raw Data - financials'!U55,'Raw Data - financials'!U56,'Raw Data - financials'!U66))</f>
        <v/>
      </c>
      <c r="W140" s="71">
        <f>IF(COUNT('Raw Data - financials'!W55,'Raw Data - financials'!W56,'Raw Data - financials'!W66)=0,"",SUM('Raw Data - financials'!W55,'Raw Data - financials'!W56,'Raw Data - financials'!W66))</f>
        <v/>
      </c>
      <c r="AB140" s="19" t="n"/>
      <c r="AC140" s="72">
        <f>IF(COUNT('Raw Data - financials'!AC55,'Raw Data - financials'!AC56,'Raw Data - financials'!AC66)=0,"",SUM('Raw Data - financials'!AC55,'Raw Data - financials'!AC56,'Raw Data - financials'!AC66))</f>
        <v/>
      </c>
      <c r="AD140" s="72">
        <f>IF(COUNT('Raw Data - financials'!AD55,'Raw Data - financials'!AD56,'Raw Data - financials'!AD66)=0,"",SUM('Raw Data - financials'!AD55,'Raw Data - financials'!AD56,'Raw Data - financials'!AD66))</f>
        <v/>
      </c>
      <c r="AE140" s="72">
        <f>IF(COUNT('Raw Data - financials'!AE55,'Raw Data - financials'!AE56,'Raw Data - financials'!AE66)=0,"",SUM('Raw Data - financials'!AE55,'Raw Data - financials'!AE56,'Raw Data - financials'!AE66))</f>
        <v/>
      </c>
      <c r="AF140" s="72">
        <f>IF(COUNT('Raw Data - financials'!AF55,'Raw Data - financials'!AF56,'Raw Data - financials'!AF66)=0,"",SUM('Raw Data - financials'!AF55,'Raw Data - financials'!AF56,'Raw Data - financials'!AF66))</f>
        <v/>
      </c>
      <c r="AG140" s="72">
        <f>IF(COUNT('Raw Data - financials'!AG55,'Raw Data - financials'!AG56,'Raw Data - financials'!AG66)=0,"",SUM('Raw Data - financials'!AG55,'Raw Data - financials'!AG56,'Raw Data - financials'!AG66))</f>
        <v/>
      </c>
      <c r="AH140" s="72">
        <f>IF(COUNT('Raw Data - financials'!AH55,'Raw Data - financials'!AH56,'Raw Data - financials'!AH66)=0,"",SUM('Raw Data - financials'!AH55,'Raw Data - financials'!AH56,'Raw Data - financials'!AH66))</f>
        <v/>
      </c>
      <c r="AI140" s="72">
        <f>IF(COUNT('Raw Data - financials'!AI55,'Raw Data - financials'!AI56,'Raw Data - financials'!AI66)=0,"",SUM('Raw Data - financials'!AI55,'Raw Data - financials'!AI56,'Raw Data - financials'!AI66))</f>
        <v/>
      </c>
      <c r="AJ140" s="72">
        <f>IF(COUNT('Raw Data - financials'!AJ55,'Raw Data - financials'!AJ56,'Raw Data - financials'!AJ66)=0,"",SUM('Raw Data - financials'!AJ55,'Raw Data - financials'!AJ56,'Raw Data - financials'!AJ66))</f>
        <v/>
      </c>
      <c r="AK140" s="72">
        <f>AJ140</f>
        <v/>
      </c>
      <c r="AL140" s="72">
        <f>AK140</f>
        <v/>
      </c>
      <c r="AM140" s="72">
        <f>AL140</f>
        <v/>
      </c>
      <c r="AN140" s="72">
        <f>AM140</f>
        <v/>
      </c>
    </row>
    <row r="141" outlineLevel="2">
      <c r="A141" s="20" t="inlineStr">
        <is>
          <t xml:space="preserve">  Inventory days (on COGS)</t>
        </is>
      </c>
      <c r="B141" s="17" t="inlineStr">
        <is>
          <t>days</t>
        </is>
      </c>
      <c r="C141" s="48" t="inlineStr">
        <is>
          <t>Assumption (edit me)</t>
        </is>
      </c>
      <c r="AB141" s="19" t="n"/>
      <c r="AC141" s="53">
        <f>IFERROR(AC142/(AC123/365),"")</f>
        <v/>
      </c>
      <c r="AD141" s="53">
        <f>IFERROR(AD142/(AD123/365),"")</f>
        <v/>
      </c>
      <c r="AE141" s="53">
        <f>IFERROR(AE142/(AE123/365),"")</f>
        <v/>
      </c>
      <c r="AF141" s="53">
        <f>IFERROR(AF142/(AF123/365),"")</f>
        <v/>
      </c>
      <c r="AG141" s="53">
        <f>IFERROR(AG142/(AG123/365),"")</f>
        <v/>
      </c>
      <c r="AH141" s="53">
        <f>IFERROR(AH142/(AH123/365),"")</f>
        <v/>
      </c>
      <c r="AI141" s="53">
        <f>IFERROR(AI142/(AI123/365),"")</f>
        <v/>
      </c>
      <c r="AJ141" s="53">
        <f>IFERROR(AJ142/(AJ123/365),"")</f>
        <v/>
      </c>
      <c r="AK141" s="73" t="n">
        <v>46</v>
      </c>
      <c r="AL141" s="73" t="n">
        <v>46</v>
      </c>
      <c r="AM141" s="73" t="n">
        <v>46</v>
      </c>
      <c r="AN141" s="73" t="n">
        <v>46</v>
      </c>
    </row>
    <row r="142" outlineLevel="1">
      <c r="A142" s="20" t="inlineStr">
        <is>
          <t>Inventories</t>
        </is>
      </c>
      <c r="B142" s="17" t="inlineStr">
        <is>
          <t>Rs Mn</t>
        </is>
      </c>
      <c r="C142" s="22" t="inlineStr">
        <is>
          <t>Raw Data - financials row 65</t>
        </is>
      </c>
      <c r="E142" s="71">
        <f>IF('Raw Data - financials'!E65="","",'Raw Data - financials'!E65)</f>
        <v/>
      </c>
      <c r="G142" s="71">
        <f>IF('Raw Data - financials'!G65="","",'Raw Data - financials'!G65)</f>
        <v/>
      </c>
      <c r="I142" s="71">
        <f>IF('Raw Data - financials'!I65="","",'Raw Data - financials'!I65)</f>
        <v/>
      </c>
      <c r="K142" s="71">
        <f>IF('Raw Data - financials'!K65="","",'Raw Data - financials'!K65)</f>
        <v/>
      </c>
      <c r="M142" s="71">
        <f>IF('Raw Data - financials'!M65="","",'Raw Data - financials'!M65)</f>
        <v/>
      </c>
      <c r="O142" s="71">
        <f>IF('Raw Data - financials'!O65="","",'Raw Data - financials'!O65)</f>
        <v/>
      </c>
      <c r="Q142" s="71">
        <f>IF('Raw Data - financials'!Q65="","",'Raw Data - financials'!Q65)</f>
        <v/>
      </c>
      <c r="S142" s="71">
        <f>IF('Raw Data - financials'!S65="","",'Raw Data - financials'!S65)</f>
        <v/>
      </c>
      <c r="U142" s="71">
        <f>IF('Raw Data - financials'!U65="","",'Raw Data - financials'!U65)</f>
        <v/>
      </c>
      <c r="W142" s="71">
        <f>IF('Raw Data - financials'!W65="","",'Raw Data - financials'!W65)</f>
        <v/>
      </c>
      <c r="AB142" s="19" t="n"/>
      <c r="AC142" s="72">
        <f>IF('Raw Data - financials'!AC65="","",'Raw Data - financials'!AC65)</f>
        <v/>
      </c>
      <c r="AD142" s="72">
        <f>IF('Raw Data - financials'!AD65="","",'Raw Data - financials'!AD65)</f>
        <v/>
      </c>
      <c r="AE142" s="72">
        <f>IF('Raw Data - financials'!AE65="","",'Raw Data - financials'!AE65)</f>
        <v/>
      </c>
      <c r="AF142" s="72">
        <f>IF('Raw Data - financials'!AF65="","",'Raw Data - financials'!AF65)</f>
        <v/>
      </c>
      <c r="AG142" s="72">
        <f>IF('Raw Data - financials'!AG65="","",'Raw Data - financials'!AG65)</f>
        <v/>
      </c>
      <c r="AH142" s="72">
        <f>IF('Raw Data - financials'!AH65="","",'Raw Data - financials'!AH65)</f>
        <v/>
      </c>
      <c r="AI142" s="72">
        <f>IF('Raw Data - financials'!AI65="","",'Raw Data - financials'!AI65)</f>
        <v/>
      </c>
      <c r="AJ142" s="72">
        <f>IF('Raw Data - financials'!AJ65="","",'Raw Data - financials'!AJ65)</f>
        <v/>
      </c>
      <c r="AK142" s="72">
        <f>AK141/365*AK123</f>
        <v/>
      </c>
      <c r="AL142" s="72">
        <f>AL141/365*AL123</f>
        <v/>
      </c>
      <c r="AM142" s="72">
        <f>AM141/365*AM123</f>
        <v/>
      </c>
      <c r="AN142" s="72">
        <f>AN141/365*AN123</f>
        <v/>
      </c>
    </row>
    <row r="143" outlineLevel="2">
      <c r="A143" s="20" t="inlineStr">
        <is>
          <t xml:space="preserve">  Receivable days (on Revenue)</t>
        </is>
      </c>
      <c r="B143" s="17" t="inlineStr">
        <is>
          <t>days</t>
        </is>
      </c>
      <c r="C143" s="48" t="inlineStr">
        <is>
          <t>Assumption (edit me)</t>
        </is>
      </c>
      <c r="AB143" s="19" t="n"/>
      <c r="AC143" s="53">
        <f>IFERROR(AC144/(AC118/365),"")</f>
        <v/>
      </c>
      <c r="AD143" s="53">
        <f>IFERROR(AD144/(AD118/365),"")</f>
        <v/>
      </c>
      <c r="AE143" s="53">
        <f>IFERROR(AE144/(AE118/365),"")</f>
        <v/>
      </c>
      <c r="AF143" s="53">
        <f>IFERROR(AF144/(AF118/365),"")</f>
        <v/>
      </c>
      <c r="AG143" s="53">
        <f>IFERROR(AG144/(AG118/365),"")</f>
        <v/>
      </c>
      <c r="AH143" s="53">
        <f>IFERROR(AH144/(AH118/365),"")</f>
        <v/>
      </c>
      <c r="AI143" s="53">
        <f>IFERROR(AI144/(AI118/365),"")</f>
        <v/>
      </c>
      <c r="AJ143" s="53">
        <f>IFERROR(AJ144/(AJ118/365),"")</f>
        <v/>
      </c>
      <c r="AK143" s="73" t="n">
        <v>15</v>
      </c>
      <c r="AL143" s="73" t="n">
        <v>15</v>
      </c>
      <c r="AM143" s="73" t="n">
        <v>15</v>
      </c>
      <c r="AN143" s="73" t="n">
        <v>15</v>
      </c>
    </row>
    <row r="144" outlineLevel="1">
      <c r="A144" s="20" t="inlineStr">
        <is>
          <t>Trade receivables</t>
        </is>
      </c>
      <c r="B144" s="17" t="inlineStr">
        <is>
          <t>Rs Mn</t>
        </is>
      </c>
      <c r="C144" s="22" t="inlineStr">
        <is>
          <t>Raw Data - financials row 67</t>
        </is>
      </c>
      <c r="E144" s="71">
        <f>IF('Raw Data - financials'!E67="","",'Raw Data - financials'!E67)</f>
        <v/>
      </c>
      <c r="G144" s="71">
        <f>IF('Raw Data - financials'!G67="","",'Raw Data - financials'!G67)</f>
        <v/>
      </c>
      <c r="I144" s="71">
        <f>IF('Raw Data - financials'!I67="","",'Raw Data - financials'!I67)</f>
        <v/>
      </c>
      <c r="K144" s="71">
        <f>IF('Raw Data - financials'!K67="","",'Raw Data - financials'!K67)</f>
        <v/>
      </c>
      <c r="M144" s="71">
        <f>IF('Raw Data - financials'!M67="","",'Raw Data - financials'!M67)</f>
        <v/>
      </c>
      <c r="O144" s="71">
        <f>IF('Raw Data - financials'!O67="","",'Raw Data - financials'!O67)</f>
        <v/>
      </c>
      <c r="Q144" s="71">
        <f>IF('Raw Data - financials'!Q67="","",'Raw Data - financials'!Q67)</f>
        <v/>
      </c>
      <c r="S144" s="71">
        <f>IF('Raw Data - financials'!S67="","",'Raw Data - financials'!S67)</f>
        <v/>
      </c>
      <c r="U144" s="71">
        <f>IF('Raw Data - financials'!U67="","",'Raw Data - financials'!U67)</f>
        <v/>
      </c>
      <c r="W144" s="71">
        <f>IF('Raw Data - financials'!W67="","",'Raw Data - financials'!W67)</f>
        <v/>
      </c>
      <c r="AB144" s="19" t="n"/>
      <c r="AC144" s="72">
        <f>IF('Raw Data - financials'!AC67="","",'Raw Data - financials'!AC67)</f>
        <v/>
      </c>
      <c r="AD144" s="72">
        <f>IF('Raw Data - financials'!AD67="","",'Raw Data - financials'!AD67)</f>
        <v/>
      </c>
      <c r="AE144" s="72">
        <f>IF('Raw Data - financials'!AE67="","",'Raw Data - financials'!AE67)</f>
        <v/>
      </c>
      <c r="AF144" s="72">
        <f>IF('Raw Data - financials'!AF67="","",'Raw Data - financials'!AF67)</f>
        <v/>
      </c>
      <c r="AG144" s="72">
        <f>IF('Raw Data - financials'!AG67="","",'Raw Data - financials'!AG67)</f>
        <v/>
      </c>
      <c r="AH144" s="72">
        <f>IF('Raw Data - financials'!AH67="","",'Raw Data - financials'!AH67)</f>
        <v/>
      </c>
      <c r="AI144" s="72">
        <f>IF('Raw Data - financials'!AI67="","",'Raw Data - financials'!AI67)</f>
        <v/>
      </c>
      <c r="AJ144" s="72">
        <f>IF('Raw Data - financials'!AJ67="","",'Raw Data - financials'!AJ67)</f>
        <v/>
      </c>
      <c r="AK144" s="72">
        <f>AK143/365*AK118</f>
        <v/>
      </c>
      <c r="AL144" s="72">
        <f>AL143/365*AL118</f>
        <v/>
      </c>
      <c r="AM144" s="72">
        <f>AM143/365*AM118</f>
        <v/>
      </c>
      <c r="AN144" s="72">
        <f>AN143/365*AN118</f>
        <v/>
      </c>
    </row>
    <row r="145" outlineLevel="2">
      <c r="A145" s="20" t="inlineStr">
        <is>
          <t xml:space="preserve">  Other assets (% of Revenue)</t>
        </is>
      </c>
      <c r="B145" s="17" t="inlineStr">
        <is>
          <t>%</t>
        </is>
      </c>
      <c r="C145" s="48" t="inlineStr">
        <is>
          <t>Assumption (edit me)</t>
        </is>
      </c>
      <c r="AB145" s="19" t="n"/>
      <c r="AC145" s="52">
        <f>IFERROR(AC146/AC118,"")</f>
        <v/>
      </c>
      <c r="AD145" s="52">
        <f>IFERROR(AD146/AD118,"")</f>
        <v/>
      </c>
      <c r="AE145" s="52">
        <f>IFERROR(AE146/AE118,"")</f>
        <v/>
      </c>
      <c r="AF145" s="52">
        <f>IFERROR(AF146/AF118,"")</f>
        <v/>
      </c>
      <c r="AG145" s="52">
        <f>IFERROR(AG146/AG118,"")</f>
        <v/>
      </c>
      <c r="AH145" s="52">
        <f>IFERROR(AH146/AH118,"")</f>
        <v/>
      </c>
      <c r="AI145" s="52">
        <f>IFERROR(AI146/AI118,"")</f>
        <v/>
      </c>
      <c r="AJ145" s="52">
        <f>IFERROR(AJ146/AJ118,"")</f>
        <v/>
      </c>
      <c r="AK145" s="50" t="n">
        <v>0.09</v>
      </c>
      <c r="AL145" s="50" t="n">
        <v>0.09</v>
      </c>
      <c r="AM145" s="50" t="n">
        <v>0.09</v>
      </c>
      <c r="AN145" s="50" t="n">
        <v>0.09</v>
      </c>
    </row>
    <row r="146" outlineLevel="1">
      <c r="A146" s="20" t="inlineStr">
        <is>
          <t>Other assets</t>
        </is>
      </c>
      <c r="B146" s="17" t="inlineStr">
        <is>
          <t>Rs Mn</t>
        </is>
      </c>
      <c r="C146" s="22" t="inlineStr">
        <is>
          <t>Formula</t>
        </is>
      </c>
      <c r="E146" s="71">
        <f>IF(COUNT('Raw Data - financials'!E57,'Raw Data - financials'!E58,'Raw Data - financials'!E59,'Raw Data - financials'!E60,'Raw Data - financials'!E61,'Raw Data - financials'!E70,'Raw Data - financials'!E71,'Raw Data - financials'!E72)=0,"",SUM('Raw Data - financials'!E57,'Raw Data - financials'!E58,'Raw Data - financials'!E59,'Raw Data - financials'!E60,'Raw Data - financials'!E61,'Raw Data - financials'!E70,'Raw Data - financials'!E71,'Raw Data - financials'!E72))</f>
        <v/>
      </c>
      <c r="G146" s="71">
        <f>IF(COUNT('Raw Data - financials'!G57,'Raw Data - financials'!G58,'Raw Data - financials'!G59,'Raw Data - financials'!G60,'Raw Data - financials'!G61,'Raw Data - financials'!G70,'Raw Data - financials'!G71,'Raw Data - financials'!G72)=0,"",SUM('Raw Data - financials'!G57,'Raw Data - financials'!G58,'Raw Data - financials'!G59,'Raw Data - financials'!G60,'Raw Data - financials'!G61,'Raw Data - financials'!G70,'Raw Data - financials'!G71,'Raw Data - financials'!G72))</f>
        <v/>
      </c>
      <c r="I146" s="71">
        <f>IF(COUNT('Raw Data - financials'!I57,'Raw Data - financials'!I58,'Raw Data - financials'!I59,'Raw Data - financials'!I60,'Raw Data - financials'!I61,'Raw Data - financials'!I70,'Raw Data - financials'!I71,'Raw Data - financials'!I72)=0,"",SUM('Raw Data - financials'!I57,'Raw Data - financials'!I58,'Raw Data - financials'!I59,'Raw Data - financials'!I60,'Raw Data - financials'!I61,'Raw Data - financials'!I70,'Raw Data - financials'!I71,'Raw Data - financials'!I72))</f>
        <v/>
      </c>
      <c r="K146" s="71">
        <f>IF(COUNT('Raw Data - financials'!K57,'Raw Data - financials'!K58,'Raw Data - financials'!K59,'Raw Data - financials'!K60,'Raw Data - financials'!K61,'Raw Data - financials'!K70,'Raw Data - financials'!K71,'Raw Data - financials'!K72)=0,"",SUM('Raw Data - financials'!K57,'Raw Data - financials'!K58,'Raw Data - financials'!K59,'Raw Data - financials'!K60,'Raw Data - financials'!K61,'Raw Data - financials'!K70,'Raw Data - financials'!K71,'Raw Data - financials'!K72))</f>
        <v/>
      </c>
      <c r="M146" s="71">
        <f>IF(COUNT('Raw Data - financials'!M57,'Raw Data - financials'!M58,'Raw Data - financials'!M59,'Raw Data - financials'!M60,'Raw Data - financials'!M61,'Raw Data - financials'!M70,'Raw Data - financials'!M71,'Raw Data - financials'!M72)=0,"",SUM('Raw Data - financials'!M57,'Raw Data - financials'!M58,'Raw Data - financials'!M59,'Raw Data - financials'!M60,'Raw Data - financials'!M61,'Raw Data - financials'!M70,'Raw Data - financials'!M71,'Raw Data - financials'!M72))</f>
        <v/>
      </c>
      <c r="O146" s="71">
        <f>IF(COUNT('Raw Data - financials'!O57,'Raw Data - financials'!O58,'Raw Data - financials'!O59,'Raw Data - financials'!O60,'Raw Data - financials'!O61,'Raw Data - financials'!O70,'Raw Data - financials'!O71,'Raw Data - financials'!O72)=0,"",SUM('Raw Data - financials'!O57,'Raw Data - financials'!O58,'Raw Data - financials'!O59,'Raw Data - financials'!O60,'Raw Data - financials'!O61,'Raw Data - financials'!O70,'Raw Data - financials'!O71,'Raw Data - financials'!O72))</f>
        <v/>
      </c>
      <c r="Q146" s="71">
        <f>IF(COUNT('Raw Data - financials'!Q57,'Raw Data - financials'!Q58,'Raw Data - financials'!Q59,'Raw Data - financials'!Q60,'Raw Data - financials'!Q61,'Raw Data - financials'!Q70,'Raw Data - financials'!Q71,'Raw Data - financials'!Q72)=0,"",SUM('Raw Data - financials'!Q57,'Raw Data - financials'!Q58,'Raw Data - financials'!Q59,'Raw Data - financials'!Q60,'Raw Data - financials'!Q61,'Raw Data - financials'!Q70,'Raw Data - financials'!Q71,'Raw Data - financials'!Q72))</f>
        <v/>
      </c>
      <c r="S146" s="71">
        <f>IF(COUNT('Raw Data - financials'!S57,'Raw Data - financials'!S58,'Raw Data - financials'!S59,'Raw Data - financials'!S60,'Raw Data - financials'!S61,'Raw Data - financials'!S70,'Raw Data - financials'!S71,'Raw Data - financials'!S72)=0,"",SUM('Raw Data - financials'!S57,'Raw Data - financials'!S58,'Raw Data - financials'!S59,'Raw Data - financials'!S60,'Raw Data - financials'!S61,'Raw Data - financials'!S70,'Raw Data - financials'!S71,'Raw Data - financials'!S72))</f>
        <v/>
      </c>
      <c r="U146" s="71">
        <f>IF(COUNT('Raw Data - financials'!U57,'Raw Data - financials'!U58,'Raw Data - financials'!U59,'Raw Data - financials'!U60,'Raw Data - financials'!U61,'Raw Data - financials'!U70,'Raw Data - financials'!U71,'Raw Data - financials'!U72)=0,"",SUM('Raw Data - financials'!U57,'Raw Data - financials'!U58,'Raw Data - financials'!U59,'Raw Data - financials'!U60,'Raw Data - financials'!U61,'Raw Data - financials'!U70,'Raw Data - financials'!U71,'Raw Data - financials'!U72))</f>
        <v/>
      </c>
      <c r="W146" s="71">
        <f>IF(COUNT('Raw Data - financials'!W57,'Raw Data - financials'!W58,'Raw Data - financials'!W59,'Raw Data - financials'!W60,'Raw Data - financials'!W61,'Raw Data - financials'!W70,'Raw Data - financials'!W71,'Raw Data - financials'!W72)=0,"",SUM('Raw Data - financials'!W57,'Raw Data - financials'!W58,'Raw Data - financials'!W59,'Raw Data - financials'!W60,'Raw Data - financials'!W61,'Raw Data - financials'!W70,'Raw Data - financials'!W71,'Raw Data - financials'!W72))</f>
        <v/>
      </c>
      <c r="AB146" s="19" t="n"/>
      <c r="AC146" s="72">
        <f>IF(COUNT('Raw Data - financials'!AC57,'Raw Data - financials'!AC58,'Raw Data - financials'!AC59,'Raw Data - financials'!AC60,'Raw Data - financials'!AC61,'Raw Data - financials'!AC70,'Raw Data - financials'!AC71,'Raw Data - financials'!AC72)=0,"",SUM('Raw Data - financials'!AC57,'Raw Data - financials'!AC58,'Raw Data - financials'!AC59,'Raw Data - financials'!AC60,'Raw Data - financials'!AC61,'Raw Data - financials'!AC70,'Raw Data - financials'!AC71,'Raw Data - financials'!AC72))</f>
        <v/>
      </c>
      <c r="AD146" s="72">
        <f>IF(COUNT('Raw Data - financials'!AD57,'Raw Data - financials'!AD58,'Raw Data - financials'!AD59,'Raw Data - financials'!AD60,'Raw Data - financials'!AD61,'Raw Data - financials'!AD70,'Raw Data - financials'!AD71,'Raw Data - financials'!AD72)=0,"",SUM('Raw Data - financials'!AD57,'Raw Data - financials'!AD58,'Raw Data - financials'!AD59,'Raw Data - financials'!AD60,'Raw Data - financials'!AD61,'Raw Data - financials'!AD70,'Raw Data - financials'!AD71,'Raw Data - financials'!AD72))</f>
        <v/>
      </c>
      <c r="AE146" s="72">
        <f>IF(COUNT('Raw Data - financials'!AE57,'Raw Data - financials'!AE58,'Raw Data - financials'!AE59,'Raw Data - financials'!AE60,'Raw Data - financials'!AE61,'Raw Data - financials'!AE70,'Raw Data - financials'!AE71,'Raw Data - financials'!AE72)=0,"",SUM('Raw Data - financials'!AE57,'Raw Data - financials'!AE58,'Raw Data - financials'!AE59,'Raw Data - financials'!AE60,'Raw Data - financials'!AE61,'Raw Data - financials'!AE70,'Raw Data - financials'!AE71,'Raw Data - financials'!AE72))</f>
        <v/>
      </c>
      <c r="AF146" s="72">
        <f>IF(COUNT('Raw Data - financials'!AF57,'Raw Data - financials'!AF58,'Raw Data - financials'!AF59,'Raw Data - financials'!AF60,'Raw Data - financials'!AF61,'Raw Data - financials'!AF70,'Raw Data - financials'!AF71,'Raw Data - financials'!AF72)=0,"",SUM('Raw Data - financials'!AF57,'Raw Data - financials'!AF58,'Raw Data - financials'!AF59,'Raw Data - financials'!AF60,'Raw Data - financials'!AF61,'Raw Data - financials'!AF70,'Raw Data - financials'!AF71,'Raw Data - financials'!AF72))</f>
        <v/>
      </c>
      <c r="AG146" s="72">
        <f>IF(COUNT('Raw Data - financials'!AG57,'Raw Data - financials'!AG58,'Raw Data - financials'!AG59,'Raw Data - financials'!AG60,'Raw Data - financials'!AG61,'Raw Data - financials'!AG70,'Raw Data - financials'!AG71,'Raw Data - financials'!AG72)=0,"",SUM('Raw Data - financials'!AG57,'Raw Data - financials'!AG58,'Raw Data - financials'!AG59,'Raw Data - financials'!AG60,'Raw Data - financials'!AG61,'Raw Data - financials'!AG70,'Raw Data - financials'!AG71,'Raw Data - financials'!AG72))</f>
        <v/>
      </c>
      <c r="AH146" s="72">
        <f>IF(COUNT('Raw Data - financials'!AH57,'Raw Data - financials'!AH58,'Raw Data - financials'!AH59,'Raw Data - financials'!AH60,'Raw Data - financials'!AH61,'Raw Data - financials'!AH70,'Raw Data - financials'!AH71,'Raw Data - financials'!AH72)=0,"",SUM('Raw Data - financials'!AH57,'Raw Data - financials'!AH58,'Raw Data - financials'!AH59,'Raw Data - financials'!AH60,'Raw Data - financials'!AH61,'Raw Data - financials'!AH70,'Raw Data - financials'!AH71,'Raw Data - financials'!AH72))</f>
        <v/>
      </c>
      <c r="AI146" s="72">
        <f>IF(COUNT('Raw Data - financials'!AI57,'Raw Data - financials'!AI58,'Raw Data - financials'!AI59,'Raw Data - financials'!AI60,'Raw Data - financials'!AI61,'Raw Data - financials'!AI70,'Raw Data - financials'!AI71,'Raw Data - financials'!AI72)=0,"",SUM('Raw Data - financials'!AI57,'Raw Data - financials'!AI58,'Raw Data - financials'!AI59,'Raw Data - financials'!AI60,'Raw Data - financials'!AI61,'Raw Data - financials'!AI70,'Raw Data - financials'!AI71,'Raw Data - financials'!AI72))</f>
        <v/>
      </c>
      <c r="AJ146" s="72">
        <f>IF(COUNT('Raw Data - financials'!AJ57,'Raw Data - financials'!AJ58,'Raw Data - financials'!AJ59,'Raw Data - financials'!AJ60,'Raw Data - financials'!AJ61,'Raw Data - financials'!AJ70,'Raw Data - financials'!AJ71,'Raw Data - financials'!AJ72)=0,"",SUM('Raw Data - financials'!AJ57,'Raw Data - financials'!AJ58,'Raw Data - financials'!AJ59,'Raw Data - financials'!AJ60,'Raw Data - financials'!AJ61,'Raw Data - financials'!AJ70,'Raw Data - financials'!AJ71,'Raw Data - financials'!AJ72))</f>
        <v/>
      </c>
      <c r="AK146" s="72">
        <f>AK118*AK145</f>
        <v/>
      </c>
      <c r="AL146" s="72">
        <f>AL118*AL145</f>
        <v/>
      </c>
      <c r="AM146" s="72">
        <f>AM118*AM145</f>
        <v/>
      </c>
      <c r="AN146" s="72">
        <f>AN118*AN145</f>
        <v/>
      </c>
    </row>
    <row r="147" outlineLevel="1">
      <c r="A147" s="20" t="inlineStr">
        <is>
          <t>Cash and cash equivalents</t>
        </is>
      </c>
      <c r="B147" s="17" t="inlineStr">
        <is>
          <t>Rs Mn</t>
        </is>
      </c>
      <c r="C147" s="22" t="inlineStr">
        <is>
          <t>Formula</t>
        </is>
      </c>
      <c r="E147" s="71">
        <f>IF(COUNT('Raw Data - financials'!E68,'Raw Data - financials'!E69)=0,"",SUM('Raw Data - financials'!E68,'Raw Data - financials'!E69))</f>
        <v/>
      </c>
      <c r="G147" s="71">
        <f>IF(COUNT('Raw Data - financials'!G68,'Raw Data - financials'!G69)=0,"",SUM('Raw Data - financials'!G68,'Raw Data - financials'!G69))</f>
        <v/>
      </c>
      <c r="I147" s="71">
        <f>IF(COUNT('Raw Data - financials'!I68,'Raw Data - financials'!I69)=0,"",SUM('Raw Data - financials'!I68,'Raw Data - financials'!I69))</f>
        <v/>
      </c>
      <c r="K147" s="71">
        <f>IF(COUNT('Raw Data - financials'!K68,'Raw Data - financials'!K69)=0,"",SUM('Raw Data - financials'!K68,'Raw Data - financials'!K69))</f>
        <v/>
      </c>
      <c r="M147" s="71">
        <f>IF(COUNT('Raw Data - financials'!M68,'Raw Data - financials'!M69)=0,"",SUM('Raw Data - financials'!M68,'Raw Data - financials'!M69))</f>
        <v/>
      </c>
      <c r="O147" s="71">
        <f>IF(COUNT('Raw Data - financials'!O68,'Raw Data - financials'!O69)=0,"",SUM('Raw Data - financials'!O68,'Raw Data - financials'!O69))</f>
        <v/>
      </c>
      <c r="Q147" s="71">
        <f>IF(COUNT('Raw Data - financials'!Q68,'Raw Data - financials'!Q69)=0,"",SUM('Raw Data - financials'!Q68,'Raw Data - financials'!Q69))</f>
        <v/>
      </c>
      <c r="S147" s="71">
        <f>IF(COUNT('Raw Data - financials'!S68,'Raw Data - financials'!S69)=0,"",SUM('Raw Data - financials'!S68,'Raw Data - financials'!S69))</f>
        <v/>
      </c>
      <c r="U147" s="71">
        <f>IF(COUNT('Raw Data - financials'!U68,'Raw Data - financials'!U69)=0,"",SUM('Raw Data - financials'!U68,'Raw Data - financials'!U69))</f>
        <v/>
      </c>
      <c r="W147" s="71">
        <f>IF(COUNT('Raw Data - financials'!W68,'Raw Data - financials'!W69)=0,"",SUM('Raw Data - financials'!W68,'Raw Data - financials'!W69))</f>
        <v/>
      </c>
      <c r="AB147" s="19" t="n"/>
      <c r="AC147" s="72">
        <f>IF(COUNT('Raw Data - financials'!AC68,'Raw Data - financials'!AC69)=0,"",SUM('Raw Data - financials'!AC68,'Raw Data - financials'!AC69))</f>
        <v/>
      </c>
      <c r="AD147" s="72">
        <f>IF(COUNT('Raw Data - financials'!AD68,'Raw Data - financials'!AD69)=0,"",SUM('Raw Data - financials'!AD68,'Raw Data - financials'!AD69))</f>
        <v/>
      </c>
      <c r="AE147" s="72">
        <f>IF(COUNT('Raw Data - financials'!AE68,'Raw Data - financials'!AE69)=0,"",SUM('Raw Data - financials'!AE68,'Raw Data - financials'!AE69))</f>
        <v/>
      </c>
      <c r="AF147" s="72">
        <f>IF(COUNT('Raw Data - financials'!AF68,'Raw Data - financials'!AF69)=0,"",SUM('Raw Data - financials'!AF68,'Raw Data - financials'!AF69))</f>
        <v/>
      </c>
      <c r="AG147" s="72">
        <f>IF(COUNT('Raw Data - financials'!AG68,'Raw Data - financials'!AG69)=0,"",SUM('Raw Data - financials'!AG68,'Raw Data - financials'!AG69))</f>
        <v/>
      </c>
      <c r="AH147" s="72">
        <f>IF(COUNT('Raw Data - financials'!AH68,'Raw Data - financials'!AH69)=0,"",SUM('Raw Data - financials'!AH68,'Raw Data - financials'!AH69))</f>
        <v/>
      </c>
      <c r="AI147" s="72">
        <f>IF(COUNT('Raw Data - financials'!AI68,'Raw Data - financials'!AI69)=0,"",SUM('Raw Data - financials'!AI68,'Raw Data - financials'!AI69))</f>
        <v/>
      </c>
      <c r="AJ147" s="72">
        <f>IF(COUNT('Raw Data - financials'!AJ68,'Raw Data - financials'!AJ69)=0,"",SUM('Raw Data - financials'!AJ68,'Raw Data - financials'!AJ69))</f>
        <v/>
      </c>
      <c r="AK147" s="72">
        <f>IFERROR(AK161-AK139-AK140-AK142-AK144-AK146,"")</f>
        <v/>
      </c>
      <c r="AL147" s="72">
        <f>IFERROR(AL161-AL139-AL140-AL142-AL144-AL146,"")</f>
        <v/>
      </c>
      <c r="AM147" s="72">
        <f>IFERROR(AM161-AM139-AM140-AM142-AM144-AM146,"")</f>
        <v/>
      </c>
      <c r="AN147" s="72">
        <f>IFERROR(AN161-AN139-AN140-AN142-AN144-AN146,"")</f>
        <v/>
      </c>
    </row>
    <row r="148" outlineLevel="1">
      <c r="A148" s="20" t="inlineStr">
        <is>
          <t>Total Assets</t>
        </is>
      </c>
      <c r="B148" s="17" t="inlineStr">
        <is>
          <t>Rs Mn</t>
        </is>
      </c>
      <c r="C148" s="22" t="inlineStr">
        <is>
          <t>Formula</t>
        </is>
      </c>
      <c r="E148" s="71">
        <f>IFERROR(E139+E140+E142+E144+E146+E147,"")</f>
        <v/>
      </c>
      <c r="G148" s="71">
        <f>IFERROR(G139+G140+G142+G144+G146+G147,"")</f>
        <v/>
      </c>
      <c r="I148" s="71">
        <f>IFERROR(I139+I140+I142+I144+I146+I147,"")</f>
        <v/>
      </c>
      <c r="K148" s="71">
        <f>IFERROR(K139+K140+K142+K144+K146+K147,"")</f>
        <v/>
      </c>
      <c r="M148" s="71">
        <f>IFERROR(M139+M140+M142+M144+M146+M147,"")</f>
        <v/>
      </c>
      <c r="O148" s="71">
        <f>IFERROR(O139+O140+O142+O144+O146+O147,"")</f>
        <v/>
      </c>
      <c r="Q148" s="71">
        <f>IFERROR(Q139+Q140+Q142+Q144+Q146+Q147,"")</f>
        <v/>
      </c>
      <c r="S148" s="71">
        <f>IFERROR(S139+S140+S142+S144+S146+S147,"")</f>
        <v/>
      </c>
      <c r="U148" s="71">
        <f>IFERROR(U139+U140+U142+U144+U146+U147,"")</f>
        <v/>
      </c>
      <c r="W148" s="71">
        <f>IFERROR(W139+W140+W142+W144+W146+W147,"")</f>
        <v/>
      </c>
      <c r="AB148" s="19" t="n"/>
      <c r="AC148" s="72">
        <f>IFERROR(AC139+AC140+AC142+AC144+AC146+AC147,"")</f>
        <v/>
      </c>
      <c r="AD148" s="72">
        <f>IFERROR(AD139+AD140+AD142+AD144+AD146+AD147,"")</f>
        <v/>
      </c>
      <c r="AE148" s="72">
        <f>IFERROR(AE139+AE140+AE142+AE144+AE146+AE147,"")</f>
        <v/>
      </c>
      <c r="AF148" s="72">
        <f>IFERROR(AF139+AF140+AF142+AF144+AF146+AF147,"")</f>
        <v/>
      </c>
      <c r="AG148" s="72">
        <f>IFERROR(AG139+AG140+AG142+AG144+AG146+AG147,"")</f>
        <v/>
      </c>
      <c r="AH148" s="72">
        <f>IFERROR(AH139+AH140+AH142+AH144+AH146+AH147,"")</f>
        <v/>
      </c>
      <c r="AI148" s="72">
        <f>IFERROR(AI139+AI140+AI142+AI144+AI146+AI147,"")</f>
        <v/>
      </c>
      <c r="AJ148" s="72">
        <f>IFERROR(AJ139+AJ140+AJ142+AJ144+AJ146+AJ147,"")</f>
        <v/>
      </c>
      <c r="AK148" s="72">
        <f>IFERROR(AK139+AK140+AK142+AK144+AK146+AK147,"")</f>
        <v/>
      </c>
      <c r="AL148" s="72">
        <f>IFERROR(AL139+AL140+AL142+AL144+AL146+AL147,"")</f>
        <v/>
      </c>
      <c r="AM148" s="72">
        <f>IFERROR(AM139+AM140+AM142+AM144+AM146+AM147,"")</f>
        <v/>
      </c>
      <c r="AN148" s="72">
        <f>IFERROR(AN139+AN140+AN142+AN144+AN146+AN147,"")</f>
        <v/>
      </c>
    </row>
    <row r="149">
      <c r="AB149" s="19" t="n"/>
    </row>
    <row r="150">
      <c r="A150" s="9" t="inlineStr">
        <is>
          <t>Liabilities &amp; Equity</t>
        </is>
      </c>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46" t="n"/>
      <c r="AC150" s="9" t="n"/>
      <c r="AD150" s="9" t="n"/>
      <c r="AE150" s="9" t="n"/>
      <c r="AF150" s="9" t="n"/>
      <c r="AG150" s="9" t="n"/>
      <c r="AH150" s="9" t="n"/>
      <c r="AI150" s="9" t="n"/>
      <c r="AJ150" s="9" t="n"/>
      <c r="AK150" s="9" t="n"/>
      <c r="AL150" s="9" t="n"/>
      <c r="AM150" s="9" t="n"/>
      <c r="AN150" s="9" t="n"/>
    </row>
    <row r="151" outlineLevel="1">
      <c r="A151" s="20" t="inlineStr">
        <is>
          <t>Equity share capital</t>
        </is>
      </c>
      <c r="B151" s="17" t="inlineStr">
        <is>
          <t>Rs Mn</t>
        </is>
      </c>
      <c r="C151" s="22" t="inlineStr">
        <is>
          <t>Raw Data - financials row 79 (held flat if projected)</t>
        </is>
      </c>
      <c r="E151" s="71">
        <f>IF('Raw Data - financials'!E79="","",'Raw Data - financials'!E79)</f>
        <v/>
      </c>
      <c r="G151" s="71">
        <f>IF('Raw Data - financials'!G79="","",'Raw Data - financials'!G79)</f>
        <v/>
      </c>
      <c r="I151" s="71">
        <f>IF('Raw Data - financials'!I79="","",'Raw Data - financials'!I79)</f>
        <v/>
      </c>
      <c r="K151" s="71">
        <f>IF('Raw Data - financials'!K79="","",'Raw Data - financials'!K79)</f>
        <v/>
      </c>
      <c r="M151" s="71">
        <f>IF('Raw Data - financials'!M79="","",'Raw Data - financials'!M79)</f>
        <v/>
      </c>
      <c r="O151" s="71">
        <f>IF('Raw Data - financials'!O79="","",'Raw Data - financials'!O79)</f>
        <v/>
      </c>
      <c r="Q151" s="71">
        <f>IF('Raw Data - financials'!Q79="","",'Raw Data - financials'!Q79)</f>
        <v/>
      </c>
      <c r="S151" s="71">
        <f>IF('Raw Data - financials'!S79="","",'Raw Data - financials'!S79)</f>
        <v/>
      </c>
      <c r="U151" s="71">
        <f>IF('Raw Data - financials'!U79="","",'Raw Data - financials'!U79)</f>
        <v/>
      </c>
      <c r="W151" s="71">
        <f>IF('Raw Data - financials'!W79="","",'Raw Data - financials'!W79)</f>
        <v/>
      </c>
      <c r="AB151" s="19" t="n"/>
      <c r="AC151" s="72">
        <f>IF('Raw Data - financials'!AC79="","",'Raw Data - financials'!AC79)</f>
        <v/>
      </c>
      <c r="AD151" s="72">
        <f>IF('Raw Data - financials'!AD79="","",'Raw Data - financials'!AD79)</f>
        <v/>
      </c>
      <c r="AE151" s="72">
        <f>IF('Raw Data - financials'!AE79="","",'Raw Data - financials'!AE79)</f>
        <v/>
      </c>
      <c r="AF151" s="72">
        <f>IF('Raw Data - financials'!AF79="","",'Raw Data - financials'!AF79)</f>
        <v/>
      </c>
      <c r="AG151" s="72">
        <f>IF('Raw Data - financials'!AG79="","",'Raw Data - financials'!AG79)</f>
        <v/>
      </c>
      <c r="AH151" s="72">
        <f>IF('Raw Data - financials'!AH79="","",'Raw Data - financials'!AH79)</f>
        <v/>
      </c>
      <c r="AI151" s="72">
        <f>IF('Raw Data - financials'!AI79="","",'Raw Data - financials'!AI79)</f>
        <v/>
      </c>
      <c r="AJ151" s="72">
        <f>IF('Raw Data - financials'!AJ79="","",'Raw Data - financials'!AJ79)</f>
        <v/>
      </c>
      <c r="AK151" s="72">
        <f>AJ151</f>
        <v/>
      </c>
      <c r="AL151" s="72">
        <f>AK151</f>
        <v/>
      </c>
      <c r="AM151" s="72">
        <f>AL151</f>
        <v/>
      </c>
      <c r="AN151" s="72">
        <f>AM151</f>
        <v/>
      </c>
    </row>
    <row r="152" outlineLevel="2">
      <c r="A152" s="20" t="inlineStr">
        <is>
          <t xml:space="preserve">  Dividend payout (% of PAT)</t>
        </is>
      </c>
      <c r="B152" s="17" t="inlineStr">
        <is>
          <t>%</t>
        </is>
      </c>
      <c r="C152" s="48" t="inlineStr">
        <is>
          <t>Assumption (edit me)</t>
        </is>
      </c>
      <c r="AB152" s="19" t="n"/>
      <c r="AK152" s="50" t="n">
        <v>0</v>
      </c>
      <c r="AL152" s="50" t="n">
        <v>0</v>
      </c>
      <c r="AM152" s="50" t="n">
        <v>0</v>
      </c>
      <c r="AN152" s="50" t="n">
        <v>0</v>
      </c>
    </row>
    <row r="153" outlineLevel="1">
      <c r="A153" s="20" t="inlineStr">
        <is>
          <t>Other equity (incl. minority interest)</t>
        </is>
      </c>
      <c r="B153" s="17" t="inlineStr">
        <is>
          <t>Rs Mn</t>
        </is>
      </c>
      <c r="C153" s="22" t="inlineStr">
        <is>
          <t>Formula</t>
        </is>
      </c>
      <c r="E153" s="71">
        <f>IF(COUNT('Raw Data - financials'!E80,'Raw Data - financials'!E82)=0,"",SUM('Raw Data - financials'!E80,'Raw Data - financials'!E82))</f>
        <v/>
      </c>
      <c r="G153" s="71">
        <f>IF(COUNT('Raw Data - financials'!G80,'Raw Data - financials'!G82)=0,"",SUM('Raw Data - financials'!G80,'Raw Data - financials'!G82))</f>
        <v/>
      </c>
      <c r="I153" s="71">
        <f>IF(COUNT('Raw Data - financials'!I80,'Raw Data - financials'!I82)=0,"",SUM('Raw Data - financials'!I80,'Raw Data - financials'!I82))</f>
        <v/>
      </c>
      <c r="K153" s="71">
        <f>IF(COUNT('Raw Data - financials'!K80,'Raw Data - financials'!K82)=0,"",SUM('Raw Data - financials'!K80,'Raw Data - financials'!K82))</f>
        <v/>
      </c>
      <c r="M153" s="71">
        <f>IF(COUNT('Raw Data - financials'!M80,'Raw Data - financials'!M82)=0,"",SUM('Raw Data - financials'!M80,'Raw Data - financials'!M82))</f>
        <v/>
      </c>
      <c r="O153" s="71">
        <f>IF(COUNT('Raw Data - financials'!O80,'Raw Data - financials'!O82)=0,"",SUM('Raw Data - financials'!O80,'Raw Data - financials'!O82))</f>
        <v/>
      </c>
      <c r="Q153" s="71">
        <f>IF(COUNT('Raw Data - financials'!Q80,'Raw Data - financials'!Q82)=0,"",SUM('Raw Data - financials'!Q80,'Raw Data - financials'!Q82))</f>
        <v/>
      </c>
      <c r="S153" s="71">
        <f>IF(COUNT('Raw Data - financials'!S80,'Raw Data - financials'!S82)=0,"",SUM('Raw Data - financials'!S80,'Raw Data - financials'!S82))</f>
        <v/>
      </c>
      <c r="U153" s="71">
        <f>IF(COUNT('Raw Data - financials'!U80,'Raw Data - financials'!U82)=0,"",SUM('Raw Data - financials'!U80,'Raw Data - financials'!U82))</f>
        <v/>
      </c>
      <c r="W153" s="71">
        <f>IF(COUNT('Raw Data - financials'!W80,'Raw Data - financials'!W82)=0,"",SUM('Raw Data - financials'!W80,'Raw Data - financials'!W82))</f>
        <v/>
      </c>
      <c r="AB153" s="19" t="n"/>
      <c r="AC153" s="72">
        <f>IF(COUNT('Raw Data - financials'!AC80,'Raw Data - financials'!AC82)=0,"",SUM('Raw Data - financials'!AC80,'Raw Data - financials'!AC82))</f>
        <v/>
      </c>
      <c r="AD153" s="72">
        <f>IF(COUNT('Raw Data - financials'!AD80,'Raw Data - financials'!AD82)=0,"",SUM('Raw Data - financials'!AD80,'Raw Data - financials'!AD82))</f>
        <v/>
      </c>
      <c r="AE153" s="72">
        <f>IF(COUNT('Raw Data - financials'!AE80,'Raw Data - financials'!AE82)=0,"",SUM('Raw Data - financials'!AE80,'Raw Data - financials'!AE82))</f>
        <v/>
      </c>
      <c r="AF153" s="72">
        <f>IF(COUNT('Raw Data - financials'!AF80,'Raw Data - financials'!AF82)=0,"",SUM('Raw Data - financials'!AF80,'Raw Data - financials'!AF82))</f>
        <v/>
      </c>
      <c r="AG153" s="72">
        <f>IF(COUNT('Raw Data - financials'!AG80,'Raw Data - financials'!AG82)=0,"",SUM('Raw Data - financials'!AG80,'Raw Data - financials'!AG82))</f>
        <v/>
      </c>
      <c r="AH153" s="72">
        <f>IF(COUNT('Raw Data - financials'!AH80,'Raw Data - financials'!AH82)=0,"",SUM('Raw Data - financials'!AH80,'Raw Data - financials'!AH82))</f>
        <v/>
      </c>
      <c r="AI153" s="72">
        <f>IF(COUNT('Raw Data - financials'!AI80,'Raw Data - financials'!AI82)=0,"",SUM('Raw Data - financials'!AI80,'Raw Data - financials'!AI82))</f>
        <v/>
      </c>
      <c r="AJ153" s="72">
        <f>IF(COUNT('Raw Data - financials'!AJ80,'Raw Data - financials'!AJ82)=0,"",SUM('Raw Data - financials'!AJ80,'Raw Data - financials'!AJ82))</f>
        <v/>
      </c>
      <c r="AK153" s="72">
        <f>IFERROR(AJ153+AK132*(1-AK152),"")</f>
        <v/>
      </c>
      <c r="AL153" s="72">
        <f>IFERROR(AK153+AL132*(1-AL152),"")</f>
        <v/>
      </c>
      <c r="AM153" s="72">
        <f>IFERROR(AL153+AM132*(1-AM152),"")</f>
        <v/>
      </c>
      <c r="AN153" s="72">
        <f>IFERROR(AM153+AN132*(1-AN152),"")</f>
        <v/>
      </c>
    </row>
    <row r="154" outlineLevel="1">
      <c r="A154" s="20" t="inlineStr">
        <is>
          <t>Borrowings</t>
        </is>
      </c>
      <c r="B154" s="17" t="inlineStr">
        <is>
          <t>Rs Mn</t>
        </is>
      </c>
      <c r="C154" s="17" t="inlineStr">
        <is>
          <t>Held flat at FY26 (edit AK if planning debt raise/repay)</t>
        </is>
      </c>
      <c r="E154" s="71">
        <f>IF(COUNT('Raw Data - financials'!E86,'Raw Data - financials'!E93)=0,"",SUM('Raw Data - financials'!E86,'Raw Data - financials'!E93))</f>
        <v/>
      </c>
      <c r="G154" s="71">
        <f>IF(COUNT('Raw Data - financials'!G86,'Raw Data - financials'!G93)=0,"",SUM('Raw Data - financials'!G86,'Raw Data - financials'!G93))</f>
        <v/>
      </c>
      <c r="I154" s="71">
        <f>IF(COUNT('Raw Data - financials'!I86,'Raw Data - financials'!I93)=0,"",SUM('Raw Data - financials'!I86,'Raw Data - financials'!I93))</f>
        <v/>
      </c>
      <c r="K154" s="71">
        <f>IF(COUNT('Raw Data - financials'!K86,'Raw Data - financials'!K93)=0,"",SUM('Raw Data - financials'!K86,'Raw Data - financials'!K93))</f>
        <v/>
      </c>
      <c r="M154" s="71">
        <f>IF(COUNT('Raw Data - financials'!M86,'Raw Data - financials'!M93)=0,"",SUM('Raw Data - financials'!M86,'Raw Data - financials'!M93))</f>
        <v/>
      </c>
      <c r="O154" s="71">
        <f>IF(COUNT('Raw Data - financials'!O86,'Raw Data - financials'!O93)=0,"",SUM('Raw Data - financials'!O86,'Raw Data - financials'!O93))</f>
        <v/>
      </c>
      <c r="Q154" s="71">
        <f>IF(COUNT('Raw Data - financials'!Q86,'Raw Data - financials'!Q93)=0,"",SUM('Raw Data - financials'!Q86,'Raw Data - financials'!Q93))</f>
        <v/>
      </c>
      <c r="S154" s="71">
        <f>IF(COUNT('Raw Data - financials'!S86,'Raw Data - financials'!S93)=0,"",SUM('Raw Data - financials'!S86,'Raw Data - financials'!S93))</f>
        <v/>
      </c>
      <c r="U154" s="71">
        <f>IF(COUNT('Raw Data - financials'!U86,'Raw Data - financials'!U93)=0,"",SUM('Raw Data - financials'!U86,'Raw Data - financials'!U93))</f>
        <v/>
      </c>
      <c r="W154" s="71">
        <f>IF(COUNT('Raw Data - financials'!W86,'Raw Data - financials'!W93)=0,"",SUM('Raw Data - financials'!W86,'Raw Data - financials'!W93))</f>
        <v/>
      </c>
      <c r="AB154" s="19" t="n"/>
      <c r="AC154" s="72">
        <f>IF(COUNT('Raw Data - financials'!AC86,'Raw Data - financials'!AC93)=0,"",SUM('Raw Data - financials'!AC86,'Raw Data - financials'!AC93))</f>
        <v/>
      </c>
      <c r="AD154" s="72">
        <f>IF(COUNT('Raw Data - financials'!AD86,'Raw Data - financials'!AD93)=0,"",SUM('Raw Data - financials'!AD86,'Raw Data - financials'!AD93))</f>
        <v/>
      </c>
      <c r="AE154" s="72">
        <f>IF(COUNT('Raw Data - financials'!AE86,'Raw Data - financials'!AE93)=0,"",SUM('Raw Data - financials'!AE86,'Raw Data - financials'!AE93))</f>
        <v/>
      </c>
      <c r="AF154" s="72">
        <f>IF(COUNT('Raw Data - financials'!AF86,'Raw Data - financials'!AF93)=0,"",SUM('Raw Data - financials'!AF86,'Raw Data - financials'!AF93))</f>
        <v/>
      </c>
      <c r="AG154" s="72">
        <f>IF(COUNT('Raw Data - financials'!AG86,'Raw Data - financials'!AG93)=0,"",SUM('Raw Data - financials'!AG86,'Raw Data - financials'!AG93))</f>
        <v/>
      </c>
      <c r="AH154" s="72">
        <f>IF(COUNT('Raw Data - financials'!AH86,'Raw Data - financials'!AH93)=0,"",SUM('Raw Data - financials'!AH86,'Raw Data - financials'!AH93))</f>
        <v/>
      </c>
      <c r="AI154" s="72">
        <f>IF(COUNT('Raw Data - financials'!AI86,'Raw Data - financials'!AI93)=0,"",SUM('Raw Data - financials'!AI86,'Raw Data - financials'!AI93))</f>
        <v/>
      </c>
      <c r="AJ154" s="72">
        <f>IF(COUNT('Raw Data - financials'!AJ86,'Raw Data - financials'!AJ93)=0,"",SUM('Raw Data - financials'!AJ86,'Raw Data - financials'!AJ93))</f>
        <v/>
      </c>
      <c r="AK154" s="72">
        <f>AJ154</f>
        <v/>
      </c>
      <c r="AL154" s="72">
        <f>AK154</f>
        <v/>
      </c>
      <c r="AM154" s="72">
        <f>AL154</f>
        <v/>
      </c>
      <c r="AN154" s="72">
        <f>AM154</f>
        <v/>
      </c>
    </row>
    <row r="155" outlineLevel="2">
      <c r="A155" s="20" t="inlineStr">
        <is>
          <t xml:space="preserve">  Lease liabilities (% of Revenue)</t>
        </is>
      </c>
      <c r="B155" s="17" t="inlineStr">
        <is>
          <t>%</t>
        </is>
      </c>
      <c r="C155" s="48" t="inlineStr">
        <is>
          <t>Assumption (edit me)</t>
        </is>
      </c>
      <c r="AB155" s="19" t="n"/>
      <c r="AC155" s="52">
        <f>IFERROR(AC156/AC118,"")</f>
        <v/>
      </c>
      <c r="AD155" s="52">
        <f>IFERROR(AD156/AD118,"")</f>
        <v/>
      </c>
      <c r="AE155" s="52">
        <f>IFERROR(AE156/AE118,"")</f>
        <v/>
      </c>
      <c r="AF155" s="52">
        <f>IFERROR(AF156/AF118,"")</f>
        <v/>
      </c>
      <c r="AG155" s="52">
        <f>IFERROR(AG156/AG118,"")</f>
        <v/>
      </c>
      <c r="AH155" s="52">
        <f>IFERROR(AH156/AH118,"")</f>
        <v/>
      </c>
      <c r="AI155" s="52">
        <f>IFERROR(AI156/AI118,"")</f>
        <v/>
      </c>
      <c r="AJ155" s="52">
        <f>IFERROR(AJ156/AJ118,"")</f>
        <v/>
      </c>
      <c r="AK155" s="50" t="n">
        <v>0.06</v>
      </c>
      <c r="AL155" s="50" t="n">
        <v>0.06</v>
      </c>
      <c r="AM155" s="50" t="n">
        <v>0.06</v>
      </c>
      <c r="AN155" s="50" t="n">
        <v>0.06</v>
      </c>
    </row>
    <row r="156" outlineLevel="1">
      <c r="A156" s="20" t="inlineStr">
        <is>
          <t>Lease liabilities</t>
        </is>
      </c>
      <c r="B156" s="17" t="inlineStr">
        <is>
          <t>Rs Mn</t>
        </is>
      </c>
      <c r="C156" s="22" t="inlineStr">
        <is>
          <t>Formula</t>
        </is>
      </c>
      <c r="E156" s="71">
        <f>IF(COUNT('Raw Data - financials'!E87,'Raw Data - financials'!E94)=0,"",SUM('Raw Data - financials'!E87,'Raw Data - financials'!E94))</f>
        <v/>
      </c>
      <c r="G156" s="71">
        <f>IF(COUNT('Raw Data - financials'!G87,'Raw Data - financials'!G94)=0,"",SUM('Raw Data - financials'!G87,'Raw Data - financials'!G94))</f>
        <v/>
      </c>
      <c r="I156" s="71">
        <f>IF(COUNT('Raw Data - financials'!I87,'Raw Data - financials'!I94)=0,"",SUM('Raw Data - financials'!I87,'Raw Data - financials'!I94))</f>
        <v/>
      </c>
      <c r="K156" s="71">
        <f>IF(COUNT('Raw Data - financials'!K87,'Raw Data - financials'!K94)=0,"",SUM('Raw Data - financials'!K87,'Raw Data - financials'!K94))</f>
        <v/>
      </c>
      <c r="M156" s="71">
        <f>IF(COUNT('Raw Data - financials'!M87,'Raw Data - financials'!M94)=0,"",SUM('Raw Data - financials'!M87,'Raw Data - financials'!M94))</f>
        <v/>
      </c>
      <c r="O156" s="71">
        <f>IF(COUNT('Raw Data - financials'!O87,'Raw Data - financials'!O94)=0,"",SUM('Raw Data - financials'!O87,'Raw Data - financials'!O94))</f>
        <v/>
      </c>
      <c r="Q156" s="71">
        <f>IF(COUNT('Raw Data - financials'!Q87,'Raw Data - financials'!Q94)=0,"",SUM('Raw Data - financials'!Q87,'Raw Data - financials'!Q94))</f>
        <v/>
      </c>
      <c r="S156" s="71">
        <f>IF(COUNT('Raw Data - financials'!S87,'Raw Data - financials'!S94)=0,"",SUM('Raw Data - financials'!S87,'Raw Data - financials'!S94))</f>
        <v/>
      </c>
      <c r="U156" s="71">
        <f>IF(COUNT('Raw Data - financials'!U87,'Raw Data - financials'!U94)=0,"",SUM('Raw Data - financials'!U87,'Raw Data - financials'!U94))</f>
        <v/>
      </c>
      <c r="W156" s="71">
        <f>IF(COUNT('Raw Data - financials'!W87,'Raw Data - financials'!W94)=0,"",SUM('Raw Data - financials'!W87,'Raw Data - financials'!W94))</f>
        <v/>
      </c>
      <c r="AB156" s="19" t="n"/>
      <c r="AC156" s="72">
        <f>IF(COUNT('Raw Data - financials'!AC87,'Raw Data - financials'!AC94)=0,"",SUM('Raw Data - financials'!AC87,'Raw Data - financials'!AC94))</f>
        <v/>
      </c>
      <c r="AD156" s="72">
        <f>IF(COUNT('Raw Data - financials'!AD87,'Raw Data - financials'!AD94)=0,"",SUM('Raw Data - financials'!AD87,'Raw Data - financials'!AD94))</f>
        <v/>
      </c>
      <c r="AE156" s="72">
        <f>IF(COUNT('Raw Data - financials'!AE87,'Raw Data - financials'!AE94)=0,"",SUM('Raw Data - financials'!AE87,'Raw Data - financials'!AE94))</f>
        <v/>
      </c>
      <c r="AF156" s="72">
        <f>IF(COUNT('Raw Data - financials'!AF87,'Raw Data - financials'!AF94)=0,"",SUM('Raw Data - financials'!AF87,'Raw Data - financials'!AF94))</f>
        <v/>
      </c>
      <c r="AG156" s="72">
        <f>IF(COUNT('Raw Data - financials'!AG87,'Raw Data - financials'!AG94)=0,"",SUM('Raw Data - financials'!AG87,'Raw Data - financials'!AG94))</f>
        <v/>
      </c>
      <c r="AH156" s="72">
        <f>IF(COUNT('Raw Data - financials'!AH87,'Raw Data - financials'!AH94)=0,"",SUM('Raw Data - financials'!AH87,'Raw Data - financials'!AH94))</f>
        <v/>
      </c>
      <c r="AI156" s="72">
        <f>IF(COUNT('Raw Data - financials'!AI87,'Raw Data - financials'!AI94)=0,"",SUM('Raw Data - financials'!AI87,'Raw Data - financials'!AI94))</f>
        <v/>
      </c>
      <c r="AJ156" s="72">
        <f>IF(COUNT('Raw Data - financials'!AJ87,'Raw Data - financials'!AJ94)=0,"",SUM('Raw Data - financials'!AJ87,'Raw Data - financials'!AJ94))</f>
        <v/>
      </c>
      <c r="AK156" s="72">
        <f>AK118*AK155</f>
        <v/>
      </c>
      <c r="AL156" s="72">
        <f>AL118*AL155</f>
        <v/>
      </c>
      <c r="AM156" s="72">
        <f>AM118*AM155</f>
        <v/>
      </c>
      <c r="AN156" s="72">
        <f>AN118*AN155</f>
        <v/>
      </c>
    </row>
    <row r="157" outlineLevel="2">
      <c r="A157" s="20" t="inlineStr">
        <is>
          <t xml:space="preserve">  Payable days (on COGS)</t>
        </is>
      </c>
      <c r="B157" s="17" t="inlineStr">
        <is>
          <t>days</t>
        </is>
      </c>
      <c r="C157" s="48" t="inlineStr">
        <is>
          <t>Assumption (edit me)</t>
        </is>
      </c>
      <c r="AB157" s="19" t="n"/>
      <c r="AC157" s="53">
        <f>IFERROR(AC158/(AC123/365),"")</f>
        <v/>
      </c>
      <c r="AD157" s="53">
        <f>IFERROR(AD158/(AD123/365),"")</f>
        <v/>
      </c>
      <c r="AE157" s="53">
        <f>IFERROR(AE158/(AE123/365),"")</f>
        <v/>
      </c>
      <c r="AF157" s="53">
        <f>IFERROR(AF158/(AF123/365),"")</f>
        <v/>
      </c>
      <c r="AG157" s="53">
        <f>IFERROR(AG158/(AG123/365),"")</f>
        <v/>
      </c>
      <c r="AH157" s="53">
        <f>IFERROR(AH158/(AH123/365),"")</f>
        <v/>
      </c>
      <c r="AI157" s="53">
        <f>IFERROR(AI158/(AI123/365),"")</f>
        <v/>
      </c>
      <c r="AJ157" s="53">
        <f>IFERROR(AJ158/(AJ123/365),"")</f>
        <v/>
      </c>
      <c r="AK157" s="73" t="n">
        <v>65</v>
      </c>
      <c r="AL157" s="73" t="n">
        <v>65</v>
      </c>
      <c r="AM157" s="73" t="n">
        <v>65</v>
      </c>
      <c r="AN157" s="73" t="n">
        <v>65</v>
      </c>
    </row>
    <row r="158" outlineLevel="1">
      <c r="A158" s="20" t="inlineStr">
        <is>
          <t>Trade payables</t>
        </is>
      </c>
      <c r="B158" s="17" t="inlineStr">
        <is>
          <t>Rs Mn</t>
        </is>
      </c>
      <c r="C158" s="22" t="inlineStr">
        <is>
          <t>Formula</t>
        </is>
      </c>
      <c r="E158" s="71">
        <f>IF(COUNT('Raw Data - financials'!E95,'Raw Data - financials'!E96)=0,"",SUM('Raw Data - financials'!E95,'Raw Data - financials'!E96))</f>
        <v/>
      </c>
      <c r="G158" s="71">
        <f>IF(COUNT('Raw Data - financials'!G95,'Raw Data - financials'!G96)=0,"",SUM('Raw Data - financials'!G95,'Raw Data - financials'!G96))</f>
        <v/>
      </c>
      <c r="I158" s="71">
        <f>IF(COUNT('Raw Data - financials'!I95,'Raw Data - financials'!I96)=0,"",SUM('Raw Data - financials'!I95,'Raw Data - financials'!I96))</f>
        <v/>
      </c>
      <c r="K158" s="71">
        <f>IF(COUNT('Raw Data - financials'!K95,'Raw Data - financials'!K96)=0,"",SUM('Raw Data - financials'!K95,'Raw Data - financials'!K96))</f>
        <v/>
      </c>
      <c r="M158" s="71">
        <f>IF(COUNT('Raw Data - financials'!M95,'Raw Data - financials'!M96)=0,"",SUM('Raw Data - financials'!M95,'Raw Data - financials'!M96))</f>
        <v/>
      </c>
      <c r="O158" s="71">
        <f>IF(COUNT('Raw Data - financials'!O95,'Raw Data - financials'!O96)=0,"",SUM('Raw Data - financials'!O95,'Raw Data - financials'!O96))</f>
        <v/>
      </c>
      <c r="Q158" s="71">
        <f>IF(COUNT('Raw Data - financials'!Q95,'Raw Data - financials'!Q96)=0,"",SUM('Raw Data - financials'!Q95,'Raw Data - financials'!Q96))</f>
        <v/>
      </c>
      <c r="S158" s="71">
        <f>IF(COUNT('Raw Data - financials'!S95,'Raw Data - financials'!S96)=0,"",SUM('Raw Data - financials'!S95,'Raw Data - financials'!S96))</f>
        <v/>
      </c>
      <c r="U158" s="71">
        <f>IF(COUNT('Raw Data - financials'!U95,'Raw Data - financials'!U96)=0,"",SUM('Raw Data - financials'!U95,'Raw Data - financials'!U96))</f>
        <v/>
      </c>
      <c r="W158" s="71">
        <f>IF(COUNT('Raw Data - financials'!W95,'Raw Data - financials'!W96)=0,"",SUM('Raw Data - financials'!W95,'Raw Data - financials'!W96))</f>
        <v/>
      </c>
      <c r="AB158" s="19" t="n"/>
      <c r="AC158" s="72">
        <f>IF(COUNT('Raw Data - financials'!AC95,'Raw Data - financials'!AC96)=0,"",SUM('Raw Data - financials'!AC95,'Raw Data - financials'!AC96))</f>
        <v/>
      </c>
      <c r="AD158" s="72">
        <f>IF(COUNT('Raw Data - financials'!AD95,'Raw Data - financials'!AD96)=0,"",SUM('Raw Data - financials'!AD95,'Raw Data - financials'!AD96))</f>
        <v/>
      </c>
      <c r="AE158" s="72">
        <f>IF(COUNT('Raw Data - financials'!AE95,'Raw Data - financials'!AE96)=0,"",SUM('Raw Data - financials'!AE95,'Raw Data - financials'!AE96))</f>
        <v/>
      </c>
      <c r="AF158" s="72">
        <f>IF(COUNT('Raw Data - financials'!AF95,'Raw Data - financials'!AF96)=0,"",SUM('Raw Data - financials'!AF95,'Raw Data - financials'!AF96))</f>
        <v/>
      </c>
      <c r="AG158" s="72">
        <f>IF(COUNT('Raw Data - financials'!AG95,'Raw Data - financials'!AG96)=0,"",SUM('Raw Data - financials'!AG95,'Raw Data - financials'!AG96))</f>
        <v/>
      </c>
      <c r="AH158" s="72">
        <f>IF(COUNT('Raw Data - financials'!AH95,'Raw Data - financials'!AH96)=0,"",SUM('Raw Data - financials'!AH95,'Raw Data - financials'!AH96))</f>
        <v/>
      </c>
      <c r="AI158" s="72">
        <f>IF(COUNT('Raw Data - financials'!AI95,'Raw Data - financials'!AI96)=0,"",SUM('Raw Data - financials'!AI95,'Raw Data - financials'!AI96))</f>
        <v/>
      </c>
      <c r="AJ158" s="72">
        <f>IF(COUNT('Raw Data - financials'!AJ95,'Raw Data - financials'!AJ96)=0,"",SUM('Raw Data - financials'!AJ95,'Raw Data - financials'!AJ96))</f>
        <v/>
      </c>
      <c r="AK158" s="72">
        <f>AK157/365*AK123</f>
        <v/>
      </c>
      <c r="AL158" s="72">
        <f>AL157/365*AL123</f>
        <v/>
      </c>
      <c r="AM158" s="72">
        <f>AM157/365*AM123</f>
        <v/>
      </c>
      <c r="AN158" s="72">
        <f>AN157/365*AN123</f>
        <v/>
      </c>
    </row>
    <row r="159" outlineLevel="2">
      <c r="A159" s="20" t="inlineStr">
        <is>
          <t xml:space="preserve">  Other liabilities (% of Revenue)</t>
        </is>
      </c>
      <c r="B159" s="17" t="inlineStr">
        <is>
          <t>%</t>
        </is>
      </c>
      <c r="C159" s="48" t="inlineStr">
        <is>
          <t>Assumption (edit me)</t>
        </is>
      </c>
      <c r="AB159" s="19" t="n"/>
      <c r="AC159" s="52">
        <f>IFERROR(AC160/AC118,"")</f>
        <v/>
      </c>
      <c r="AD159" s="52">
        <f>IFERROR(AD160/AD118,"")</f>
        <v/>
      </c>
      <c r="AE159" s="52">
        <f>IFERROR(AE160/AE118,"")</f>
        <v/>
      </c>
      <c r="AF159" s="52">
        <f>IFERROR(AF160/AF118,"")</f>
        <v/>
      </c>
      <c r="AG159" s="52">
        <f>IFERROR(AG160/AG118,"")</f>
        <v/>
      </c>
      <c r="AH159" s="52">
        <f>IFERROR(AH160/AH118,"")</f>
        <v/>
      </c>
      <c r="AI159" s="52">
        <f>IFERROR(AI160/AI118,"")</f>
        <v/>
      </c>
      <c r="AJ159" s="52">
        <f>IFERROR(AJ160/AJ118,"")</f>
        <v/>
      </c>
      <c r="AK159" s="50" t="n">
        <v>0.1</v>
      </c>
      <c r="AL159" s="50" t="n">
        <v>0.1</v>
      </c>
      <c r="AM159" s="50" t="n">
        <v>0.1</v>
      </c>
      <c r="AN159" s="50" t="n">
        <v>0.1</v>
      </c>
    </row>
    <row r="160" outlineLevel="1">
      <c r="A160" s="20" t="inlineStr">
        <is>
          <t>Other liabilities</t>
        </is>
      </c>
      <c r="B160" s="17" t="inlineStr">
        <is>
          <t>Rs Mn</t>
        </is>
      </c>
      <c r="C160" s="22" t="inlineStr">
        <is>
          <t>Formula</t>
        </is>
      </c>
      <c r="E160" s="71">
        <f>IF(COUNT('Raw Data - financials'!E88,'Raw Data - financials'!E89,'Raw Data - financials'!E97,'Raw Data - financials'!E98,'Raw Data - financials'!E99,'Raw Data - financials'!E100,'Raw Data - financials'!E101)=0,"",SUM('Raw Data - financials'!E88,'Raw Data - financials'!E89,'Raw Data - financials'!E97,'Raw Data - financials'!E98,'Raw Data - financials'!E99,'Raw Data - financials'!E100,'Raw Data - financials'!E101))</f>
        <v/>
      </c>
      <c r="G160" s="71">
        <f>IF(COUNT('Raw Data - financials'!G88,'Raw Data - financials'!G89,'Raw Data - financials'!G97,'Raw Data - financials'!G98,'Raw Data - financials'!G99,'Raw Data - financials'!G100,'Raw Data - financials'!G101)=0,"",SUM('Raw Data - financials'!G88,'Raw Data - financials'!G89,'Raw Data - financials'!G97,'Raw Data - financials'!G98,'Raw Data - financials'!G99,'Raw Data - financials'!G100,'Raw Data - financials'!G101))</f>
        <v/>
      </c>
      <c r="I160" s="71">
        <f>IF(COUNT('Raw Data - financials'!I88,'Raw Data - financials'!I89,'Raw Data - financials'!I97,'Raw Data - financials'!I98,'Raw Data - financials'!I99,'Raw Data - financials'!I100,'Raw Data - financials'!I101)=0,"",SUM('Raw Data - financials'!I88,'Raw Data - financials'!I89,'Raw Data - financials'!I97,'Raw Data - financials'!I98,'Raw Data - financials'!I99,'Raw Data - financials'!I100,'Raw Data - financials'!I101))</f>
        <v/>
      </c>
      <c r="K160" s="71">
        <f>IF(COUNT('Raw Data - financials'!K88,'Raw Data - financials'!K89,'Raw Data - financials'!K97,'Raw Data - financials'!K98,'Raw Data - financials'!K99,'Raw Data - financials'!K100,'Raw Data - financials'!K101)=0,"",SUM('Raw Data - financials'!K88,'Raw Data - financials'!K89,'Raw Data - financials'!K97,'Raw Data - financials'!K98,'Raw Data - financials'!K99,'Raw Data - financials'!K100,'Raw Data - financials'!K101))</f>
        <v/>
      </c>
      <c r="M160" s="71">
        <f>IF(COUNT('Raw Data - financials'!M88,'Raw Data - financials'!M89,'Raw Data - financials'!M97,'Raw Data - financials'!M98,'Raw Data - financials'!M99,'Raw Data - financials'!M100,'Raw Data - financials'!M101)=0,"",SUM('Raw Data - financials'!M88,'Raw Data - financials'!M89,'Raw Data - financials'!M97,'Raw Data - financials'!M98,'Raw Data - financials'!M99,'Raw Data - financials'!M100,'Raw Data - financials'!M101))</f>
        <v/>
      </c>
      <c r="O160" s="71">
        <f>IF(COUNT('Raw Data - financials'!O88,'Raw Data - financials'!O89,'Raw Data - financials'!O97,'Raw Data - financials'!O98,'Raw Data - financials'!O99,'Raw Data - financials'!O100,'Raw Data - financials'!O101)=0,"",SUM('Raw Data - financials'!O88,'Raw Data - financials'!O89,'Raw Data - financials'!O97,'Raw Data - financials'!O98,'Raw Data - financials'!O99,'Raw Data - financials'!O100,'Raw Data - financials'!O101))</f>
        <v/>
      </c>
      <c r="Q160" s="71">
        <f>IF(COUNT('Raw Data - financials'!Q88,'Raw Data - financials'!Q89,'Raw Data - financials'!Q97,'Raw Data - financials'!Q98,'Raw Data - financials'!Q99,'Raw Data - financials'!Q100,'Raw Data - financials'!Q101)=0,"",SUM('Raw Data - financials'!Q88,'Raw Data - financials'!Q89,'Raw Data - financials'!Q97,'Raw Data - financials'!Q98,'Raw Data - financials'!Q99,'Raw Data - financials'!Q100,'Raw Data - financials'!Q101))</f>
        <v/>
      </c>
      <c r="S160" s="71">
        <f>IF(COUNT('Raw Data - financials'!S88,'Raw Data - financials'!S89,'Raw Data - financials'!S97,'Raw Data - financials'!S98,'Raw Data - financials'!S99,'Raw Data - financials'!S100,'Raw Data - financials'!S101)=0,"",SUM('Raw Data - financials'!S88,'Raw Data - financials'!S89,'Raw Data - financials'!S97,'Raw Data - financials'!S98,'Raw Data - financials'!S99,'Raw Data - financials'!S100,'Raw Data - financials'!S101))</f>
        <v/>
      </c>
      <c r="U160" s="71">
        <f>IF(COUNT('Raw Data - financials'!U88,'Raw Data - financials'!U89,'Raw Data - financials'!U97,'Raw Data - financials'!U98,'Raw Data - financials'!U99,'Raw Data - financials'!U100,'Raw Data - financials'!U101)=0,"",SUM('Raw Data - financials'!U88,'Raw Data - financials'!U89,'Raw Data - financials'!U97,'Raw Data - financials'!U98,'Raw Data - financials'!U99,'Raw Data - financials'!U100,'Raw Data - financials'!U101))</f>
        <v/>
      </c>
      <c r="W160" s="71">
        <f>IF(COUNT('Raw Data - financials'!W88,'Raw Data - financials'!W89,'Raw Data - financials'!W97,'Raw Data - financials'!W98,'Raw Data - financials'!W99,'Raw Data - financials'!W100,'Raw Data - financials'!W101)=0,"",SUM('Raw Data - financials'!W88,'Raw Data - financials'!W89,'Raw Data - financials'!W97,'Raw Data - financials'!W98,'Raw Data - financials'!W99,'Raw Data - financials'!W100,'Raw Data - financials'!W101))</f>
        <v/>
      </c>
      <c r="AB160" s="19" t="n"/>
      <c r="AC160" s="72">
        <f>IF(COUNT('Raw Data - financials'!AC88,'Raw Data - financials'!AC89,'Raw Data - financials'!AC97,'Raw Data - financials'!AC98,'Raw Data - financials'!AC99,'Raw Data - financials'!AC100,'Raw Data - financials'!AC101)=0,"",SUM('Raw Data - financials'!AC88,'Raw Data - financials'!AC89,'Raw Data - financials'!AC97,'Raw Data - financials'!AC98,'Raw Data - financials'!AC99,'Raw Data - financials'!AC100,'Raw Data - financials'!AC101))</f>
        <v/>
      </c>
      <c r="AD160" s="72">
        <f>IF(COUNT('Raw Data - financials'!AD88,'Raw Data - financials'!AD89,'Raw Data - financials'!AD97,'Raw Data - financials'!AD98,'Raw Data - financials'!AD99,'Raw Data - financials'!AD100,'Raw Data - financials'!AD101)=0,"",SUM('Raw Data - financials'!AD88,'Raw Data - financials'!AD89,'Raw Data - financials'!AD97,'Raw Data - financials'!AD98,'Raw Data - financials'!AD99,'Raw Data - financials'!AD100,'Raw Data - financials'!AD101))</f>
        <v/>
      </c>
      <c r="AE160" s="72">
        <f>IF(COUNT('Raw Data - financials'!AE88,'Raw Data - financials'!AE89,'Raw Data - financials'!AE97,'Raw Data - financials'!AE98,'Raw Data - financials'!AE99,'Raw Data - financials'!AE100,'Raw Data - financials'!AE101)=0,"",SUM('Raw Data - financials'!AE88,'Raw Data - financials'!AE89,'Raw Data - financials'!AE97,'Raw Data - financials'!AE98,'Raw Data - financials'!AE99,'Raw Data - financials'!AE100,'Raw Data - financials'!AE101))</f>
        <v/>
      </c>
      <c r="AF160" s="72">
        <f>IF(COUNT('Raw Data - financials'!AF88,'Raw Data - financials'!AF89,'Raw Data - financials'!AF97,'Raw Data - financials'!AF98,'Raw Data - financials'!AF99,'Raw Data - financials'!AF100,'Raw Data - financials'!AF101)=0,"",SUM('Raw Data - financials'!AF88,'Raw Data - financials'!AF89,'Raw Data - financials'!AF97,'Raw Data - financials'!AF98,'Raw Data - financials'!AF99,'Raw Data - financials'!AF100,'Raw Data - financials'!AF101))</f>
        <v/>
      </c>
      <c r="AG160" s="72">
        <f>IF(COUNT('Raw Data - financials'!AG88,'Raw Data - financials'!AG89,'Raw Data - financials'!AG97,'Raw Data - financials'!AG98,'Raw Data - financials'!AG99,'Raw Data - financials'!AG100,'Raw Data - financials'!AG101)=0,"",SUM('Raw Data - financials'!AG88,'Raw Data - financials'!AG89,'Raw Data - financials'!AG97,'Raw Data - financials'!AG98,'Raw Data - financials'!AG99,'Raw Data - financials'!AG100,'Raw Data - financials'!AG101))</f>
        <v/>
      </c>
      <c r="AH160" s="72">
        <f>IF(COUNT('Raw Data - financials'!AH88,'Raw Data - financials'!AH89,'Raw Data - financials'!AH97,'Raw Data - financials'!AH98,'Raw Data - financials'!AH99,'Raw Data - financials'!AH100,'Raw Data - financials'!AH101)=0,"",SUM('Raw Data - financials'!AH88,'Raw Data - financials'!AH89,'Raw Data - financials'!AH97,'Raw Data - financials'!AH98,'Raw Data - financials'!AH99,'Raw Data - financials'!AH100,'Raw Data - financials'!AH101))</f>
        <v/>
      </c>
      <c r="AI160" s="72">
        <f>IF(COUNT('Raw Data - financials'!AI88,'Raw Data - financials'!AI89,'Raw Data - financials'!AI97,'Raw Data - financials'!AI98,'Raw Data - financials'!AI99,'Raw Data - financials'!AI100,'Raw Data - financials'!AI101)=0,"",SUM('Raw Data - financials'!AI88,'Raw Data - financials'!AI89,'Raw Data - financials'!AI97,'Raw Data - financials'!AI98,'Raw Data - financials'!AI99,'Raw Data - financials'!AI100,'Raw Data - financials'!AI101))</f>
        <v/>
      </c>
      <c r="AJ160" s="72">
        <f>IF(COUNT('Raw Data - financials'!AJ88,'Raw Data - financials'!AJ89,'Raw Data - financials'!AJ97,'Raw Data - financials'!AJ98,'Raw Data - financials'!AJ99,'Raw Data - financials'!AJ100,'Raw Data - financials'!AJ101)=0,"",SUM('Raw Data - financials'!AJ88,'Raw Data - financials'!AJ89,'Raw Data - financials'!AJ97,'Raw Data - financials'!AJ98,'Raw Data - financials'!AJ99,'Raw Data - financials'!AJ100,'Raw Data - financials'!AJ101))</f>
        <v/>
      </c>
      <c r="AK160" s="72">
        <f>AK118*AK159</f>
        <v/>
      </c>
      <c r="AL160" s="72">
        <f>AL118*AL159</f>
        <v/>
      </c>
      <c r="AM160" s="72">
        <f>AM118*AM159</f>
        <v/>
      </c>
      <c r="AN160" s="72">
        <f>AN118*AN159</f>
        <v/>
      </c>
    </row>
    <row r="161" outlineLevel="1">
      <c r="A161" s="20" t="inlineStr">
        <is>
          <t>Total Liabilities &amp; Equity</t>
        </is>
      </c>
      <c r="B161" s="17" t="inlineStr">
        <is>
          <t>Rs Mn</t>
        </is>
      </c>
      <c r="C161" s="22" t="inlineStr">
        <is>
          <t>Formula</t>
        </is>
      </c>
      <c r="E161" s="71">
        <f>IFERROR(E151+E153+E154+E156+E158+E160,"")</f>
        <v/>
      </c>
      <c r="G161" s="71">
        <f>IFERROR(G151+G153+G154+G156+G158+G160,"")</f>
        <v/>
      </c>
      <c r="I161" s="71">
        <f>IFERROR(I151+I153+I154+I156+I158+I160,"")</f>
        <v/>
      </c>
      <c r="K161" s="71">
        <f>IFERROR(K151+K153+K154+K156+K158+K160,"")</f>
        <v/>
      </c>
      <c r="M161" s="71">
        <f>IFERROR(M151+M153+M154+M156+M158+M160,"")</f>
        <v/>
      </c>
      <c r="O161" s="71">
        <f>IFERROR(O151+O153+O154+O156+O158+O160,"")</f>
        <v/>
      </c>
      <c r="Q161" s="71">
        <f>IFERROR(Q151+Q153+Q154+Q156+Q158+Q160,"")</f>
        <v/>
      </c>
      <c r="S161" s="71">
        <f>IFERROR(S151+S153+S154+S156+S158+S160,"")</f>
        <v/>
      </c>
      <c r="U161" s="71">
        <f>IFERROR(U151+U153+U154+U156+U158+U160,"")</f>
        <v/>
      </c>
      <c r="W161" s="71">
        <f>IFERROR(W151+W153+W154+W156+W158+W160,"")</f>
        <v/>
      </c>
      <c r="AB161" s="19" t="n"/>
      <c r="AC161" s="72">
        <f>IFERROR(AC151+AC153+AC154+AC156+AC158+AC160,"")</f>
        <v/>
      </c>
      <c r="AD161" s="72">
        <f>IFERROR(AD151+AD153+AD154+AD156+AD158+AD160,"")</f>
        <v/>
      </c>
      <c r="AE161" s="72">
        <f>IFERROR(AE151+AE153+AE154+AE156+AE158+AE160,"")</f>
        <v/>
      </c>
      <c r="AF161" s="72">
        <f>IFERROR(AF151+AF153+AF154+AF156+AF158+AF160,"")</f>
        <v/>
      </c>
      <c r="AG161" s="72">
        <f>IFERROR(AG151+AG153+AG154+AG156+AG158+AG160,"")</f>
        <v/>
      </c>
      <c r="AH161" s="72">
        <f>IFERROR(AH151+AH153+AH154+AH156+AH158+AH160,"")</f>
        <v/>
      </c>
      <c r="AI161" s="72">
        <f>IFERROR(AI151+AI153+AI154+AI156+AI158+AI160,"")</f>
        <v/>
      </c>
      <c r="AJ161" s="72">
        <f>IFERROR(AJ151+AJ153+AJ154+AJ156+AJ158+AJ160,"")</f>
        <v/>
      </c>
      <c r="AK161" s="72">
        <f>IFERROR(AK151+AK153+AK154+AK156+AK158+AK160,"")</f>
        <v/>
      </c>
      <c r="AL161" s="72">
        <f>IFERROR(AL151+AL153+AL154+AL156+AL158+AL160,"")</f>
        <v/>
      </c>
      <c r="AM161" s="72">
        <f>IFERROR(AM151+AM153+AM154+AM156+AM158+AM160,"")</f>
        <v/>
      </c>
      <c r="AN161" s="72">
        <f>IFERROR(AN151+AN153+AN154+AN156+AN158+AN160,"")</f>
        <v/>
      </c>
    </row>
    <row r="162">
      <c r="AB162" s="19" t="n"/>
    </row>
    <row r="163" outlineLevel="1">
      <c r="A163" s="20" t="inlineStr">
        <is>
          <t>Balance check (Total Assets - Total Liabilities &amp; Equity)</t>
        </is>
      </c>
      <c r="B163" s="17" t="inlineStr">
        <is>
          <t>Rs Mn</t>
        </is>
      </c>
      <c r="C163" s="22" t="inlineStr">
        <is>
          <t>Formula</t>
        </is>
      </c>
      <c r="E163" s="71">
        <f>IFERROR(E148-E161,"")</f>
        <v/>
      </c>
      <c r="G163" s="71">
        <f>IFERROR(G148-G161,"")</f>
        <v/>
      </c>
      <c r="I163" s="71">
        <f>IFERROR(I148-I161,"")</f>
        <v/>
      </c>
      <c r="K163" s="71">
        <f>IFERROR(K148-K161,"")</f>
        <v/>
      </c>
      <c r="M163" s="71">
        <f>IFERROR(M148-M161,"")</f>
        <v/>
      </c>
      <c r="O163" s="71">
        <f>IFERROR(O148-O161,"")</f>
        <v/>
      </c>
      <c r="Q163" s="71">
        <f>IFERROR(Q148-Q161,"")</f>
        <v/>
      </c>
      <c r="S163" s="71">
        <f>IFERROR(S148-S161,"")</f>
        <v/>
      </c>
      <c r="U163" s="71">
        <f>IFERROR(U148-U161,"")</f>
        <v/>
      </c>
      <c r="W163" s="71">
        <f>IFERROR(W148-W161,"")</f>
        <v/>
      </c>
      <c r="AB163" s="19" t="n"/>
      <c r="AC163" s="72">
        <f>IFERROR(AC148-AC161,"")</f>
        <v/>
      </c>
      <c r="AD163" s="72">
        <f>IFERROR(AD148-AD161,"")</f>
        <v/>
      </c>
      <c r="AE163" s="72">
        <f>IFERROR(AE148-AE161,"")</f>
        <v/>
      </c>
      <c r="AF163" s="72">
        <f>IFERROR(AF148-AF161,"")</f>
        <v/>
      </c>
      <c r="AG163" s="72">
        <f>IFERROR(AG148-AG161,"")</f>
        <v/>
      </c>
      <c r="AH163" s="72">
        <f>IFERROR(AH148-AH161,"")</f>
        <v/>
      </c>
      <c r="AI163" s="72">
        <f>IFERROR(AI148-AI161,"")</f>
        <v/>
      </c>
      <c r="AJ163" s="72">
        <f>IFERROR(AJ148-AJ161,"")</f>
        <v/>
      </c>
      <c r="AK163" s="72">
        <f>IFERROR(AK148-AK161,"")</f>
        <v/>
      </c>
      <c r="AL163" s="72">
        <f>IFERROR(AL148-AL161,"")</f>
        <v/>
      </c>
      <c r="AM163" s="72">
        <f>IFERROR(AM148-AM161,"")</f>
        <v/>
      </c>
      <c r="AN163" s="72">
        <f>IFERROR(AN148-AN161,"")</f>
        <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P180"/>
  <sheetViews>
    <sheetView showGridLines="0" workbookViewId="0">
      <pane xSplit="3" ySplit="3" topLeftCell="D4" activePane="bottomRight" state="frozen"/>
      <selection pane="topRight" activeCell="A1" sqref="A1"/>
      <selection pane="bottomLeft" activeCell="A1" sqref="A1"/>
      <selection pane="bottomRight" activeCell="AB5" sqref="AB5"/>
    </sheetView>
  </sheetViews>
  <sheetFormatPr baseColWidth="8" defaultRowHeight="14.4"/>
  <cols>
    <col width="58" customWidth="1" min="1" max="1"/>
    <col width="10" customWidth="1" min="2" max="2"/>
    <col width="14" customWidth="1" min="3" max="3"/>
    <col hidden="1" outlineLevel="1" width="14" customWidth="1" min="4" max="15"/>
    <col collapsed="1" width="14" customWidth="1" min="16" max="16"/>
    <col width="14" customWidth="1" min="17" max="23"/>
    <col hidden="1" outlineLevel="1" width="14" customWidth="1" min="24" max="27"/>
    <col collapsed="1" width="14" customWidth="1" min="28" max="28"/>
    <col width="12" customWidth="1" min="29" max="36"/>
  </cols>
  <sheetData>
    <row r="1">
      <c r="A1" s="1" t="inlineStr">
        <is>
          <t>INR Mn</t>
        </is>
      </c>
      <c r="B1" s="1" t="inlineStr">
        <is>
          <t>Unit</t>
        </is>
      </c>
      <c r="C1" s="1" t="inlineStr">
        <is>
          <t>Source</t>
        </is>
      </c>
      <c r="D1" s="2" t="inlineStr">
        <is>
          <t>1Q22</t>
        </is>
      </c>
      <c r="E1" s="2" t="inlineStr">
        <is>
          <t>2Q22</t>
        </is>
      </c>
      <c r="F1" s="2" t="inlineStr">
        <is>
          <t>3Q22</t>
        </is>
      </c>
      <c r="G1" s="2" t="inlineStr">
        <is>
          <t>4Q22</t>
        </is>
      </c>
      <c r="H1" s="2" t="inlineStr">
        <is>
          <t>1Q23</t>
        </is>
      </c>
      <c r="I1" s="2" t="inlineStr">
        <is>
          <t>2Q23</t>
        </is>
      </c>
      <c r="J1" s="2" t="inlineStr">
        <is>
          <t>3Q23</t>
        </is>
      </c>
      <c r="K1" s="2" t="inlineStr">
        <is>
          <t>4Q23</t>
        </is>
      </c>
      <c r="L1" s="2" t="inlineStr">
        <is>
          <t>1Q24</t>
        </is>
      </c>
      <c r="M1" s="2" t="inlineStr">
        <is>
          <t>2Q24</t>
        </is>
      </c>
      <c r="N1" s="2" t="inlineStr">
        <is>
          <t>3Q24</t>
        </is>
      </c>
      <c r="O1" s="2" t="inlineStr">
        <is>
          <t>4Q24</t>
        </is>
      </c>
      <c r="P1" s="2" t="inlineStr">
        <is>
          <t>1Q25</t>
        </is>
      </c>
      <c r="Q1" s="2" t="inlineStr">
        <is>
          <t>2Q25</t>
        </is>
      </c>
      <c r="R1" s="2" t="inlineStr">
        <is>
          <t>3Q25</t>
        </is>
      </c>
      <c r="S1" s="2" t="inlineStr">
        <is>
          <t>4Q25</t>
        </is>
      </c>
      <c r="T1" s="2" t="inlineStr">
        <is>
          <t>1Q26</t>
        </is>
      </c>
      <c r="U1" s="2" t="inlineStr">
        <is>
          <t>2Q26</t>
        </is>
      </c>
      <c r="V1" s="2" t="inlineStr">
        <is>
          <t>3Q26</t>
        </is>
      </c>
      <c r="W1" s="2" t="inlineStr">
        <is>
          <t>4Q26</t>
        </is>
      </c>
      <c r="X1" s="2" t="inlineStr">
        <is>
          <t>1Q27</t>
        </is>
      </c>
      <c r="Y1" s="2" t="inlineStr">
        <is>
          <t>2Q27</t>
        </is>
      </c>
      <c r="Z1" s="2" t="inlineStr">
        <is>
          <t>3Q27</t>
        </is>
      </c>
      <c r="AA1" s="2" t="inlineStr">
        <is>
          <t>4Q27</t>
        </is>
      </c>
      <c r="AB1" s="1" t="n"/>
      <c r="AC1" s="2" t="inlineStr">
        <is>
          <t>FY19</t>
        </is>
      </c>
      <c r="AD1" s="2" t="inlineStr">
        <is>
          <t>FY20</t>
        </is>
      </c>
      <c r="AE1" s="2" t="inlineStr">
        <is>
          <t>FY21</t>
        </is>
      </c>
      <c r="AF1" s="2" t="inlineStr">
        <is>
          <t>FY22</t>
        </is>
      </c>
      <c r="AG1" s="2" t="inlineStr">
        <is>
          <t>FY23</t>
        </is>
      </c>
      <c r="AH1" s="2" t="inlineStr">
        <is>
          <t>FY24</t>
        </is>
      </c>
      <c r="AI1" s="2" t="inlineStr">
        <is>
          <t>FY25</t>
        </is>
      </c>
      <c r="AJ1" s="2" t="inlineStr">
        <is>
          <t>FY26</t>
        </is>
      </c>
    </row>
    <row r="2">
      <c r="A2" s="3" t="inlineStr">
        <is>
          <t>Fiscal Year End</t>
        </is>
      </c>
      <c r="D2" s="4">
        <f>EOMONTH(E2,-3)</f>
        <v/>
      </c>
      <c r="E2" s="4">
        <f>EOMONTH(F2,-3)</f>
        <v/>
      </c>
      <c r="F2" s="4">
        <f>EOMONTH(G2,-3)</f>
        <v/>
      </c>
      <c r="G2" s="4">
        <f>EOMONTH(H2,-3)</f>
        <v/>
      </c>
      <c r="H2" s="4">
        <f>EOMONTH(I2,-3)</f>
        <v/>
      </c>
      <c r="I2" s="4">
        <f>EOMONTH(J2,-3)</f>
        <v/>
      </c>
      <c r="J2" s="4">
        <f>EOMONTH(K2,-3)</f>
        <v/>
      </c>
      <c r="K2" s="4">
        <f>EOMONTH(L2,-3)</f>
        <v/>
      </c>
      <c r="L2" s="4">
        <f>EOMONTH(M2,-3)</f>
        <v/>
      </c>
      <c r="M2" s="4">
        <f>EOMONTH(N2,-3)</f>
        <v/>
      </c>
      <c r="N2" s="4">
        <f>EOMONTH(O2,-3)</f>
        <v/>
      </c>
      <c r="O2" s="4">
        <f>EOMONTH(P2,-3)</f>
        <v/>
      </c>
      <c r="P2" s="4">
        <f>EOMONTH(Q2,-3)</f>
        <v/>
      </c>
      <c r="Q2" s="4">
        <f>EOMONTH(R2,-3)</f>
        <v/>
      </c>
      <c r="R2" s="4">
        <f>EOMONTH(S2,-3)</f>
        <v/>
      </c>
      <c r="S2" s="4">
        <f>EOMONTH(T2,-3)</f>
        <v/>
      </c>
      <c r="T2" s="4">
        <f>EOMONTH(U2,-3)</f>
        <v/>
      </c>
      <c r="U2" s="4">
        <f>EOMONTH(V2,-3)</f>
        <v/>
      </c>
      <c r="V2" s="4">
        <f>EOMONTH(W2,-3)</f>
        <v/>
      </c>
      <c r="W2" s="4" t="n">
        <v>46112</v>
      </c>
      <c r="X2" s="4">
        <f>EOMONTH(W2,3)</f>
        <v/>
      </c>
      <c r="Y2" s="4">
        <f>EOMONTH(X2,3)</f>
        <v/>
      </c>
      <c r="Z2" s="4">
        <f>EOMONTH(Y2,3)</f>
        <v/>
      </c>
      <c r="AA2" s="4">
        <f>EOMONTH(Z2,3)</f>
        <v/>
      </c>
      <c r="AC2" s="4" t="n">
        <v>43555</v>
      </c>
      <c r="AD2" s="4" t="n">
        <v>43921</v>
      </c>
      <c r="AE2" s="4" t="n">
        <v>44286</v>
      </c>
      <c r="AF2" s="4" t="n">
        <v>44651</v>
      </c>
      <c r="AG2" s="4" t="n">
        <v>45016</v>
      </c>
      <c r="AH2" s="4" t="n">
        <v>45382</v>
      </c>
      <c r="AI2" s="4" t="n">
        <v>45747</v>
      </c>
      <c r="AJ2" s="4" t="n">
        <v>46112</v>
      </c>
    </row>
    <row r="3">
      <c r="A3" s="17" t="inlineStr">
        <is>
          <t>All figures in INR Mn unless stated otherwise.</t>
        </is>
      </c>
    </row>
    <row r="4">
      <c r="A4" s="5" t="inlineStr">
        <is>
          <t>PROFIT &amp; LOSS (CONSOLIDATED)</t>
        </is>
      </c>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row>
    <row r="5">
      <c r="A5" s="7" t="inlineStr">
        <is>
          <t>Revenue from operations</t>
        </is>
      </c>
      <c r="B5" s="8" t="inlineStr">
        <is>
          <t>INR Mn</t>
        </is>
      </c>
      <c r="C5" s="8" t="inlineStr">
        <is>
          <t>Company filings</t>
        </is>
      </c>
      <c r="D5" s="59" t="n">
        <v>8169.91</v>
      </c>
      <c r="E5" s="59" t="n">
        <v>8852.639999999999</v>
      </c>
      <c r="F5" s="59" t="n">
        <v>10983.6</v>
      </c>
      <c r="G5" s="59" t="n">
        <v>9733.200000000001</v>
      </c>
      <c r="H5" s="59" t="n">
        <v>11484.21</v>
      </c>
      <c r="I5" s="59" t="n">
        <v>12308.29</v>
      </c>
      <c r="J5" s="59" t="n">
        <v>14628.26</v>
      </c>
      <c r="K5" s="59" t="n">
        <v>13017.24</v>
      </c>
      <c r="L5" s="59" t="n">
        <v>14218.24</v>
      </c>
      <c r="M5" s="59" t="n">
        <v>15070.24</v>
      </c>
      <c r="N5" s="59" t="n">
        <v>17887.98</v>
      </c>
      <c r="O5" s="59" t="n">
        <v>16679.8</v>
      </c>
      <c r="P5" s="59" t="n">
        <v>17461.1</v>
      </c>
      <c r="Q5" s="59" t="n">
        <v>18747.4</v>
      </c>
      <c r="R5" s="59" t="n">
        <v>22672.1</v>
      </c>
      <c r="S5" s="59" t="n">
        <v>20617.6</v>
      </c>
      <c r="T5" s="59" t="n">
        <v>21549.4</v>
      </c>
      <c r="U5" s="59" t="n">
        <v>23459.8</v>
      </c>
      <c r="V5" s="59" t="n">
        <v>28732.6</v>
      </c>
      <c r="W5" s="59" t="n">
        <v>26481.7</v>
      </c>
      <c r="X5" s="59" t="n"/>
      <c r="Y5" s="59" t="n"/>
      <c r="Z5" s="59" t="n"/>
      <c r="AA5" s="59" t="n"/>
      <c r="AB5" s="8" t="n"/>
      <c r="AC5" s="59" t="n">
        <v>11113.94</v>
      </c>
      <c r="AD5" s="59" t="n">
        <v>17675.33</v>
      </c>
      <c r="AE5" s="59" t="n">
        <v>24408.96</v>
      </c>
      <c r="AF5" s="59" t="n">
        <v>37739.35</v>
      </c>
      <c r="AG5" s="59" t="n">
        <v>51438</v>
      </c>
      <c r="AH5" s="59" t="n">
        <v>63856.26</v>
      </c>
      <c r="AI5" s="59" t="n">
        <v>79498.2</v>
      </c>
      <c r="AJ5" s="59" t="n">
        <v>100223.5</v>
      </c>
      <c r="AL5" s="15" t="n"/>
      <c r="AM5" s="15" t="n"/>
      <c r="AN5" s="15" t="n"/>
      <c r="AO5" s="15" t="n"/>
      <c r="AP5" s="15" t="n"/>
    </row>
    <row r="6">
      <c r="A6" s="7" t="inlineStr">
        <is>
          <t>Other income</t>
        </is>
      </c>
      <c r="B6" s="8" t="inlineStr">
        <is>
          <t>INR Mn</t>
        </is>
      </c>
      <c r="C6" s="8" t="inlineStr">
        <is>
          <t>Company filings</t>
        </is>
      </c>
      <c r="D6" s="59" t="n">
        <v>47.22</v>
      </c>
      <c r="E6" s="59" t="n">
        <v>51.98</v>
      </c>
      <c r="F6" s="59" t="n">
        <v>59.13</v>
      </c>
      <c r="G6" s="59" t="n">
        <v>111.39</v>
      </c>
      <c r="H6" s="59" t="n">
        <v>83.63</v>
      </c>
      <c r="I6" s="59" t="n">
        <v>64.76000000000001</v>
      </c>
      <c r="J6" s="59" t="n">
        <v>56.36</v>
      </c>
      <c r="K6" s="59" t="n">
        <v>97.38</v>
      </c>
      <c r="L6" s="59" t="n">
        <v>67.20999999999999</v>
      </c>
      <c r="M6" s="59" t="n">
        <v>85.73</v>
      </c>
      <c r="N6" s="59" t="n">
        <v>75.84</v>
      </c>
      <c r="O6" s="59" t="n">
        <v>70.63</v>
      </c>
      <c r="P6" s="59" t="n">
        <v>73.3</v>
      </c>
      <c r="Q6" s="59" t="n">
        <v>54.5</v>
      </c>
      <c r="R6" s="59" t="n">
        <v>55.3</v>
      </c>
      <c r="S6" s="59" t="n">
        <v>89.5</v>
      </c>
      <c r="T6" s="59" t="n">
        <v>93.3</v>
      </c>
      <c r="U6" s="59" t="n">
        <v>80.3</v>
      </c>
      <c r="V6" s="59" t="n">
        <v>62.6</v>
      </c>
      <c r="W6" s="59" t="n">
        <v>91.5</v>
      </c>
      <c r="X6" s="59" t="n"/>
      <c r="Y6" s="59" t="n"/>
      <c r="Z6" s="59" t="n"/>
      <c r="AA6" s="59" t="n"/>
      <c r="AB6" s="8" t="n"/>
      <c r="AC6" s="59" t="n">
        <v>49.88</v>
      </c>
      <c r="AD6" s="59" t="n">
        <v>103.17</v>
      </c>
      <c r="AE6" s="59" t="n">
        <v>117.41</v>
      </c>
      <c r="AF6" s="59" t="n">
        <v>269.72</v>
      </c>
      <c r="AG6" s="59" t="n">
        <v>302.13</v>
      </c>
      <c r="AH6" s="59" t="n">
        <v>299.42</v>
      </c>
      <c r="AI6" s="59" t="n">
        <v>272.6</v>
      </c>
      <c r="AJ6" s="59" t="n">
        <v>327.7</v>
      </c>
      <c r="AL6" s="15" t="n"/>
      <c r="AM6" s="15" t="n"/>
      <c r="AN6" s="15" t="n"/>
      <c r="AO6" s="15" t="n"/>
      <c r="AP6" s="15" t="n"/>
    </row>
    <row r="7">
      <c r="A7" s="1" t="inlineStr">
        <is>
          <t>Total Income</t>
        </is>
      </c>
      <c r="B7" s="8" t="inlineStr">
        <is>
          <t>INR Mn</t>
        </is>
      </c>
      <c r="C7" s="8" t="n"/>
      <c r="D7" s="56">
        <f>SUM(D5:D6)</f>
        <v/>
      </c>
      <c r="E7" s="56">
        <f>SUM(E5:E6)</f>
        <v/>
      </c>
      <c r="F7" s="56">
        <f>SUM(F5:F6)</f>
        <v/>
      </c>
      <c r="G7" s="56">
        <f>SUM(G5:G6)</f>
        <v/>
      </c>
      <c r="H7" s="56">
        <f>SUM(H5:H6)</f>
        <v/>
      </c>
      <c r="I7" s="56">
        <f>SUM(I5:I6)</f>
        <v/>
      </c>
      <c r="J7" s="56">
        <f>SUM(J5:J6)</f>
        <v/>
      </c>
      <c r="K7" s="56">
        <f>SUM(K5:K6)</f>
        <v/>
      </c>
      <c r="L7" s="56">
        <f>SUM(L5:L6)</f>
        <v/>
      </c>
      <c r="M7" s="56">
        <f>SUM(M5:M6)</f>
        <v/>
      </c>
      <c r="N7" s="56">
        <f>SUM(N5:N6)</f>
        <v/>
      </c>
      <c r="O7" s="56">
        <f>SUM(O5:O6)</f>
        <v/>
      </c>
      <c r="P7" s="56">
        <f>SUM(P5:P6)</f>
        <v/>
      </c>
      <c r="Q7" s="56">
        <f>SUM(Q5:Q6)</f>
        <v/>
      </c>
      <c r="R7" s="56">
        <f>SUM(R5:R6)</f>
        <v/>
      </c>
      <c r="S7" s="56">
        <f>SUM(S5:S6)</f>
        <v/>
      </c>
      <c r="T7" s="56">
        <f>SUM(T5:T6)</f>
        <v/>
      </c>
      <c r="U7" s="56">
        <f>SUM(U5:U6)</f>
        <v/>
      </c>
      <c r="V7" s="56">
        <f>SUM(V5:V6)</f>
        <v/>
      </c>
      <c r="W7" s="56">
        <f>SUM(W5:W6)</f>
        <v/>
      </c>
      <c r="X7" s="56" t="n"/>
      <c r="Y7" s="56" t="n"/>
      <c r="Z7" s="56" t="n"/>
      <c r="AA7" s="56" t="n"/>
      <c r="AB7" s="8" t="n"/>
      <c r="AC7" s="60">
        <f>SUM(AC5:AC6)</f>
        <v/>
      </c>
      <c r="AD7" s="60">
        <f>SUM(AD5:AD6)</f>
        <v/>
      </c>
      <c r="AE7" s="60">
        <f>SUM(AE5:AE6)</f>
        <v/>
      </c>
      <c r="AF7" s="60">
        <f>SUM(AF5:AF6)</f>
        <v/>
      </c>
      <c r="AG7" s="60">
        <f>SUM(AG5:AG6)</f>
        <v/>
      </c>
      <c r="AH7" s="60">
        <f>SUM(AH5:AH6)</f>
        <v/>
      </c>
      <c r="AI7" s="60">
        <f>SUM(AI5:AI6)</f>
        <v/>
      </c>
      <c r="AJ7" s="60">
        <f>SUM(AJ5:AJ6)</f>
        <v/>
      </c>
      <c r="AL7" s="15" t="n"/>
      <c r="AM7" s="15" t="n"/>
      <c r="AN7" s="15" t="n"/>
      <c r="AO7" s="15" t="n"/>
      <c r="AP7" s="15" t="n"/>
    </row>
    <row r="8">
      <c r="AL8" s="15" t="n"/>
      <c r="AM8" s="15" t="n"/>
      <c r="AN8" s="15" t="n"/>
      <c r="AO8" s="15" t="n"/>
      <c r="AP8" s="15" t="n"/>
    </row>
    <row r="9">
      <c r="A9" s="9" t="inlineStr">
        <is>
          <t>Expenses</t>
        </is>
      </c>
      <c r="AL9" s="15" t="n"/>
      <c r="AM9" s="15" t="n"/>
      <c r="AN9" s="15" t="n"/>
      <c r="AO9" s="15" t="n"/>
      <c r="AP9" s="15" t="n"/>
    </row>
    <row r="10">
      <c r="A10" s="7" t="inlineStr">
        <is>
          <t>Cost of material consumed</t>
        </is>
      </c>
      <c r="B10" s="8" t="inlineStr">
        <is>
          <t>INR Mn</t>
        </is>
      </c>
      <c r="C10" s="8" t="inlineStr">
        <is>
          <t>Company filings</t>
        </is>
      </c>
      <c r="D10" s="59" t="n">
        <v>229.37</v>
      </c>
      <c r="E10" s="59" t="n">
        <v>179.32</v>
      </c>
      <c r="F10" s="59" t="n">
        <v>176.56</v>
      </c>
      <c r="G10" s="59" t="n">
        <v>257.87</v>
      </c>
      <c r="H10" s="59" t="n">
        <v>232.97</v>
      </c>
      <c r="I10" s="59" t="n">
        <v>222.51</v>
      </c>
      <c r="J10" s="59" t="n">
        <v>166.08</v>
      </c>
      <c r="K10" s="59" t="n">
        <v>972.77</v>
      </c>
      <c r="L10" s="59" t="n">
        <v>186</v>
      </c>
      <c r="M10" s="59" t="n">
        <v>155.06</v>
      </c>
      <c r="N10" s="59" t="n">
        <v>235.19</v>
      </c>
      <c r="O10" s="59" t="n">
        <v>74.87</v>
      </c>
      <c r="P10" s="59" t="n">
        <v>25.9</v>
      </c>
      <c r="Q10" s="59" t="n">
        <v>14.5</v>
      </c>
      <c r="R10" s="59" t="n">
        <v>27.8</v>
      </c>
      <c r="S10" s="59" t="n">
        <v>12.8</v>
      </c>
      <c r="T10" s="59" t="n">
        <v>33.3</v>
      </c>
      <c r="U10" s="59" t="n">
        <v>3.4</v>
      </c>
      <c r="V10" s="59" t="n">
        <v>22.1</v>
      </c>
      <c r="W10" s="59" t="n">
        <v>87.3</v>
      </c>
      <c r="X10" s="59" t="n"/>
      <c r="Y10" s="59" t="n"/>
      <c r="Z10" s="59" t="n"/>
      <c r="AA10" s="59" t="n"/>
      <c r="AB10" s="8" t="n"/>
      <c r="AC10" s="59" t="n">
        <v>2.41</v>
      </c>
      <c r="AD10" s="59" t="n">
        <v>173.43</v>
      </c>
      <c r="AE10" s="59" t="n">
        <v>382.41</v>
      </c>
      <c r="AF10" s="59" t="n">
        <v>843.12</v>
      </c>
      <c r="AG10" s="59" t="n">
        <v>1594.33</v>
      </c>
      <c r="AH10" s="59" t="n">
        <v>651.13</v>
      </c>
      <c r="AI10" s="59" t="n">
        <v>81</v>
      </c>
      <c r="AJ10" s="59" t="n">
        <v>146.1</v>
      </c>
      <c r="AL10" s="15" t="n"/>
      <c r="AM10" s="15" t="n"/>
      <c r="AN10" s="15" t="n"/>
      <c r="AO10" s="15" t="n"/>
      <c r="AP10" s="15" t="n"/>
    </row>
    <row r="11">
      <c r="A11" s="7" t="inlineStr">
        <is>
          <t>Purchase of traded goods</t>
        </is>
      </c>
      <c r="B11" s="8" t="inlineStr">
        <is>
          <t>INR Mn</t>
        </is>
      </c>
      <c r="C11" s="8" t="inlineStr">
        <is>
          <t>Company filings</t>
        </is>
      </c>
      <c r="D11" s="59" t="n">
        <v>5509.42</v>
      </c>
      <c r="E11" s="59" t="n">
        <v>4848.33</v>
      </c>
      <c r="F11" s="59" t="n">
        <v>6902.15</v>
      </c>
      <c r="G11" s="59" t="n">
        <v>6643.6</v>
      </c>
      <c r="H11" s="59" t="n">
        <v>7415.45</v>
      </c>
      <c r="I11" s="59" t="n">
        <v>5858.02</v>
      </c>
      <c r="J11" s="59" t="n">
        <v>9188.98</v>
      </c>
      <c r="K11" s="59" t="n">
        <v>6017.46</v>
      </c>
      <c r="L11" s="59" t="n">
        <v>9781.98</v>
      </c>
      <c r="M11" s="59" t="n">
        <v>5530.25</v>
      </c>
      <c r="N11" s="59" t="n">
        <v>12322.52</v>
      </c>
      <c r="O11" s="59" t="n">
        <v>10182.01</v>
      </c>
      <c r="P11" s="59" t="n">
        <v>11718</v>
      </c>
      <c r="Q11" s="59" t="n">
        <v>10860.8</v>
      </c>
      <c r="R11" s="59" t="n">
        <v>12849.6</v>
      </c>
      <c r="S11" s="59" t="n">
        <v>11402.3</v>
      </c>
      <c r="T11" s="59" t="n">
        <v>14444.5</v>
      </c>
      <c r="U11" s="59" t="n">
        <v>11965.3</v>
      </c>
      <c r="V11" s="59" t="n">
        <v>15047.7</v>
      </c>
      <c r="W11" s="59" t="n">
        <v>15728.3</v>
      </c>
      <c r="X11" s="59" t="n"/>
      <c r="Y11" s="59" t="n"/>
      <c r="Z11" s="59" t="n"/>
      <c r="AA11" s="59" t="n"/>
      <c r="AB11" s="8" t="n"/>
      <c r="AC11" s="59" t="n">
        <v>7852.43</v>
      </c>
      <c r="AD11" s="59" t="n">
        <v>11787.46</v>
      </c>
      <c r="AE11" s="59" t="n">
        <v>14956.06</v>
      </c>
      <c r="AF11" s="59" t="n">
        <v>24078.31</v>
      </c>
      <c r="AG11" s="59" t="n">
        <v>28479.91</v>
      </c>
      <c r="AH11" s="59" t="n">
        <v>37816.75</v>
      </c>
      <c r="AI11" s="59" t="n">
        <v>46830.8</v>
      </c>
      <c r="AJ11" s="59" t="n">
        <v>57185.8</v>
      </c>
      <c r="AL11" s="15" t="n"/>
      <c r="AM11" s="15" t="n"/>
      <c r="AN11" s="15" t="n"/>
      <c r="AO11" s="15" t="n"/>
      <c r="AP11" s="15" t="n"/>
    </row>
    <row r="12">
      <c r="A12" s="7" t="inlineStr">
        <is>
          <t>Changes in inventories of finished goods and stock-in-trade</t>
        </is>
      </c>
      <c r="B12" s="8" t="inlineStr">
        <is>
          <t>INR Mn</t>
        </is>
      </c>
      <c r="C12" s="8" t="inlineStr">
        <is>
          <t>Company filings</t>
        </is>
      </c>
      <c r="D12" s="59" t="n">
        <v>-885.47</v>
      </c>
      <c r="E12" s="59" t="n">
        <v>42.57</v>
      </c>
      <c r="F12" s="59" t="n">
        <v>-1182.69</v>
      </c>
      <c r="G12" s="59" t="n">
        <v>-1420.88</v>
      </c>
      <c r="H12" s="59" t="n">
        <v>-1263</v>
      </c>
      <c r="I12" s="59" t="n">
        <v>650.38</v>
      </c>
      <c r="J12" s="59" t="n">
        <v>-1073.5</v>
      </c>
      <c r="K12" s="59" t="n">
        <v>268.69</v>
      </c>
      <c r="L12" s="59" t="n">
        <v>-1935.99</v>
      </c>
      <c r="M12" s="59" t="n">
        <v>2888.69</v>
      </c>
      <c r="N12" s="59" t="n">
        <v>-2277.21</v>
      </c>
      <c r="O12" s="59" t="n">
        <v>-679.51</v>
      </c>
      <c r="P12" s="59" t="n">
        <v>-1842.6</v>
      </c>
      <c r="Q12" s="59" t="n">
        <v>-338.1</v>
      </c>
      <c r="R12" s="59" t="n">
        <v>-116.7</v>
      </c>
      <c r="S12" s="59" t="n">
        <v>112.3</v>
      </c>
      <c r="T12" s="59" t="n">
        <v>-2543.5</v>
      </c>
      <c r="U12" s="59" t="n">
        <v>955.7</v>
      </c>
      <c r="V12" s="59" t="n">
        <v>688</v>
      </c>
      <c r="W12" s="59" t="n">
        <v>-1366.8</v>
      </c>
      <c r="X12" s="59" t="n"/>
      <c r="Y12" s="59" t="n"/>
      <c r="Z12" s="59" t="n"/>
      <c r="AA12" s="59" t="n"/>
      <c r="AB12" s="8" t="n"/>
      <c r="AC12" s="59" t="n">
        <v>-1252.07</v>
      </c>
      <c r="AD12" s="59" t="n">
        <v>-1818.84</v>
      </c>
      <c r="AE12" s="59" t="n">
        <v>-460.22</v>
      </c>
      <c r="AF12" s="59" t="n">
        <v>-3621.28</v>
      </c>
      <c r="AG12" s="59" t="n">
        <v>-1417.43</v>
      </c>
      <c r="AH12" s="59" t="n">
        <v>-2004.02</v>
      </c>
      <c r="AI12" s="59" t="n">
        <v>-2185.2</v>
      </c>
      <c r="AJ12" s="59" t="n">
        <v>-2266.6</v>
      </c>
      <c r="AL12" s="15" t="n"/>
      <c r="AM12" s="15" t="n"/>
      <c r="AN12" s="15" t="n"/>
      <c r="AO12" s="15" t="n"/>
      <c r="AP12" s="15" t="n"/>
    </row>
    <row r="13">
      <c r="A13" s="7" t="inlineStr">
        <is>
          <t>Employee benefits expense</t>
        </is>
      </c>
      <c r="B13" s="8" t="inlineStr">
        <is>
          <t>INR Mn</t>
        </is>
      </c>
      <c r="C13" s="8" t="inlineStr">
        <is>
          <t>Company filings</t>
        </is>
      </c>
      <c r="D13" s="59" t="n">
        <v>726.05</v>
      </c>
      <c r="E13" s="59" t="n">
        <v>694.01</v>
      </c>
      <c r="F13" s="59" t="n">
        <v>933.21</v>
      </c>
      <c r="G13" s="59" t="n">
        <v>908</v>
      </c>
      <c r="H13" s="59" t="n">
        <v>1147.09</v>
      </c>
      <c r="I13" s="59" t="n">
        <v>1217.61</v>
      </c>
      <c r="J13" s="59" t="n">
        <v>1279.16</v>
      </c>
      <c r="K13" s="59" t="n">
        <v>1273.31</v>
      </c>
      <c r="L13" s="59" t="n">
        <v>1385.76</v>
      </c>
      <c r="M13" s="59" t="n">
        <v>1363.2</v>
      </c>
      <c r="N13" s="59" t="n">
        <v>1479.3</v>
      </c>
      <c r="O13" s="59" t="n">
        <v>1420.75</v>
      </c>
      <c r="P13" s="59" t="n">
        <v>1558.6</v>
      </c>
      <c r="Q13" s="59" t="n">
        <v>1614.9</v>
      </c>
      <c r="R13" s="59" t="n">
        <v>1746</v>
      </c>
      <c r="S13" s="59" t="n">
        <v>1741.2</v>
      </c>
      <c r="T13" s="59" t="n">
        <v>1820.2</v>
      </c>
      <c r="U13" s="59" t="n">
        <v>1827.7</v>
      </c>
      <c r="V13" s="59" t="n">
        <v>2029</v>
      </c>
      <c r="W13" s="59" t="n">
        <v>2038.4</v>
      </c>
      <c r="X13" s="59" t="n"/>
      <c r="Y13" s="59" t="n"/>
      <c r="Z13" s="59" t="n"/>
      <c r="AA13" s="59" t="n"/>
      <c r="AB13" s="8" t="n"/>
      <c r="AC13" s="59" t="n">
        <v>1172.96</v>
      </c>
      <c r="AD13" s="59" t="n">
        <v>1956.13</v>
      </c>
      <c r="AE13" s="59" t="n">
        <v>2836.47</v>
      </c>
      <c r="AF13" s="59" t="n">
        <v>3259.39</v>
      </c>
      <c r="AG13" s="59" t="n">
        <v>4917.17</v>
      </c>
      <c r="AH13" s="59" t="n">
        <v>5649.01</v>
      </c>
      <c r="AI13" s="59" t="n">
        <v>6660.7</v>
      </c>
      <c r="AJ13" s="59" t="n">
        <v>7715.3</v>
      </c>
      <c r="AL13" s="15" t="n"/>
      <c r="AM13" s="15" t="n"/>
      <c r="AN13" s="15" t="n"/>
      <c r="AO13" s="15" t="n"/>
      <c r="AP13" s="15" t="n"/>
    </row>
    <row r="14">
      <c r="A14" s="7" t="inlineStr">
        <is>
          <t>Finance costs</t>
        </is>
      </c>
      <c r="B14" s="8" t="inlineStr">
        <is>
          <t>INR Mn</t>
        </is>
      </c>
      <c r="C14" s="8" t="inlineStr">
        <is>
          <t>Company filings</t>
        </is>
      </c>
      <c r="D14" s="59" t="n">
        <v>90.14</v>
      </c>
      <c r="E14" s="59" t="n">
        <v>113.49</v>
      </c>
      <c r="F14" s="59" t="n">
        <v>127.9</v>
      </c>
      <c r="G14" s="59" t="n">
        <v>133.58</v>
      </c>
      <c r="H14" s="59" t="n">
        <v>150.63</v>
      </c>
      <c r="I14" s="59" t="n">
        <v>203.56</v>
      </c>
      <c r="J14" s="59" t="n">
        <v>204.25</v>
      </c>
      <c r="K14" s="59" t="n">
        <v>187.61</v>
      </c>
      <c r="L14" s="59" t="n">
        <v>185.48</v>
      </c>
      <c r="M14" s="59" t="n">
        <v>213.09</v>
      </c>
      <c r="N14" s="59" t="n">
        <v>218.41</v>
      </c>
      <c r="O14" s="59" t="n">
        <v>211.34</v>
      </c>
      <c r="P14" s="59" t="n">
        <v>213.1</v>
      </c>
      <c r="Q14" s="59" t="n">
        <v>242.3</v>
      </c>
      <c r="R14" s="59" t="n">
        <v>319.3</v>
      </c>
      <c r="S14" s="59" t="n">
        <v>298.5</v>
      </c>
      <c r="T14" s="59" t="n">
        <v>301.6</v>
      </c>
      <c r="U14" s="59" t="n">
        <v>314.7</v>
      </c>
      <c r="V14" s="59" t="n">
        <v>291.6</v>
      </c>
      <c r="W14" s="59" t="n">
        <v>263.3</v>
      </c>
      <c r="X14" s="59" t="n"/>
      <c r="Y14" s="59" t="n"/>
      <c r="Z14" s="59" t="n"/>
      <c r="AA14" s="59" t="n"/>
      <c r="AB14" s="8" t="n"/>
      <c r="AC14" s="59" t="n">
        <v>263.42</v>
      </c>
      <c r="AD14" s="59" t="n">
        <v>442.93</v>
      </c>
      <c r="AE14" s="59" t="n">
        <v>307.01</v>
      </c>
      <c r="AF14" s="59" t="n">
        <v>465.11</v>
      </c>
      <c r="AG14" s="59" t="n">
        <v>746.05</v>
      </c>
      <c r="AH14" s="59" t="n">
        <v>828.3200000000001</v>
      </c>
      <c r="AI14" s="59" t="n">
        <v>1073.2</v>
      </c>
      <c r="AJ14" s="59" t="n">
        <v>1171.2</v>
      </c>
      <c r="AL14" s="15" t="n"/>
      <c r="AM14" s="15" t="n"/>
      <c r="AN14" s="15" t="n"/>
      <c r="AO14" s="15" t="n"/>
      <c r="AP14" s="15" t="n"/>
    </row>
    <row r="15">
      <c r="A15" s="7" t="inlineStr">
        <is>
          <t>Depreciation and amortisation expense</t>
        </is>
      </c>
      <c r="B15" s="8" t="inlineStr">
        <is>
          <t>INR Mn</t>
        </is>
      </c>
      <c r="C15" s="8" t="inlineStr">
        <is>
          <t>Company filings</t>
        </is>
      </c>
      <c r="D15" s="59" t="n">
        <v>194.97</v>
      </c>
      <c r="E15" s="59" t="n">
        <v>213.08</v>
      </c>
      <c r="F15" s="59" t="n">
        <v>251.24</v>
      </c>
      <c r="G15" s="59" t="n">
        <v>304.84</v>
      </c>
      <c r="H15" s="59" t="n">
        <v>310.12</v>
      </c>
      <c r="I15" s="59" t="n">
        <v>385.02</v>
      </c>
      <c r="J15" s="59" t="n">
        <v>507</v>
      </c>
      <c r="K15" s="59" t="n">
        <v>530.42</v>
      </c>
      <c r="L15" s="59" t="n">
        <v>519.2</v>
      </c>
      <c r="M15" s="59" t="n">
        <v>546.36</v>
      </c>
      <c r="N15" s="59" t="n">
        <v>580.28</v>
      </c>
      <c r="O15" s="59" t="n">
        <v>596.49</v>
      </c>
      <c r="P15" s="59" t="n">
        <v>600.6</v>
      </c>
      <c r="Q15" s="59" t="n">
        <v>636.2</v>
      </c>
      <c r="R15" s="59" t="n">
        <v>698.2</v>
      </c>
      <c r="S15" s="59" t="n">
        <v>729</v>
      </c>
      <c r="T15" s="59" t="n">
        <v>761.4</v>
      </c>
      <c r="U15" s="59" t="n">
        <v>790.9</v>
      </c>
      <c r="V15" s="59" t="n">
        <v>808.8</v>
      </c>
      <c r="W15" s="59" t="n">
        <v>842.2</v>
      </c>
      <c r="X15" s="59" t="n"/>
      <c r="Y15" s="59" t="n"/>
      <c r="Z15" s="59" t="n"/>
      <c r="AA15" s="59" t="n"/>
      <c r="AB15" s="8" t="n"/>
      <c r="AC15" s="59" t="n">
        <v>308.76</v>
      </c>
      <c r="AD15" s="59" t="n">
        <v>595.09</v>
      </c>
      <c r="AE15" s="59" t="n">
        <v>671.28</v>
      </c>
      <c r="AF15" s="59" t="n">
        <v>964.13</v>
      </c>
      <c r="AG15" s="59" t="n">
        <v>1732.56</v>
      </c>
      <c r="AH15" s="59" t="n">
        <v>2242.33</v>
      </c>
      <c r="AI15" s="59" t="n">
        <v>2664</v>
      </c>
      <c r="AJ15" s="59" t="n">
        <v>3203.3</v>
      </c>
      <c r="AL15" s="15" t="n"/>
      <c r="AM15" s="15" t="n"/>
      <c r="AN15" s="15" t="n"/>
      <c r="AO15" s="15" t="n"/>
      <c r="AP15" s="15" t="n"/>
    </row>
    <row r="16">
      <c r="A16" s="7" t="inlineStr">
        <is>
          <t>Other expenses</t>
        </is>
      </c>
      <c r="B16" s="8" t="inlineStr">
        <is>
          <t>INR Mn</t>
        </is>
      </c>
      <c r="C16" s="8" t="inlineStr">
        <is>
          <t>Company filings</t>
        </is>
      </c>
      <c r="D16" s="59" t="n">
        <v>2321.16</v>
      </c>
      <c r="E16" s="59" t="n">
        <v>2800.17</v>
      </c>
      <c r="F16" s="59" t="n">
        <v>3464.6</v>
      </c>
      <c r="G16" s="59" t="n">
        <v>2959.42</v>
      </c>
      <c r="H16" s="59" t="n">
        <v>3491.18</v>
      </c>
      <c r="I16" s="59" t="n">
        <v>3748.4</v>
      </c>
      <c r="J16" s="59" t="n">
        <v>4285.94</v>
      </c>
      <c r="K16" s="59" t="n">
        <v>3778.07</v>
      </c>
      <c r="L16" s="59" t="n">
        <v>4065.83</v>
      </c>
      <c r="M16" s="59" t="n">
        <v>4326.75</v>
      </c>
      <c r="N16" s="59" t="n">
        <v>5140.44</v>
      </c>
      <c r="O16" s="59" t="n">
        <v>4748.86</v>
      </c>
      <c r="P16" s="59" t="n">
        <v>5040</v>
      </c>
      <c r="Q16" s="59" t="n">
        <v>5558.7</v>
      </c>
      <c r="R16" s="59" t="n">
        <v>6757.6</v>
      </c>
      <c r="S16" s="59" t="n">
        <v>6015.5</v>
      </c>
      <c r="T16" s="59" t="n">
        <v>6388.1</v>
      </c>
      <c r="U16" s="59" t="n">
        <v>7118.2</v>
      </c>
      <c r="V16" s="59" t="n">
        <v>8648.200000000001</v>
      </c>
      <c r="W16" s="59" t="n">
        <v>7765.3</v>
      </c>
      <c r="X16" s="59" t="n"/>
      <c r="Y16" s="59" t="n"/>
      <c r="Z16" s="59" t="n"/>
      <c r="AA16" s="59" t="n"/>
      <c r="AB16" s="8" t="n"/>
      <c r="AC16" s="59" t="n">
        <v>3133.11</v>
      </c>
      <c r="AD16" s="59" t="n">
        <v>4766.6</v>
      </c>
      <c r="AE16" s="59" t="n">
        <v>5079.98</v>
      </c>
      <c r="AF16" s="59" t="n">
        <v>11547.23</v>
      </c>
      <c r="AG16" s="59" t="n">
        <v>15303.59</v>
      </c>
      <c r="AH16" s="59" t="n">
        <v>18281.89</v>
      </c>
      <c r="AI16" s="59" t="n">
        <v>23371.8</v>
      </c>
      <c r="AJ16" s="59" t="n">
        <v>29919.8</v>
      </c>
      <c r="AL16" s="15" t="n"/>
      <c r="AM16" s="15" t="n"/>
      <c r="AN16" s="15" t="n"/>
      <c r="AO16" s="15" t="n"/>
      <c r="AP16" s="15" t="n"/>
    </row>
    <row r="17">
      <c r="A17" s="1" t="inlineStr">
        <is>
          <t>Total Expenses</t>
        </is>
      </c>
      <c r="B17" s="8" t="inlineStr">
        <is>
          <t>INR Mn</t>
        </is>
      </c>
      <c r="C17" s="8" t="n"/>
      <c r="D17" s="56">
        <f>SUM(D10:D16)</f>
        <v/>
      </c>
      <c r="E17" s="56">
        <f>SUM(E10:E16)</f>
        <v/>
      </c>
      <c r="F17" s="56">
        <f>SUM(F10:F16)</f>
        <v/>
      </c>
      <c r="G17" s="56">
        <f>SUM(G10:G16)</f>
        <v/>
      </c>
      <c r="H17" s="56">
        <f>SUM(H10:H16)</f>
        <v/>
      </c>
      <c r="I17" s="56">
        <f>SUM(I10:I16)</f>
        <v/>
      </c>
      <c r="J17" s="56">
        <f>SUM(J10:J16)</f>
        <v/>
      </c>
      <c r="K17" s="56">
        <f>SUM(K10:K16)</f>
        <v/>
      </c>
      <c r="L17" s="56">
        <f>SUM(L10:L16)</f>
        <v/>
      </c>
      <c r="M17" s="56">
        <f>SUM(M10:M16)</f>
        <v/>
      </c>
      <c r="N17" s="56">
        <f>SUM(N10:N16)</f>
        <v/>
      </c>
      <c r="O17" s="56">
        <f>SUM(O10:O16)</f>
        <v/>
      </c>
      <c r="P17" s="56">
        <f>SUM(P10:P16)</f>
        <v/>
      </c>
      <c r="Q17" s="56">
        <f>SUM(Q10:Q16)</f>
        <v/>
      </c>
      <c r="R17" s="56">
        <f>SUM(R10:R16)</f>
        <v/>
      </c>
      <c r="S17" s="56">
        <f>SUM(S10:S16)</f>
        <v/>
      </c>
      <c r="T17" s="56">
        <f>SUM(T10:T16)</f>
        <v/>
      </c>
      <c r="U17" s="56">
        <f>SUM(U10:U16)</f>
        <v/>
      </c>
      <c r="V17" s="56">
        <f>SUM(V10:V16)</f>
        <v/>
      </c>
      <c r="W17" s="56">
        <f>SUM(W10:W16)</f>
        <v/>
      </c>
      <c r="X17" s="56" t="n"/>
      <c r="Y17" s="56" t="n"/>
      <c r="Z17" s="56" t="n"/>
      <c r="AA17" s="56" t="n"/>
      <c r="AB17" s="8" t="n"/>
      <c r="AC17" s="60">
        <f>SUM(AC10:AC16)</f>
        <v/>
      </c>
      <c r="AD17" s="60">
        <f>SUM(AD10:AD16)</f>
        <v/>
      </c>
      <c r="AE17" s="60">
        <f>SUM(AE10:AE16)</f>
        <v/>
      </c>
      <c r="AF17" s="60">
        <f>SUM(AF10:AF16)</f>
        <v/>
      </c>
      <c r="AG17" s="60">
        <f>SUM(AG10:AG16)</f>
        <v/>
      </c>
      <c r="AH17" s="60">
        <f>SUM(AH10:AH16)</f>
        <v/>
      </c>
      <c r="AI17" s="60">
        <f>SUM(AI10:AI16)</f>
        <v/>
      </c>
      <c r="AJ17" s="60">
        <f>SUM(AJ10:AJ16)</f>
        <v/>
      </c>
      <c r="AL17" s="15" t="n"/>
      <c r="AM17" s="15" t="n"/>
      <c r="AN17" s="15" t="n"/>
      <c r="AO17" s="15" t="n"/>
      <c r="AP17" s="15" t="n"/>
    </row>
    <row r="18">
      <c r="AL18" s="15" t="n"/>
      <c r="AM18" s="15" t="n"/>
      <c r="AN18" s="15" t="n"/>
      <c r="AO18" s="15" t="n"/>
      <c r="AP18" s="15" t="n"/>
    </row>
    <row r="19">
      <c r="A19" s="1" t="inlineStr">
        <is>
          <t>Profit Before Exceptional Items and Tax</t>
        </is>
      </c>
      <c r="B19" s="8" t="inlineStr">
        <is>
          <t>INR Mn</t>
        </is>
      </c>
      <c r="C19" s="8" t="n"/>
      <c r="D19" s="56">
        <f>D7-D17</f>
        <v/>
      </c>
      <c r="E19" s="56">
        <f>E7-E17</f>
        <v/>
      </c>
      <c r="F19" s="56">
        <f>F7-F17</f>
        <v/>
      </c>
      <c r="G19" s="56">
        <f>G7-G17</f>
        <v/>
      </c>
      <c r="H19" s="56">
        <f>H7-H17</f>
        <v/>
      </c>
      <c r="I19" s="56">
        <f>I7-I17</f>
        <v/>
      </c>
      <c r="J19" s="56">
        <f>J7-J17</f>
        <v/>
      </c>
      <c r="K19" s="56">
        <f>K7-K17</f>
        <v/>
      </c>
      <c r="L19" s="56">
        <f>L7-L17</f>
        <v/>
      </c>
      <c r="M19" s="56">
        <f>M7-M17</f>
        <v/>
      </c>
      <c r="N19" s="56">
        <f>N7-N17</f>
        <v/>
      </c>
      <c r="O19" s="56">
        <f>O7-O17</f>
        <v/>
      </c>
      <c r="P19" s="56">
        <f>P7-P17</f>
        <v/>
      </c>
      <c r="Q19" s="56">
        <f>Q7-Q17</f>
        <v/>
      </c>
      <c r="R19" s="56">
        <f>R7-R17</f>
        <v/>
      </c>
      <c r="S19" s="56">
        <f>S7-S17</f>
        <v/>
      </c>
      <c r="T19" s="56">
        <f>T7-T17</f>
        <v/>
      </c>
      <c r="U19" s="56">
        <f>U7-U17</f>
        <v/>
      </c>
      <c r="V19" s="56">
        <f>V7-V17</f>
        <v/>
      </c>
      <c r="W19" s="56">
        <f>W7-W17</f>
        <v/>
      </c>
      <c r="X19" s="56" t="n"/>
      <c r="Y19" s="56" t="n"/>
      <c r="Z19" s="56" t="n"/>
      <c r="AA19" s="56" t="n"/>
      <c r="AB19" s="8" t="n"/>
      <c r="AC19" s="60">
        <f>AC7-AC17</f>
        <v/>
      </c>
      <c r="AD19" s="60">
        <f>AD7-AD17</f>
        <v/>
      </c>
      <c r="AE19" s="60">
        <f>AE7-AE17</f>
        <v/>
      </c>
      <c r="AF19" s="60">
        <f>AF7-AF17</f>
        <v/>
      </c>
      <c r="AG19" s="60">
        <f>AG7-AG17</f>
        <v/>
      </c>
      <c r="AH19" s="60">
        <f>AH7-AH17</f>
        <v/>
      </c>
      <c r="AI19" s="60">
        <f>AI7-AI17</f>
        <v/>
      </c>
      <c r="AJ19" s="60">
        <f>AJ7-AJ17</f>
        <v/>
      </c>
      <c r="AL19" s="15" t="n"/>
      <c r="AM19" s="15" t="n"/>
      <c r="AN19" s="15" t="n"/>
      <c r="AO19" s="15" t="n"/>
      <c r="AP19" s="15" t="n"/>
    </row>
    <row r="20">
      <c r="A20" s="7" t="inlineStr">
        <is>
          <t>Exceptional items, net</t>
        </is>
      </c>
      <c r="B20" s="8" t="inlineStr">
        <is>
          <t>INR Mn</t>
        </is>
      </c>
      <c r="C20" s="8" t="inlineStr">
        <is>
          <t>Company filings</t>
        </is>
      </c>
      <c r="D20" s="59" t="n">
        <v>0</v>
      </c>
      <c r="E20" s="59" t="n">
        <v>0</v>
      </c>
      <c r="F20" s="59" t="n">
        <v>0</v>
      </c>
      <c r="G20" s="59" t="n">
        <v>0</v>
      </c>
      <c r="H20" s="59" t="n">
        <v>0</v>
      </c>
      <c r="I20" s="59" t="n">
        <v>0</v>
      </c>
      <c r="J20" s="59" t="n">
        <v>0</v>
      </c>
      <c r="K20" s="59" t="n">
        <v>0</v>
      </c>
      <c r="L20" s="59" t="n">
        <v>0</v>
      </c>
      <c r="M20" s="59" t="n">
        <v>0</v>
      </c>
      <c r="N20" s="59" t="n">
        <v>0</v>
      </c>
      <c r="O20" s="59" t="n">
        <v>0</v>
      </c>
      <c r="P20" s="59" t="n">
        <v>0</v>
      </c>
      <c r="Q20" s="59" t="n">
        <v>0</v>
      </c>
      <c r="R20" s="59" t="n">
        <v>0</v>
      </c>
      <c r="S20" s="59" t="n">
        <v>0</v>
      </c>
      <c r="T20" s="59" t="n">
        <v>0</v>
      </c>
      <c r="U20" s="59" t="n">
        <v>10.4</v>
      </c>
      <c r="V20" s="59" t="n">
        <v>163.6</v>
      </c>
      <c r="W20" s="59" t="n">
        <v>0</v>
      </c>
      <c r="X20" s="59" t="n"/>
      <c r="Y20" s="59" t="n"/>
      <c r="Z20" s="59" t="n"/>
      <c r="AA20" s="59" t="n"/>
      <c r="AB20" s="8" t="n"/>
      <c r="AC20" s="59" t="n">
        <v>0</v>
      </c>
      <c r="AD20" s="59" t="n">
        <v>0</v>
      </c>
      <c r="AE20" s="59" t="n">
        <v>0</v>
      </c>
      <c r="AF20" s="59" t="n">
        <v>0</v>
      </c>
      <c r="AG20" s="59" t="n">
        <v>0</v>
      </c>
      <c r="AH20" s="59" t="n">
        <v>0</v>
      </c>
      <c r="AI20" s="59" t="n">
        <v>0</v>
      </c>
      <c r="AJ20" s="59" t="n">
        <v>174</v>
      </c>
      <c r="AL20" s="15" t="n"/>
      <c r="AM20" s="15" t="n"/>
      <c r="AN20" s="15" t="n"/>
      <c r="AO20" s="15" t="n"/>
      <c r="AP20" s="15" t="n"/>
    </row>
    <row r="21">
      <c r="A21" s="1" t="inlineStr">
        <is>
          <t>Profit Before Tax</t>
        </is>
      </c>
      <c r="B21" s="8" t="inlineStr">
        <is>
          <t>INR Mn</t>
        </is>
      </c>
      <c r="C21" s="8" t="n"/>
      <c r="D21" s="56">
        <f>D19-D20</f>
        <v/>
      </c>
      <c r="E21" s="56">
        <f>E19-E20</f>
        <v/>
      </c>
      <c r="F21" s="56">
        <f>F19-F20</f>
        <v/>
      </c>
      <c r="G21" s="56">
        <f>G19-G20</f>
        <v/>
      </c>
      <c r="H21" s="56">
        <f>H19-H20</f>
        <v/>
      </c>
      <c r="I21" s="56">
        <f>I19-I20</f>
        <v/>
      </c>
      <c r="J21" s="56">
        <f>J19-J20</f>
        <v/>
      </c>
      <c r="K21" s="56">
        <f>K19-K20</f>
        <v/>
      </c>
      <c r="L21" s="56">
        <f>L19-L20</f>
        <v/>
      </c>
      <c r="M21" s="56">
        <f>M19-M20</f>
        <v/>
      </c>
      <c r="N21" s="56">
        <f>N19-N20</f>
        <v/>
      </c>
      <c r="O21" s="56">
        <f>O19-O20</f>
        <v/>
      </c>
      <c r="P21" s="56">
        <f>P19-P20</f>
        <v/>
      </c>
      <c r="Q21" s="56">
        <f>Q19-Q20</f>
        <v/>
      </c>
      <c r="R21" s="56">
        <f>R19-R20</f>
        <v/>
      </c>
      <c r="S21" s="56">
        <f>S19-S20</f>
        <v/>
      </c>
      <c r="T21" s="56">
        <f>T19-T20</f>
        <v/>
      </c>
      <c r="U21" s="56">
        <f>U19-U20</f>
        <v/>
      </c>
      <c r="V21" s="56">
        <f>V19-V20</f>
        <v/>
      </c>
      <c r="W21" s="56">
        <f>W19-W20</f>
        <v/>
      </c>
      <c r="X21" s="56" t="n"/>
      <c r="Y21" s="56" t="n"/>
      <c r="Z21" s="56" t="n"/>
      <c r="AA21" s="56" t="n"/>
      <c r="AB21" s="8" t="n"/>
      <c r="AC21" s="60">
        <f>AC19-AC20</f>
        <v/>
      </c>
      <c r="AD21" s="60">
        <f>AD19-AD20</f>
        <v/>
      </c>
      <c r="AE21" s="60">
        <f>AE19-AE20</f>
        <v/>
      </c>
      <c r="AF21" s="60">
        <f>AF19-AF20</f>
        <v/>
      </c>
      <c r="AG21" s="60">
        <f>AG19-AG20</f>
        <v/>
      </c>
      <c r="AH21" s="60">
        <f>AH19-AH20</f>
        <v/>
      </c>
      <c r="AI21" s="60">
        <f>AI19-AI20</f>
        <v/>
      </c>
      <c r="AJ21" s="60">
        <f>AJ19-AJ20</f>
        <v/>
      </c>
      <c r="AL21" s="15" t="n"/>
      <c r="AM21" s="15" t="n"/>
      <c r="AN21" s="15" t="n"/>
      <c r="AO21" s="15" t="n"/>
      <c r="AP21" s="15" t="n"/>
    </row>
    <row r="22">
      <c r="AL22" s="15" t="n"/>
      <c r="AM22" s="15" t="n"/>
      <c r="AN22" s="15" t="n"/>
      <c r="AO22" s="15" t="n"/>
      <c r="AP22" s="15" t="n"/>
    </row>
    <row r="23">
      <c r="A23" s="9" t="inlineStr">
        <is>
          <t>Tax expense</t>
        </is>
      </c>
      <c r="AL23" s="15" t="n"/>
      <c r="AM23" s="15" t="n"/>
      <c r="AN23" s="15" t="n"/>
      <c r="AO23" s="15" t="n"/>
      <c r="AP23" s="15" t="n"/>
    </row>
    <row r="24">
      <c r="A24" s="7" t="inlineStr">
        <is>
          <t>Current tax</t>
        </is>
      </c>
      <c r="B24" s="8" t="inlineStr">
        <is>
          <t>INR Mn</t>
        </is>
      </c>
      <c r="C24" s="8" t="inlineStr">
        <is>
          <t>Company filings</t>
        </is>
      </c>
      <c r="D24" s="59" t="n">
        <v>133.64</v>
      </c>
      <c r="E24" s="59" t="n">
        <v>3.66</v>
      </c>
      <c r="F24" s="59" t="n">
        <v>144.35</v>
      </c>
      <c r="G24" s="59" t="n">
        <v>141.28</v>
      </c>
      <c r="H24" s="59" t="n">
        <v>113.25</v>
      </c>
      <c r="I24" s="59" t="n">
        <v>215.91</v>
      </c>
      <c r="J24" s="59" t="n">
        <v>270.99</v>
      </c>
      <c r="K24" s="59" t="n">
        <v>260.96</v>
      </c>
      <c r="L24" s="59" t="n">
        <v>236.23</v>
      </c>
      <c r="M24" s="59" t="n">
        <v>215.86</v>
      </c>
      <c r="N24" s="59" t="n">
        <v>308.98</v>
      </c>
      <c r="O24" s="59" t="n">
        <v>306.28</v>
      </c>
      <c r="P24" s="59" t="n">
        <v>420.3</v>
      </c>
      <c r="Q24" s="59" t="n">
        <v>211.2</v>
      </c>
      <c r="R24" s="59" t="n">
        <v>319.9</v>
      </c>
      <c r="S24" s="59" t="n">
        <v>-536.4</v>
      </c>
      <c r="T24" s="59" t="n">
        <v>177.3</v>
      </c>
      <c r="U24" s="59" t="n">
        <v>209.2</v>
      </c>
      <c r="V24" s="59" t="n">
        <v>279.2</v>
      </c>
      <c r="W24" s="59" t="n">
        <v>709.2</v>
      </c>
      <c r="X24" s="59" t="n"/>
      <c r="Y24" s="59" t="n"/>
      <c r="Z24" s="59" t="n"/>
      <c r="AA24" s="59" t="n"/>
      <c r="AB24" s="8" t="n"/>
      <c r="AC24" s="59" t="n">
        <v>0</v>
      </c>
      <c r="AD24" s="59" t="n">
        <v>45.37</v>
      </c>
      <c r="AE24" s="59" t="n">
        <v>400.78</v>
      </c>
      <c r="AF24" s="59" t="n">
        <v>422.93</v>
      </c>
      <c r="AG24" s="59" t="n">
        <v>861.11</v>
      </c>
      <c r="AH24" s="59" t="n">
        <v>1067.35</v>
      </c>
      <c r="AI24" s="59" t="n">
        <v>415</v>
      </c>
      <c r="AJ24" s="59" t="n">
        <v>1374.9</v>
      </c>
      <c r="AL24" s="15" t="n"/>
      <c r="AM24" s="15" t="n"/>
      <c r="AN24" s="15" t="n"/>
      <c r="AO24" s="15" t="n"/>
      <c r="AP24" s="15" t="n"/>
    </row>
    <row r="25">
      <c r="A25" s="7" t="inlineStr">
        <is>
          <t>Current tax pertaining to earlier years</t>
        </is>
      </c>
      <c r="B25" s="8" t="inlineStr">
        <is>
          <t>INR Mn</t>
        </is>
      </c>
      <c r="C25" s="8" t="inlineStr">
        <is>
          <t>Company filings</t>
        </is>
      </c>
      <c r="D25" s="59" t="n">
        <v>0</v>
      </c>
      <c r="E25" s="59" t="n">
        <v>0</v>
      </c>
      <c r="F25" s="59" t="n">
        <v>0</v>
      </c>
      <c r="G25" s="59" t="n">
        <v>23.46</v>
      </c>
      <c r="H25" s="59" t="n">
        <v>0</v>
      </c>
      <c r="I25" s="59" t="n">
        <v>0</v>
      </c>
      <c r="J25" s="59" t="n">
        <v>0</v>
      </c>
      <c r="K25" s="59" t="n">
        <v>0</v>
      </c>
      <c r="L25" s="59" t="n">
        <v>0</v>
      </c>
      <c r="M25" s="59" t="n">
        <v>0</v>
      </c>
      <c r="N25" s="59" t="n">
        <v>0</v>
      </c>
      <c r="O25" s="59" t="n">
        <v>0</v>
      </c>
      <c r="P25" s="59" t="n">
        <v>0</v>
      </c>
      <c r="Q25" s="59" t="n">
        <v>0</v>
      </c>
      <c r="R25" s="59" t="n">
        <v>0</v>
      </c>
      <c r="S25" s="59" t="n">
        <v>0</v>
      </c>
      <c r="T25" s="59" t="n">
        <v>0</v>
      </c>
      <c r="U25" s="59" t="n">
        <v>0</v>
      </c>
      <c r="V25" s="59" t="n">
        <v>0</v>
      </c>
      <c r="W25" s="59" t="n">
        <v>0</v>
      </c>
      <c r="X25" s="59" t="n"/>
      <c r="Y25" s="59" t="n"/>
      <c r="Z25" s="59" t="n"/>
      <c r="AA25" s="59" t="n"/>
      <c r="AB25" s="8" t="n"/>
      <c r="AC25" s="59" t="n">
        <v>0</v>
      </c>
      <c r="AD25" s="59" t="n">
        <v>0</v>
      </c>
      <c r="AE25" s="59" t="n">
        <v>0</v>
      </c>
      <c r="AF25" s="59" t="n">
        <v>23.46</v>
      </c>
      <c r="AG25" s="59" t="n">
        <v>0</v>
      </c>
      <c r="AH25" s="59" t="n">
        <v>0</v>
      </c>
      <c r="AI25" s="59" t="n">
        <v>0</v>
      </c>
      <c r="AJ25" s="59" t="n">
        <v>0</v>
      </c>
      <c r="AL25" s="15" t="n"/>
      <c r="AM25" s="15" t="n"/>
      <c r="AN25" s="15" t="n"/>
      <c r="AO25" s="15" t="n"/>
      <c r="AP25" s="15" t="n"/>
    </row>
    <row r="26">
      <c r="A26" s="7" t="inlineStr">
        <is>
          <t>Deferred tax expense/(credit)</t>
        </is>
      </c>
      <c r="B26" s="8" t="inlineStr">
        <is>
          <t>INR Mn</t>
        </is>
      </c>
      <c r="C26" s="8" t="inlineStr">
        <is>
          <t>Company filings</t>
        </is>
      </c>
      <c r="D26" s="59" t="n">
        <v>-137.37</v>
      </c>
      <c r="E26" s="59" t="n">
        <v>-1.73</v>
      </c>
      <c r="F26" s="59" t="n">
        <v>-64.73999999999999</v>
      </c>
      <c r="G26" s="59" t="n">
        <v>-124.27</v>
      </c>
      <c r="H26" s="59" t="n">
        <v>-86.72</v>
      </c>
      <c r="I26" s="59" t="n">
        <v>-184.91</v>
      </c>
      <c r="J26" s="59" t="n">
        <v>-236.32</v>
      </c>
      <c r="K26" s="59" t="n">
        <v>-217.42</v>
      </c>
      <c r="L26" s="59" t="n">
        <v>-203.6</v>
      </c>
      <c r="M26" s="59" t="n">
        <v>-176.18</v>
      </c>
      <c r="N26" s="59" t="n">
        <v>-226.43</v>
      </c>
      <c r="O26" s="59" t="n">
        <v>-208.03</v>
      </c>
      <c r="P26" s="59" t="n">
        <v>-341.9</v>
      </c>
      <c r="Q26" s="59" t="n">
        <v>-133</v>
      </c>
      <c r="R26" s="59" t="n">
        <v>-144</v>
      </c>
      <c r="S26" s="59" t="n">
        <v>741.4</v>
      </c>
      <c r="T26" s="59" t="n">
        <v>15.1</v>
      </c>
      <c r="U26" s="59" t="n">
        <v>14.8</v>
      </c>
      <c r="V26" s="59" t="n">
        <v>139.6</v>
      </c>
      <c r="W26" s="59" t="n">
        <v>-281.5</v>
      </c>
      <c r="X26" s="59" t="n"/>
      <c r="Y26" s="59" t="n"/>
      <c r="Z26" s="59" t="n"/>
      <c r="AA26" s="59" t="n"/>
      <c r="AB26" s="8" t="n"/>
      <c r="AC26" s="59" t="n">
        <v>-71.81</v>
      </c>
      <c r="AD26" s="59" t="n">
        <v>-6.27</v>
      </c>
      <c r="AE26" s="59" t="n">
        <v>-266.85</v>
      </c>
      <c r="AF26" s="59" t="n">
        <v>-328.11</v>
      </c>
      <c r="AG26" s="59" t="n">
        <v>-725.37</v>
      </c>
      <c r="AH26" s="59" t="n">
        <v>-814.24</v>
      </c>
      <c r="AI26" s="59" t="n">
        <v>122.5</v>
      </c>
      <c r="AJ26" s="59" t="n">
        <v>-112</v>
      </c>
      <c r="AL26" s="15" t="n"/>
      <c r="AM26" s="15" t="n"/>
      <c r="AN26" s="15" t="n"/>
      <c r="AO26" s="15" t="n"/>
      <c r="AP26" s="15" t="n"/>
    </row>
    <row r="27">
      <c r="A27" s="7" t="inlineStr">
        <is>
          <t>Deferred tax credit for unrecognised business loss (earlier years)</t>
        </is>
      </c>
      <c r="B27" s="8" t="inlineStr">
        <is>
          <t>INR Mn</t>
        </is>
      </c>
      <c r="C27" s="8" t="inlineStr">
        <is>
          <t>Company filings</t>
        </is>
      </c>
      <c r="D27" s="59" t="n">
        <v>0</v>
      </c>
      <c r="E27" s="59" t="n">
        <v>0</v>
      </c>
      <c r="F27" s="59" t="n">
        <v>0</v>
      </c>
      <c r="G27" s="59" t="n">
        <v>-58.1</v>
      </c>
      <c r="H27" s="59" t="n">
        <v>0</v>
      </c>
      <c r="I27" s="59" t="n">
        <v>0</v>
      </c>
      <c r="J27" s="59" t="n">
        <v>0</v>
      </c>
      <c r="K27" s="59" t="n">
        <v>0</v>
      </c>
      <c r="L27" s="59" t="n">
        <v>0</v>
      </c>
      <c r="M27" s="59" t="n">
        <v>0</v>
      </c>
      <c r="N27" s="59" t="n">
        <v>0</v>
      </c>
      <c r="O27" s="59" t="n">
        <v>0</v>
      </c>
      <c r="P27" s="59" t="n">
        <v>0</v>
      </c>
      <c r="Q27" s="59" t="n">
        <v>0</v>
      </c>
      <c r="R27" s="59" t="n">
        <v>0</v>
      </c>
      <c r="S27" s="59" t="n">
        <v>0</v>
      </c>
      <c r="T27" s="59" t="n">
        <v>0</v>
      </c>
      <c r="U27" s="59" t="n">
        <v>0</v>
      </c>
      <c r="V27" s="59" t="n">
        <v>0</v>
      </c>
      <c r="W27" s="59" t="n">
        <v>0</v>
      </c>
      <c r="X27" s="59" t="n"/>
      <c r="Y27" s="59" t="n"/>
      <c r="Z27" s="59" t="n"/>
      <c r="AA27" s="59" t="n"/>
      <c r="AB27" s="8" t="n"/>
      <c r="AC27" s="59" t="n">
        <v>0</v>
      </c>
      <c r="AD27" s="59" t="n">
        <v>0</v>
      </c>
      <c r="AE27" s="59" t="n">
        <v>0</v>
      </c>
      <c r="AF27" s="59" t="n">
        <v>-58.1</v>
      </c>
      <c r="AG27" s="59" t="n">
        <v>0</v>
      </c>
      <c r="AH27" s="59" t="n">
        <v>0</v>
      </c>
      <c r="AI27" s="59" t="n">
        <v>0</v>
      </c>
      <c r="AJ27" s="59" t="n">
        <v>0</v>
      </c>
      <c r="AL27" s="15" t="n"/>
      <c r="AM27" s="15" t="n"/>
      <c r="AN27" s="15" t="n"/>
      <c r="AO27" s="15" t="n"/>
      <c r="AP27" s="15" t="n"/>
    </row>
    <row r="28">
      <c r="A28" s="1" t="inlineStr">
        <is>
          <t>Total Tax Expense/(Income)</t>
        </is>
      </c>
      <c r="B28" s="8" t="inlineStr">
        <is>
          <t>INR Mn</t>
        </is>
      </c>
      <c r="C28" s="8" t="n"/>
      <c r="D28" s="56">
        <f>SUM(D24:D27)</f>
        <v/>
      </c>
      <c r="E28" s="56">
        <f>SUM(E24:E27)</f>
        <v/>
      </c>
      <c r="F28" s="56">
        <f>SUM(F24:F27)</f>
        <v/>
      </c>
      <c r="G28" s="56">
        <f>SUM(G24:G27)</f>
        <v/>
      </c>
      <c r="H28" s="56">
        <f>SUM(H24:H27)</f>
        <v/>
      </c>
      <c r="I28" s="56">
        <f>SUM(I24:I27)</f>
        <v/>
      </c>
      <c r="J28" s="56">
        <f>SUM(J24:J27)</f>
        <v/>
      </c>
      <c r="K28" s="56">
        <f>SUM(K24:K27)</f>
        <v/>
      </c>
      <c r="L28" s="56">
        <f>SUM(L24:L27)</f>
        <v/>
      </c>
      <c r="M28" s="56">
        <f>SUM(M24:M27)</f>
        <v/>
      </c>
      <c r="N28" s="56">
        <f>SUM(N24:N27)</f>
        <v/>
      </c>
      <c r="O28" s="56">
        <f>SUM(O24:O27)</f>
        <v/>
      </c>
      <c r="P28" s="56">
        <f>SUM(P24:P27)</f>
        <v/>
      </c>
      <c r="Q28" s="56">
        <f>SUM(Q24:Q27)</f>
        <v/>
      </c>
      <c r="R28" s="56">
        <f>SUM(R24:R27)</f>
        <v/>
      </c>
      <c r="S28" s="56">
        <f>SUM(S24:S27)</f>
        <v/>
      </c>
      <c r="T28" s="56">
        <f>SUM(T24:T27)</f>
        <v/>
      </c>
      <c r="U28" s="56">
        <f>SUM(U24:U27)</f>
        <v/>
      </c>
      <c r="V28" s="56">
        <f>SUM(V24:V27)</f>
        <v/>
      </c>
      <c r="W28" s="56">
        <f>SUM(W24:W27)</f>
        <v/>
      </c>
      <c r="X28" s="56" t="n"/>
      <c r="Y28" s="56" t="n"/>
      <c r="Z28" s="56" t="n"/>
      <c r="AA28" s="56" t="n"/>
      <c r="AB28" s="8" t="n"/>
      <c r="AC28" s="60">
        <f>SUM(AC24:AC27)</f>
        <v/>
      </c>
      <c r="AD28" s="60">
        <f>SUM(AD24:AD27)</f>
        <v/>
      </c>
      <c r="AE28" s="60">
        <f>SUM(AE24:AE27)</f>
        <v/>
      </c>
      <c r="AF28" s="60">
        <f>SUM(AF24:AF27)</f>
        <v/>
      </c>
      <c r="AG28" s="60">
        <f>SUM(AG24:AG27)</f>
        <v/>
      </c>
      <c r="AH28" s="60">
        <f>SUM(AH24:AH27)</f>
        <v/>
      </c>
      <c r="AI28" s="60">
        <f>SUM(AI24:AI27)</f>
        <v/>
      </c>
      <c r="AJ28" s="60">
        <f>SUM(AJ24:AJ27)</f>
        <v/>
      </c>
      <c r="AL28" s="15" t="n"/>
      <c r="AM28" s="15" t="n"/>
      <c r="AN28" s="15" t="n"/>
      <c r="AO28" s="15" t="n"/>
      <c r="AP28" s="15" t="n"/>
    </row>
    <row r="29">
      <c r="AL29" s="15" t="n"/>
      <c r="AM29" s="15" t="n"/>
      <c r="AN29" s="15" t="n"/>
      <c r="AO29" s="15" t="n"/>
      <c r="AP29" s="15" t="n"/>
    </row>
    <row r="30">
      <c r="A30" s="1" t="inlineStr">
        <is>
          <t>Net Profit After Tax</t>
        </is>
      </c>
      <c r="B30" s="8" t="inlineStr">
        <is>
          <t>INR Mn</t>
        </is>
      </c>
      <c r="C30" s="8" t="n"/>
      <c r="D30" s="56">
        <f>D21-D28</f>
        <v/>
      </c>
      <c r="E30" s="56">
        <f>E21-E28</f>
        <v/>
      </c>
      <c r="F30" s="56">
        <f>F21-F28</f>
        <v/>
      </c>
      <c r="G30" s="56">
        <f>G21-G28</f>
        <v/>
      </c>
      <c r="H30" s="56">
        <f>H21-H28</f>
        <v/>
      </c>
      <c r="I30" s="56">
        <f>I21-I28</f>
        <v/>
      </c>
      <c r="J30" s="56">
        <f>J21-J28</f>
        <v/>
      </c>
      <c r="K30" s="56">
        <f>K21-K28</f>
        <v/>
      </c>
      <c r="L30" s="56">
        <f>L21-L28</f>
        <v/>
      </c>
      <c r="M30" s="56">
        <f>M21-M28</f>
        <v/>
      </c>
      <c r="N30" s="56">
        <f>N21-N28</f>
        <v/>
      </c>
      <c r="O30" s="56">
        <f>O21-O28</f>
        <v/>
      </c>
      <c r="P30" s="56">
        <f>P21-P28</f>
        <v/>
      </c>
      <c r="Q30" s="56">
        <f>Q21-Q28</f>
        <v/>
      </c>
      <c r="R30" s="56">
        <f>R21-R28</f>
        <v/>
      </c>
      <c r="S30" s="56">
        <f>S21-S28</f>
        <v/>
      </c>
      <c r="T30" s="56">
        <f>T21-T28</f>
        <v/>
      </c>
      <c r="U30" s="56">
        <f>U21-U28</f>
        <v/>
      </c>
      <c r="V30" s="56">
        <f>V21-V28</f>
        <v/>
      </c>
      <c r="W30" s="56">
        <f>W21-W28</f>
        <v/>
      </c>
      <c r="X30" s="56" t="n"/>
      <c r="Y30" s="56" t="n"/>
      <c r="Z30" s="56" t="n"/>
      <c r="AA30" s="56" t="n"/>
      <c r="AB30" s="8" t="n"/>
      <c r="AC30" s="60">
        <f>AC21-AC28</f>
        <v/>
      </c>
      <c r="AD30" s="60">
        <f>AD21-AD28</f>
        <v/>
      </c>
      <c r="AE30" s="60">
        <f>AE21-AE28</f>
        <v/>
      </c>
      <c r="AF30" s="60">
        <f>AF21-AF28</f>
        <v/>
      </c>
      <c r="AG30" s="60">
        <f>AG21-AG28</f>
        <v/>
      </c>
      <c r="AH30" s="60">
        <f>AH21-AH28</f>
        <v/>
      </c>
      <c r="AI30" s="60">
        <f>AI21-AI28</f>
        <v/>
      </c>
      <c r="AJ30" s="60">
        <f>AJ21-AJ28</f>
        <v/>
      </c>
      <c r="AL30" s="15" t="n"/>
      <c r="AM30" s="15" t="n"/>
      <c r="AN30" s="15" t="n"/>
      <c r="AO30" s="15" t="n"/>
      <c r="AP30" s="15" t="n"/>
    </row>
    <row r="31">
      <c r="A31" s="7" t="inlineStr">
        <is>
          <t>Share in profit/(loss) of associate</t>
        </is>
      </c>
      <c r="B31" s="8" t="inlineStr">
        <is>
          <t>INR Mn</t>
        </is>
      </c>
      <c r="C31" s="8" t="inlineStr">
        <is>
          <t>Company filings</t>
        </is>
      </c>
      <c r="D31" s="59" t="n">
        <v>0</v>
      </c>
      <c r="E31" s="59" t="n">
        <v>0</v>
      </c>
      <c r="F31" s="59" t="n">
        <v>0</v>
      </c>
      <c r="G31" s="59" t="n">
        <v>0</v>
      </c>
      <c r="H31" s="59" t="n">
        <v>-6.77</v>
      </c>
      <c r="I31" s="59" t="n">
        <v>-4.64</v>
      </c>
      <c r="J31" s="59" t="n">
        <v>-7.19</v>
      </c>
      <c r="K31" s="59" t="n">
        <v>-20</v>
      </c>
      <c r="L31" s="59" t="n">
        <v>-10.31</v>
      </c>
      <c r="M31" s="59" t="n">
        <v>-14.89</v>
      </c>
      <c r="N31" s="59" t="n">
        <v>-7.8</v>
      </c>
      <c r="O31" s="59" t="n">
        <v>-6.66</v>
      </c>
      <c r="P31" s="59" t="n">
        <v>-6</v>
      </c>
      <c r="Q31" s="59" t="n">
        <v>-4.7</v>
      </c>
      <c r="R31" s="59" t="n">
        <v>-5.6</v>
      </c>
      <c r="S31" s="59" t="n">
        <v>0</v>
      </c>
      <c r="T31" s="59" t="n">
        <v>0</v>
      </c>
      <c r="U31" s="59" t="n">
        <v>0</v>
      </c>
      <c r="V31" s="59" t="n">
        <v>0</v>
      </c>
      <c r="W31" s="59" t="n">
        <v>0</v>
      </c>
      <c r="X31" s="59" t="n"/>
      <c r="Y31" s="59" t="n"/>
      <c r="Z31" s="59" t="n"/>
      <c r="AA31" s="59" t="n"/>
      <c r="AB31" s="8" t="n"/>
      <c r="AC31" s="59" t="n">
        <v>0</v>
      </c>
      <c r="AD31" s="59" t="n">
        <v>0</v>
      </c>
      <c r="AE31" s="59" t="n">
        <v>0</v>
      </c>
      <c r="AF31" s="59" t="n">
        <v>0</v>
      </c>
      <c r="AG31" s="59" t="n">
        <v>-38.6</v>
      </c>
      <c r="AH31" s="59" t="n">
        <v>-39.67</v>
      </c>
      <c r="AI31" s="59" t="n">
        <v>-16.3</v>
      </c>
      <c r="AJ31" s="59" t="n">
        <v>0</v>
      </c>
      <c r="AL31" s="15" t="n"/>
      <c r="AM31" s="15" t="n"/>
      <c r="AN31" s="15" t="n"/>
      <c r="AO31" s="15" t="n"/>
      <c r="AP31" s="15" t="n"/>
    </row>
    <row r="32">
      <c r="A32" s="1" t="inlineStr">
        <is>
          <t>Net Profit/(Loss) for the Period</t>
        </is>
      </c>
      <c r="B32" s="8" t="inlineStr">
        <is>
          <t>INR Mn</t>
        </is>
      </c>
      <c r="C32" s="8" t="n"/>
      <c r="D32" s="56">
        <f>D30+D31</f>
        <v/>
      </c>
      <c r="E32" s="56">
        <f>E30+E31</f>
        <v/>
      </c>
      <c r="F32" s="56">
        <f>F30+F31</f>
        <v/>
      </c>
      <c r="G32" s="56">
        <f>G30+G31</f>
        <v/>
      </c>
      <c r="H32" s="56">
        <f>H30+H31</f>
        <v/>
      </c>
      <c r="I32" s="56">
        <f>I30+I31</f>
        <v/>
      </c>
      <c r="J32" s="56">
        <f>J30+J31</f>
        <v/>
      </c>
      <c r="K32" s="56">
        <f>K30+K31</f>
        <v/>
      </c>
      <c r="L32" s="56">
        <f>L30+L31</f>
        <v/>
      </c>
      <c r="M32" s="56">
        <f>M30+M31</f>
        <v/>
      </c>
      <c r="N32" s="56">
        <f>N30+N31</f>
        <v/>
      </c>
      <c r="O32" s="56">
        <f>O30+O31</f>
        <v/>
      </c>
      <c r="P32" s="56">
        <f>P30+P31</f>
        <v/>
      </c>
      <c r="Q32" s="56">
        <f>Q30+Q31</f>
        <v/>
      </c>
      <c r="R32" s="56">
        <f>R30+R31</f>
        <v/>
      </c>
      <c r="S32" s="56">
        <f>S30+S31</f>
        <v/>
      </c>
      <c r="T32" s="56">
        <f>T30+T31</f>
        <v/>
      </c>
      <c r="U32" s="56">
        <f>U30+U31</f>
        <v/>
      </c>
      <c r="V32" s="56">
        <f>V30+V31</f>
        <v/>
      </c>
      <c r="W32" s="56">
        <f>W30+W31</f>
        <v/>
      </c>
      <c r="X32" s="56" t="n"/>
      <c r="Y32" s="56" t="n"/>
      <c r="Z32" s="56" t="n"/>
      <c r="AA32" s="56" t="n"/>
      <c r="AB32" s="8" t="n"/>
      <c r="AC32" s="60">
        <f>AC30+AC31</f>
        <v/>
      </c>
      <c r="AD32" s="60">
        <f>AD30+AD31</f>
        <v/>
      </c>
      <c r="AE32" s="60">
        <f>AE30+AE31</f>
        <v/>
      </c>
      <c r="AF32" s="60">
        <f>AF30+AF31</f>
        <v/>
      </c>
      <c r="AG32" s="60">
        <f>AG30+AG31</f>
        <v/>
      </c>
      <c r="AH32" s="60">
        <f>AH30+AH31</f>
        <v/>
      </c>
      <c r="AI32" s="60">
        <f>AI30+AI31</f>
        <v/>
      </c>
      <c r="AJ32" s="60">
        <f>AJ30+AJ31</f>
        <v/>
      </c>
      <c r="AL32" s="15" t="n"/>
      <c r="AM32" s="15" t="n"/>
      <c r="AN32" s="15" t="n"/>
      <c r="AO32" s="15" t="n"/>
      <c r="AP32" s="15" t="n"/>
    </row>
    <row r="33">
      <c r="AL33" s="15" t="n"/>
      <c r="AM33" s="15" t="n"/>
      <c r="AN33" s="15" t="n"/>
      <c r="AO33" s="15" t="n"/>
      <c r="AP33" s="15" t="n"/>
    </row>
    <row r="34">
      <c r="A34" s="3" t="inlineStr">
        <is>
          <t>Attributable to:</t>
        </is>
      </c>
      <c r="AL34" s="15" t="n"/>
      <c r="AM34" s="15" t="n"/>
      <c r="AN34" s="15" t="n"/>
      <c r="AO34" s="15" t="n"/>
      <c r="AP34" s="15" t="n"/>
    </row>
    <row r="35">
      <c r="A35" s="10" t="inlineStr">
        <is>
          <t>Equity shareholders of parent</t>
        </is>
      </c>
      <c r="B35" s="8" t="inlineStr">
        <is>
          <t>INR Mn</t>
        </is>
      </c>
      <c r="C35" s="8" t="inlineStr">
        <is>
          <t>Company filings</t>
        </is>
      </c>
      <c r="D35" s="59" t="n">
        <v>34.15</v>
      </c>
      <c r="E35" s="59" t="n">
        <v>11.7</v>
      </c>
      <c r="F35" s="59" t="n">
        <v>279.3</v>
      </c>
      <c r="G35" s="59" t="n">
        <v>85.59999999999999</v>
      </c>
      <c r="H35" s="59" t="n">
        <v>45.5</v>
      </c>
      <c r="I35" s="59" t="n">
        <v>41.08</v>
      </c>
      <c r="J35" s="59" t="n">
        <v>81.93000000000001</v>
      </c>
      <c r="K35" s="59" t="n">
        <v>24.11</v>
      </c>
      <c r="L35" s="59" t="n">
        <v>33.03</v>
      </c>
      <c r="M35" s="59" t="n">
        <v>58.46</v>
      </c>
      <c r="N35" s="59" t="n">
        <v>161.86</v>
      </c>
      <c r="O35" s="59" t="n">
        <v>69.31</v>
      </c>
      <c r="P35" s="59" t="n">
        <v>96.40000000000001</v>
      </c>
      <c r="Q35" s="59" t="n">
        <v>100.4</v>
      </c>
      <c r="R35" s="59" t="n">
        <v>261.2</v>
      </c>
      <c r="S35" s="59" t="n">
        <v>202.8</v>
      </c>
      <c r="T35" s="59" t="n">
        <v>233.2</v>
      </c>
      <c r="U35" s="59" t="n">
        <v>344.3</v>
      </c>
      <c r="V35" s="59" t="n">
        <v>633.1</v>
      </c>
      <c r="W35" s="59" t="n">
        <v>783.8</v>
      </c>
      <c r="X35" s="59" t="n"/>
      <c r="Y35" s="59" t="n"/>
      <c r="Z35" s="59" t="n"/>
      <c r="AA35" s="59" t="n"/>
      <c r="AB35" s="8" t="n"/>
      <c r="AC35" s="59" t="n">
        <v>-245.18</v>
      </c>
      <c r="AD35" s="59" t="n">
        <v>-166.09</v>
      </c>
      <c r="AE35" s="59" t="n">
        <v>618.48</v>
      </c>
      <c r="AF35" s="59" t="n">
        <v>410.75</v>
      </c>
      <c r="AG35" s="59" t="n">
        <v>192.62</v>
      </c>
      <c r="AH35" s="59" t="n">
        <v>322.65</v>
      </c>
      <c r="AI35" s="59" t="n">
        <v>660.8</v>
      </c>
      <c r="AJ35" s="59" t="n">
        <v>1994.4</v>
      </c>
      <c r="AL35" s="15" t="n"/>
      <c r="AM35" s="15" t="n"/>
      <c r="AN35" s="15" t="n"/>
      <c r="AO35" s="15" t="n"/>
      <c r="AP35" s="15" t="n"/>
    </row>
    <row r="36">
      <c r="A36" s="10" t="inlineStr">
        <is>
          <t>Non-controlling interests</t>
        </is>
      </c>
      <c r="B36" s="8" t="inlineStr">
        <is>
          <t>INR Mn</t>
        </is>
      </c>
      <c r="C36" s="8" t="inlineStr">
        <is>
          <t>Company filings</t>
        </is>
      </c>
      <c r="D36" s="59" t="n">
        <v>1.07</v>
      </c>
      <c r="E36" s="59" t="n">
        <v>0.02</v>
      </c>
      <c r="F36" s="59" t="n">
        <v>10.85</v>
      </c>
      <c r="G36" s="59" t="n">
        <v>-9.81</v>
      </c>
      <c r="H36" s="59" t="n">
        <v>4.6</v>
      </c>
      <c r="I36" s="59" t="n">
        <v>10.83</v>
      </c>
      <c r="J36" s="59" t="n">
        <v>2.92</v>
      </c>
      <c r="K36" s="59" t="n">
        <v>-1.36</v>
      </c>
      <c r="L36" s="59" t="n">
        <v>21.22</v>
      </c>
      <c r="M36" s="59" t="n">
        <v>19.54</v>
      </c>
      <c r="N36" s="59" t="n">
        <v>12.68</v>
      </c>
      <c r="O36" s="59" t="n">
        <v>21.4</v>
      </c>
      <c r="P36" s="59" t="n">
        <v>40</v>
      </c>
      <c r="Q36" s="59" t="n">
        <v>29.3</v>
      </c>
      <c r="R36" s="59" t="n">
        <v>2.9</v>
      </c>
      <c r="S36" s="59" t="n">
        <v>-12.3</v>
      </c>
      <c r="T36" s="59" t="n">
        <v>11.5</v>
      </c>
      <c r="U36" s="59" t="n">
        <v>-14.5</v>
      </c>
      <c r="V36" s="59" t="n">
        <v>44.3</v>
      </c>
      <c r="W36" s="59" t="n">
        <v>3.7</v>
      </c>
      <c r="X36" s="59" t="n"/>
      <c r="Y36" s="59" t="n"/>
      <c r="Z36" s="59" t="n"/>
      <c r="AA36" s="59" t="n"/>
      <c r="AB36" s="8" t="n"/>
      <c r="AC36" s="59" t="n">
        <v>-0.21</v>
      </c>
      <c r="AD36" s="59" t="n">
        <v>2.69</v>
      </c>
      <c r="AE36" s="59" t="n">
        <v>0.97</v>
      </c>
      <c r="AF36" s="59" t="n">
        <v>2.13</v>
      </c>
      <c r="AG36" s="59" t="n">
        <v>16.99</v>
      </c>
      <c r="AH36" s="59" t="n">
        <v>74.84</v>
      </c>
      <c r="AI36" s="59" t="n">
        <v>59.9</v>
      </c>
      <c r="AJ36" s="59" t="n">
        <v>45</v>
      </c>
      <c r="AL36" s="15" t="n"/>
      <c r="AM36" s="15" t="n"/>
      <c r="AN36" s="15" t="n"/>
      <c r="AO36" s="15" t="n"/>
      <c r="AP36" s="15" t="n"/>
    </row>
    <row r="37">
      <c r="AL37" s="15" t="n"/>
      <c r="AM37" s="15" t="n"/>
      <c r="AN37" s="15" t="n"/>
      <c r="AO37" s="15" t="n"/>
      <c r="AP37" s="15" t="n"/>
    </row>
    <row r="38">
      <c r="A38" s="7" t="inlineStr">
        <is>
          <t>Total Other Comprehensive Income/(Loss), net of tax</t>
        </is>
      </c>
      <c r="B38" s="8" t="inlineStr">
        <is>
          <t>INR Mn</t>
        </is>
      </c>
      <c r="C38" s="8" t="inlineStr">
        <is>
          <t>Company filings</t>
        </is>
      </c>
      <c r="D38" s="61" t="n"/>
      <c r="E38" s="61" t="n"/>
      <c r="F38" s="61" t="n"/>
      <c r="G38" s="61" t="n"/>
      <c r="H38" s="61" t="n"/>
      <c r="I38" s="61" t="n"/>
      <c r="J38" s="61" t="n"/>
      <c r="K38" s="61" t="n"/>
      <c r="L38" s="61" t="n"/>
      <c r="M38" s="61" t="n"/>
      <c r="N38" s="61" t="n"/>
      <c r="O38" s="61" t="n"/>
      <c r="P38" s="59" t="n">
        <v>0</v>
      </c>
      <c r="Q38" s="59" t="n">
        <v>-20.2</v>
      </c>
      <c r="R38" s="59" t="n">
        <v>-1.3</v>
      </c>
      <c r="S38" s="59" t="n">
        <v>-21.6</v>
      </c>
      <c r="T38" s="59" t="n">
        <v>1.2</v>
      </c>
      <c r="U38" s="59" t="n">
        <v>22.5</v>
      </c>
      <c r="V38" s="59" t="n">
        <v>4.8</v>
      </c>
      <c r="W38" s="59" t="n">
        <v>23.5</v>
      </c>
      <c r="X38" s="59" t="n"/>
      <c r="Y38" s="59" t="n"/>
      <c r="Z38" s="59" t="n"/>
      <c r="AA38" s="59" t="n"/>
      <c r="AB38" s="8" t="n"/>
      <c r="AC38" s="59" t="n">
        <v>2.51</v>
      </c>
      <c r="AD38" s="59" t="n">
        <v>1.09</v>
      </c>
      <c r="AE38" s="59" t="n">
        <v>-21.8</v>
      </c>
      <c r="AF38" s="59" t="n">
        <v>5.56</v>
      </c>
      <c r="AG38" s="59" t="n">
        <v>1.57</v>
      </c>
      <c r="AH38" s="59" t="n">
        <v>4.43</v>
      </c>
      <c r="AI38" s="59" t="n">
        <v>-43.1</v>
      </c>
      <c r="AJ38" s="59" t="n">
        <v>52</v>
      </c>
      <c r="AL38" s="16">
        <f>SUM(D38:G38)-AF38</f>
        <v/>
      </c>
      <c r="AM38" s="16">
        <f>SUM(H38:K38)-AG38</f>
        <v/>
      </c>
      <c r="AN38" s="16">
        <f>SUM(L38:O38)-AH38</f>
        <v/>
      </c>
      <c r="AO38" s="15" t="n"/>
      <c r="AP38" s="15" t="n"/>
    </row>
    <row r="39">
      <c r="A39" s="1" t="inlineStr">
        <is>
          <t>Total Comprehensive Income/(Loss)</t>
        </is>
      </c>
      <c r="B39" s="8" t="inlineStr">
        <is>
          <t>INR Mn</t>
        </is>
      </c>
      <c r="C39" s="8" t="n"/>
      <c r="D39" s="60">
        <f>D32+D38</f>
        <v/>
      </c>
      <c r="E39" s="60">
        <f>E32+E38</f>
        <v/>
      </c>
      <c r="F39" s="60">
        <f>F32+F38</f>
        <v/>
      </c>
      <c r="G39" s="60">
        <f>G32+G38</f>
        <v/>
      </c>
      <c r="H39" s="60">
        <f>H32+H38</f>
        <v/>
      </c>
      <c r="I39" s="60">
        <f>I32+I38</f>
        <v/>
      </c>
      <c r="J39" s="60">
        <f>J32+J38</f>
        <v/>
      </c>
      <c r="K39" s="60">
        <f>K32+K38</f>
        <v/>
      </c>
      <c r="L39" s="60">
        <f>L32+L38</f>
        <v/>
      </c>
      <c r="M39" s="60">
        <f>M32+M38</f>
        <v/>
      </c>
      <c r="N39" s="60">
        <f>N32+N38</f>
        <v/>
      </c>
      <c r="O39" s="60">
        <f>O32+O38</f>
        <v/>
      </c>
      <c r="P39" s="60">
        <f>P32+P38</f>
        <v/>
      </c>
      <c r="Q39" s="60">
        <f>Q32+Q38</f>
        <v/>
      </c>
      <c r="R39" s="60">
        <f>R32+R38</f>
        <v/>
      </c>
      <c r="S39" s="60">
        <f>S32+S38</f>
        <v/>
      </c>
      <c r="T39" s="60">
        <f>T32+T38</f>
        <v/>
      </c>
      <c r="U39" s="60">
        <f>U32+U38</f>
        <v/>
      </c>
      <c r="V39" s="60">
        <f>V32+V38</f>
        <v/>
      </c>
      <c r="W39" s="60">
        <f>W32+W38</f>
        <v/>
      </c>
      <c r="X39" s="60" t="n"/>
      <c r="Y39" s="60" t="n"/>
      <c r="Z39" s="60" t="n"/>
      <c r="AA39" s="60" t="n"/>
      <c r="AB39" s="8" t="n"/>
      <c r="AC39" s="60">
        <f>AC32+AC38</f>
        <v/>
      </c>
      <c r="AD39" s="60">
        <f>AD32+AD38</f>
        <v/>
      </c>
      <c r="AE39" s="60">
        <f>AE32+AE38</f>
        <v/>
      </c>
      <c r="AF39" s="60">
        <f>AF32+AF38</f>
        <v/>
      </c>
      <c r="AG39" s="60">
        <f>AG32+AG38</f>
        <v/>
      </c>
      <c r="AH39" s="60">
        <f>AH32+AH38</f>
        <v/>
      </c>
      <c r="AI39" s="60">
        <f>AI32+AI38</f>
        <v/>
      </c>
      <c r="AJ39" s="60">
        <f>AJ32+AJ38</f>
        <v/>
      </c>
      <c r="AL39" s="16">
        <f>SUM(D39:G39)-AF39</f>
        <v/>
      </c>
      <c r="AM39" s="16">
        <f>SUM(H39:K39)-AG39</f>
        <v/>
      </c>
      <c r="AN39" s="16">
        <f>SUM(L39:O39)-AH39</f>
        <v/>
      </c>
      <c r="AO39" s="15" t="n"/>
      <c r="AP39" s="15" t="n"/>
    </row>
    <row r="40">
      <c r="AL40" s="15" t="n"/>
      <c r="AM40" s="15" t="n"/>
      <c r="AN40" s="15" t="n"/>
      <c r="AO40" s="15" t="n"/>
      <c r="AP40" s="15" t="n"/>
    </row>
    <row r="41">
      <c r="A41" s="7" t="inlineStr">
        <is>
          <t>Basic EPS</t>
        </is>
      </c>
      <c r="B41" s="8" t="inlineStr">
        <is>
          <t>INR</t>
        </is>
      </c>
      <c r="C41" s="8" t="inlineStr">
        <is>
          <t>Company filings</t>
        </is>
      </c>
      <c r="D41" s="11" t="n">
        <v>0.08</v>
      </c>
      <c r="E41" s="11" t="n">
        <v>0.03</v>
      </c>
      <c r="F41" s="11" t="n">
        <v>0.6</v>
      </c>
      <c r="G41" s="11" t="n">
        <v>0.18</v>
      </c>
      <c r="H41" s="11" t="n">
        <v>0</v>
      </c>
      <c r="I41" s="11" t="n">
        <v>0.01</v>
      </c>
      <c r="J41" s="11" t="n">
        <v>0.03</v>
      </c>
      <c r="K41" s="11" t="n">
        <v>0.01</v>
      </c>
      <c r="L41" s="11" t="n">
        <v>0.02</v>
      </c>
      <c r="M41" s="11" t="n">
        <v>0.02</v>
      </c>
      <c r="N41" s="11" t="n">
        <v>0.06</v>
      </c>
      <c r="O41" s="11" t="n">
        <v>0.02</v>
      </c>
      <c r="P41" s="11" t="n">
        <v>0.03</v>
      </c>
      <c r="Q41" s="11" t="n">
        <v>0.04</v>
      </c>
      <c r="R41" s="11" t="n">
        <v>0.09</v>
      </c>
      <c r="S41" s="11" t="n">
        <v>0.07000000000000001</v>
      </c>
      <c r="T41" s="11" t="n">
        <v>0.08</v>
      </c>
      <c r="U41" s="11" t="n">
        <v>0.12</v>
      </c>
      <c r="V41" s="11" t="n">
        <v>0.22</v>
      </c>
      <c r="W41" s="11" t="n">
        <v>0.27</v>
      </c>
      <c r="X41" s="11" t="n"/>
      <c r="Y41" s="11" t="n"/>
      <c r="Z41" s="11" t="n"/>
      <c r="AA41" s="11" t="n"/>
      <c r="AB41" s="8" t="n"/>
      <c r="AC41" s="11" t="n">
        <v>-17.7</v>
      </c>
      <c r="AD41" s="11" t="n">
        <v>-11.63</v>
      </c>
      <c r="AE41" s="11" t="n">
        <v>41.66</v>
      </c>
      <c r="AF41" s="11" t="n">
        <v>0.88</v>
      </c>
      <c r="AG41" s="11" t="n">
        <v>0.07000000000000001</v>
      </c>
      <c r="AH41" s="11" t="n">
        <v>0.11</v>
      </c>
      <c r="AI41" s="11" t="n">
        <v>0.23</v>
      </c>
      <c r="AJ41" s="11" t="n">
        <v>0.7</v>
      </c>
      <c r="AL41" s="15" t="n"/>
      <c r="AM41" s="15" t="n"/>
      <c r="AN41" s="15" t="n"/>
      <c r="AO41" s="15" t="n"/>
      <c r="AP41" s="15" t="n"/>
    </row>
    <row r="42">
      <c r="A42" s="7" t="inlineStr">
        <is>
          <t>Diluted EPS</t>
        </is>
      </c>
      <c r="B42" s="8" t="inlineStr">
        <is>
          <t>INR</t>
        </is>
      </c>
      <c r="C42" s="8" t="inlineStr">
        <is>
          <t>Company filings</t>
        </is>
      </c>
      <c r="D42" s="11" t="n">
        <v>0.07000000000000001</v>
      </c>
      <c r="E42" s="11" t="n">
        <v>0.03</v>
      </c>
      <c r="F42" s="11" t="n">
        <v>0.6</v>
      </c>
      <c r="G42" s="11" t="n">
        <v>0.18</v>
      </c>
      <c r="H42" s="11" t="n">
        <v>0</v>
      </c>
      <c r="I42" s="11" t="n">
        <v>0.01</v>
      </c>
      <c r="J42" s="11" t="n">
        <v>0.03</v>
      </c>
      <c r="K42" s="11" t="n">
        <v>0.01</v>
      </c>
      <c r="L42" s="11" t="n">
        <v>0.02</v>
      </c>
      <c r="M42" s="11" t="n">
        <v>0.02</v>
      </c>
      <c r="N42" s="11" t="n">
        <v>0.06</v>
      </c>
      <c r="O42" s="11" t="n">
        <v>0.02</v>
      </c>
      <c r="P42" s="11" t="n">
        <v>0.03</v>
      </c>
      <c r="Q42" s="11" t="n">
        <v>0.04</v>
      </c>
      <c r="R42" s="11" t="n">
        <v>0.09</v>
      </c>
      <c r="S42" s="11" t="n">
        <v>0.07000000000000001</v>
      </c>
      <c r="T42" s="11" t="n">
        <v>0.08</v>
      </c>
      <c r="U42" s="11" t="n">
        <v>0.12</v>
      </c>
      <c r="V42" s="11" t="n">
        <v>0.22</v>
      </c>
      <c r="W42" s="11" t="n">
        <v>0.27</v>
      </c>
      <c r="X42" s="11" t="n"/>
      <c r="Y42" s="11" t="n"/>
      <c r="Z42" s="11" t="n"/>
      <c r="AA42" s="11" t="n"/>
      <c r="AB42" s="8" t="n"/>
      <c r="AC42" s="11" t="n">
        <v>-17.7</v>
      </c>
      <c r="AD42" s="11" t="n">
        <v>-11.63</v>
      </c>
      <c r="AE42" s="11" t="n">
        <v>40.07</v>
      </c>
      <c r="AF42" s="11" t="n">
        <v>0.87</v>
      </c>
      <c r="AG42" s="11" t="n">
        <v>0.07000000000000001</v>
      </c>
      <c r="AH42" s="11" t="n">
        <v>0.11</v>
      </c>
      <c r="AI42" s="11" t="n">
        <v>0.23</v>
      </c>
      <c r="AJ42" s="11" t="n">
        <v>0.7</v>
      </c>
      <c r="AL42" s="15" t="n"/>
      <c r="AM42" s="15" t="n"/>
      <c r="AN42" s="15" t="n"/>
      <c r="AO42" s="15" t="n"/>
      <c r="AP42" s="15" t="n"/>
    </row>
    <row r="43">
      <c r="A43" s="8" t="inlineStr">
        <is>
          <t>Note: FY19-FY21 EPS computed on face value of Rs 10/share (Restated Ind AS statements, RHP); face value changed to Re 1/share from FY22 following share sub-division. Not directly comparable across the break.</t>
        </is>
      </c>
    </row>
    <row r="46">
      <c r="A46" s="5" t="inlineStr">
        <is>
          <t>BALANCE SHEET (CONSOLIDATED)</t>
        </is>
      </c>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c r="AJ46" s="6" t="n"/>
    </row>
    <row r="47">
      <c r="A47" s="9" t="inlineStr">
        <is>
          <t>ASSETS</t>
        </is>
      </c>
    </row>
    <row r="48">
      <c r="A48" s="9" t="inlineStr">
        <is>
          <t>Non-current assets</t>
        </is>
      </c>
    </row>
    <row r="49">
      <c r="A49" s="10" t="inlineStr">
        <is>
          <t>Property, plant and equipment</t>
        </is>
      </c>
      <c r="B49" s="8" t="inlineStr">
        <is>
          <t>INR Mn</t>
        </is>
      </c>
      <c r="C49" s="8" t="inlineStr">
        <is>
          <t>Company filings</t>
        </is>
      </c>
      <c r="D49" s="62" t="n"/>
      <c r="E49" s="61" t="n"/>
      <c r="F49" s="62" t="n"/>
      <c r="G49" s="59" t="n">
        <v>1244.42</v>
      </c>
      <c r="H49" s="62" t="n"/>
      <c r="I49" s="59" t="n">
        <v>1713.47</v>
      </c>
      <c r="J49" s="62" t="n"/>
      <c r="K49" s="59" t="n">
        <v>2313.46</v>
      </c>
      <c r="L49" s="62" t="n"/>
      <c r="M49" s="59" t="n">
        <v>2315.23</v>
      </c>
      <c r="N49" s="62" t="n"/>
      <c r="O49" s="59" t="n">
        <v>2357.72</v>
      </c>
      <c r="P49" s="62" t="n"/>
      <c r="Q49" s="59" t="n">
        <v>2351.5</v>
      </c>
      <c r="R49" s="62" t="n"/>
      <c r="S49" s="59" t="n">
        <v>2717.2</v>
      </c>
      <c r="T49" s="62" t="n"/>
      <c r="U49" s="59" t="n">
        <v>2712.6</v>
      </c>
      <c r="V49" s="62" t="n"/>
      <c r="W49" s="59" t="n">
        <v>2999.7</v>
      </c>
      <c r="X49" s="59" t="n"/>
      <c r="Y49" s="59" t="n"/>
      <c r="Z49" s="59" t="n"/>
      <c r="AA49" s="59" t="n"/>
      <c r="AB49" s="8" t="n"/>
      <c r="AC49" s="59" t="n">
        <v>429.05</v>
      </c>
      <c r="AD49" s="59" t="n">
        <v>701.49</v>
      </c>
      <c r="AE49" s="59" t="n">
        <v>686.52</v>
      </c>
      <c r="AF49" s="59" t="n">
        <v>1244.42</v>
      </c>
      <c r="AG49" s="59" t="n">
        <v>2313.46</v>
      </c>
      <c r="AH49" s="59" t="n">
        <v>2357.72</v>
      </c>
      <c r="AI49" s="59" t="n">
        <v>2717.2</v>
      </c>
      <c r="AJ49" s="59" t="n">
        <v>2999.7</v>
      </c>
    </row>
    <row r="50">
      <c r="A50" s="10" t="inlineStr">
        <is>
          <t>Capital work-in-progress</t>
        </is>
      </c>
      <c r="B50" s="8" t="inlineStr">
        <is>
          <t>INR Mn</t>
        </is>
      </c>
      <c r="C50" s="8" t="inlineStr">
        <is>
          <t>Company filings</t>
        </is>
      </c>
      <c r="D50" s="62" t="n"/>
      <c r="E50" s="61" t="n"/>
      <c r="F50" s="62" t="n"/>
      <c r="G50" s="59" t="n">
        <v>97.64</v>
      </c>
      <c r="H50" s="62" t="n"/>
      <c r="I50" s="59" t="n">
        <v>108.64</v>
      </c>
      <c r="J50" s="62" t="n"/>
      <c r="K50" s="59" t="n">
        <v>20.22</v>
      </c>
      <c r="L50" s="62" t="n"/>
      <c r="M50" s="59" t="n">
        <v>8.52</v>
      </c>
      <c r="N50" s="62" t="n"/>
      <c r="O50" s="59" t="n">
        <v>60.77</v>
      </c>
      <c r="P50" s="62" t="n"/>
      <c r="Q50" s="59" t="n">
        <v>20.6</v>
      </c>
      <c r="R50" s="62" t="n"/>
      <c r="S50" s="59" t="n">
        <v>31.7</v>
      </c>
      <c r="T50" s="62" t="n"/>
      <c r="U50" s="59" t="n">
        <v>46.9</v>
      </c>
      <c r="V50" s="62" t="n"/>
      <c r="W50" s="59" t="n">
        <v>92.5</v>
      </c>
      <c r="X50" s="59" t="n"/>
      <c r="Y50" s="59" t="n"/>
      <c r="Z50" s="59" t="n"/>
      <c r="AA50" s="59" t="n"/>
      <c r="AB50" s="8" t="n"/>
      <c r="AC50" s="59" t="n">
        <v>3.2</v>
      </c>
      <c r="AD50" s="59" t="n">
        <v>7.78</v>
      </c>
      <c r="AE50" s="59" t="n">
        <v>19.69</v>
      </c>
      <c r="AF50" s="59" t="n">
        <v>97.64</v>
      </c>
      <c r="AG50" s="59" t="n">
        <v>20.22</v>
      </c>
      <c r="AH50" s="59" t="n">
        <v>60.77</v>
      </c>
      <c r="AI50" s="59" t="n">
        <v>31.7</v>
      </c>
      <c r="AJ50" s="59" t="n">
        <v>92.5</v>
      </c>
    </row>
    <row r="51">
      <c r="A51" s="10" t="inlineStr">
        <is>
          <t>Goodwill</t>
        </is>
      </c>
      <c r="B51" s="8" t="inlineStr">
        <is>
          <t>INR Mn</t>
        </is>
      </c>
      <c r="C51" s="8" t="inlineStr">
        <is>
          <t>Company filings</t>
        </is>
      </c>
      <c r="D51" s="62" t="n"/>
      <c r="E51" s="61" t="n"/>
      <c r="F51" s="62" t="n"/>
      <c r="G51" s="59" t="n">
        <v>474.78</v>
      </c>
      <c r="H51" s="62" t="n"/>
      <c r="I51" s="59" t="n">
        <v>789.04</v>
      </c>
      <c r="J51" s="62" t="n"/>
      <c r="K51" s="59" t="n">
        <v>610.65</v>
      </c>
      <c r="L51" s="62" t="n"/>
      <c r="M51" s="59" t="n">
        <v>610.65</v>
      </c>
      <c r="N51" s="62" t="n"/>
      <c r="O51" s="59" t="n">
        <v>610.65</v>
      </c>
      <c r="P51" s="62" t="n"/>
      <c r="Q51" s="59" t="n">
        <v>610.7</v>
      </c>
      <c r="R51" s="62" t="n"/>
      <c r="S51" s="59" t="n">
        <v>975</v>
      </c>
      <c r="T51" s="62" t="n"/>
      <c r="U51" s="59" t="n">
        <v>975.1</v>
      </c>
      <c r="V51" s="62" t="n"/>
      <c r="W51" s="59" t="n">
        <v>975</v>
      </c>
      <c r="X51" s="59" t="n"/>
      <c r="Y51" s="59" t="n"/>
      <c r="Z51" s="59" t="n"/>
      <c r="AA51" s="59" t="n"/>
      <c r="AB51" s="8" t="n"/>
      <c r="AC51" s="59" t="n">
        <v>1.43</v>
      </c>
      <c r="AD51" s="59" t="n">
        <v>1.43</v>
      </c>
      <c r="AE51" s="59" t="n">
        <v>5.43</v>
      </c>
      <c r="AF51" s="59" t="n">
        <v>474.78</v>
      </c>
      <c r="AG51" s="59" t="n">
        <v>610.65</v>
      </c>
      <c r="AH51" s="59" t="n">
        <v>610.65</v>
      </c>
      <c r="AI51" s="59" t="n">
        <v>975</v>
      </c>
      <c r="AJ51" s="59" t="n">
        <v>975</v>
      </c>
    </row>
    <row r="52">
      <c r="A52" s="10" t="inlineStr">
        <is>
          <t>Other intangible assets</t>
        </is>
      </c>
      <c r="B52" s="8" t="inlineStr">
        <is>
          <t>INR Mn</t>
        </is>
      </c>
      <c r="C52" s="8" t="inlineStr">
        <is>
          <t>Company filings</t>
        </is>
      </c>
      <c r="D52" s="62" t="n"/>
      <c r="E52" s="61" t="n"/>
      <c r="F52" s="62" t="n"/>
      <c r="G52" s="59" t="n">
        <v>640.05</v>
      </c>
      <c r="H52" s="62" t="n"/>
      <c r="I52" s="59" t="n">
        <v>664.77</v>
      </c>
      <c r="J52" s="62" t="n"/>
      <c r="K52" s="59" t="n">
        <v>944.85</v>
      </c>
      <c r="L52" s="62" t="n"/>
      <c r="M52" s="59" t="n">
        <v>1009.09</v>
      </c>
      <c r="N52" s="62" t="n"/>
      <c r="O52" s="59" t="n">
        <v>1104.67</v>
      </c>
      <c r="P52" s="62" t="n"/>
      <c r="Q52" s="59" t="n">
        <v>1063.9</v>
      </c>
      <c r="R52" s="62" t="n"/>
      <c r="S52" s="59" t="n">
        <v>1357.4</v>
      </c>
      <c r="T52" s="62" t="n"/>
      <c r="U52" s="59" t="n">
        <v>1244.3</v>
      </c>
      <c r="V52" s="62" t="n"/>
      <c r="W52" s="59" t="n">
        <v>1490.1</v>
      </c>
      <c r="X52" s="59" t="n"/>
      <c r="Y52" s="59" t="n"/>
      <c r="Z52" s="59" t="n"/>
      <c r="AA52" s="59" t="n"/>
      <c r="AB52" s="8" t="n"/>
      <c r="AC52" s="59" t="n">
        <v>106.03</v>
      </c>
      <c r="AD52" s="59" t="n">
        <v>127.45</v>
      </c>
      <c r="AE52" s="59" t="n">
        <v>230.34</v>
      </c>
      <c r="AF52" s="59" t="n">
        <v>640.05</v>
      </c>
      <c r="AG52" s="59" t="n">
        <v>944.85</v>
      </c>
      <c r="AH52" s="59" t="n">
        <v>1104.67</v>
      </c>
      <c r="AI52" s="59" t="n">
        <v>1357.4</v>
      </c>
      <c r="AJ52" s="59" t="n">
        <v>1490.1</v>
      </c>
    </row>
    <row r="53">
      <c r="A53" s="10" t="inlineStr">
        <is>
          <t>Right of use assets</t>
        </is>
      </c>
      <c r="B53" s="8" t="inlineStr">
        <is>
          <t>INR Mn</t>
        </is>
      </c>
      <c r="C53" s="8" t="inlineStr">
        <is>
          <t>Company filings</t>
        </is>
      </c>
      <c r="D53" s="62" t="n"/>
      <c r="E53" s="61" t="n"/>
      <c r="F53" s="62" t="n"/>
      <c r="G53" s="59" t="n">
        <v>2473.26</v>
      </c>
      <c r="H53" s="62" t="n"/>
      <c r="I53" s="59" t="n">
        <v>4069.36</v>
      </c>
      <c r="J53" s="62" t="n"/>
      <c r="K53" s="59" t="n">
        <v>3119.21</v>
      </c>
      <c r="L53" s="62" t="n"/>
      <c r="M53" s="59" t="n">
        <v>2768.35</v>
      </c>
      <c r="N53" s="62" t="n"/>
      <c r="O53" s="59" t="n">
        <v>2608.54</v>
      </c>
      <c r="P53" s="62" t="n"/>
      <c r="Q53" s="59" t="n">
        <v>2786.2</v>
      </c>
      <c r="R53" s="62" t="n"/>
      <c r="S53" s="59" t="n">
        <v>3298.6</v>
      </c>
      <c r="T53" s="62" t="n"/>
      <c r="U53" s="59" t="n">
        <v>3865.4</v>
      </c>
      <c r="V53" s="62" t="n"/>
      <c r="W53" s="59" t="n">
        <v>4614.7</v>
      </c>
      <c r="X53" s="59" t="n"/>
      <c r="Y53" s="59" t="n"/>
      <c r="Z53" s="59" t="n"/>
      <c r="AA53" s="59" t="n"/>
      <c r="AB53" s="8" t="n"/>
      <c r="AC53" s="59" t="n">
        <v>859.3099999999999</v>
      </c>
      <c r="AD53" s="59" t="n">
        <v>1439.94</v>
      </c>
      <c r="AE53" s="59" t="n">
        <v>1389.34</v>
      </c>
      <c r="AF53" s="59" t="n">
        <v>2473.26</v>
      </c>
      <c r="AG53" s="59" t="n">
        <v>3119.21</v>
      </c>
      <c r="AH53" s="59" t="n">
        <v>2608.54</v>
      </c>
      <c r="AI53" s="59" t="n">
        <v>3298.6</v>
      </c>
      <c r="AJ53" s="59" t="n">
        <v>4614.7</v>
      </c>
    </row>
    <row r="54">
      <c r="A54" s="10" t="inlineStr">
        <is>
          <t>Intangible assets under development</t>
        </is>
      </c>
      <c r="B54" s="8" t="inlineStr">
        <is>
          <t>INR Mn</t>
        </is>
      </c>
      <c r="C54" s="8" t="inlineStr">
        <is>
          <t>Company filings</t>
        </is>
      </c>
      <c r="D54" s="62" t="n"/>
      <c r="E54" s="61" t="n"/>
      <c r="F54" s="62" t="n"/>
      <c r="G54" s="59" t="n">
        <v>147.31</v>
      </c>
      <c r="H54" s="62" t="n"/>
      <c r="I54" s="59" t="n">
        <v>246.38</v>
      </c>
      <c r="J54" s="62" t="n"/>
      <c r="K54" s="59" t="n">
        <v>288.56</v>
      </c>
      <c r="L54" s="62" t="n"/>
      <c r="M54" s="59" t="n">
        <v>254.59</v>
      </c>
      <c r="N54" s="62" t="n"/>
      <c r="O54" s="59" t="n">
        <v>236.99</v>
      </c>
      <c r="P54" s="62" t="n"/>
      <c r="Q54" s="59" t="n">
        <v>328.7</v>
      </c>
      <c r="R54" s="62" t="n"/>
      <c r="S54" s="59" t="n">
        <v>335.7</v>
      </c>
      <c r="T54" s="62" t="n"/>
      <c r="U54" s="59" t="n">
        <v>402.2</v>
      </c>
      <c r="V54" s="62" t="n"/>
      <c r="W54" s="59" t="n">
        <v>0</v>
      </c>
      <c r="X54" s="59" t="n"/>
      <c r="Y54" s="59" t="n"/>
      <c r="Z54" s="59" t="n"/>
      <c r="AA54" s="59" t="n"/>
      <c r="AB54" s="8" t="n"/>
      <c r="AC54" s="59" t="n">
        <v>0</v>
      </c>
      <c r="AD54" s="59" t="n">
        <v>12.45</v>
      </c>
      <c r="AE54" s="59" t="n">
        <v>3.88</v>
      </c>
      <c r="AF54" s="59" t="n">
        <v>147.31</v>
      </c>
      <c r="AG54" s="59" t="n">
        <v>288.56</v>
      </c>
      <c r="AH54" s="59" t="n">
        <v>236.99</v>
      </c>
      <c r="AI54" s="59" t="n">
        <v>335.7</v>
      </c>
      <c r="AJ54" s="59" t="n">
        <v>0</v>
      </c>
    </row>
    <row r="55">
      <c r="A55" s="10" t="inlineStr">
        <is>
          <t>Investments accounted for using equity method</t>
        </is>
      </c>
      <c r="B55" s="8" t="inlineStr">
        <is>
          <t>INR Mn</t>
        </is>
      </c>
      <c r="C55" s="8" t="inlineStr">
        <is>
          <t>Company filings</t>
        </is>
      </c>
      <c r="D55" s="62" t="n"/>
      <c r="E55" s="61" t="n"/>
      <c r="F55" s="62" t="n"/>
      <c r="G55" s="59" t="n">
        <v>0</v>
      </c>
      <c r="H55" s="62" t="n"/>
      <c r="I55" s="59" t="n">
        <v>0</v>
      </c>
      <c r="J55" s="62" t="n"/>
      <c r="K55" s="59" t="n">
        <v>0</v>
      </c>
      <c r="L55" s="62" t="n"/>
      <c r="M55" s="59" t="n">
        <v>0</v>
      </c>
      <c r="N55" s="62" t="n"/>
      <c r="O55" s="59" t="n">
        <v>338.23</v>
      </c>
      <c r="P55" s="62" t="n"/>
      <c r="Q55" s="59" t="n">
        <v>327.6</v>
      </c>
      <c r="R55" s="62" t="n"/>
      <c r="S55" s="59" t="n">
        <v>0</v>
      </c>
      <c r="T55" s="62" t="n"/>
      <c r="U55" s="59" t="n">
        <v>0</v>
      </c>
      <c r="V55" s="62" t="n"/>
      <c r="W55" s="59" t="n">
        <v>0</v>
      </c>
      <c r="X55" s="59" t="n"/>
      <c r="Y55" s="59" t="n"/>
      <c r="Z55" s="59" t="n"/>
      <c r="AA55" s="59" t="n"/>
      <c r="AB55" s="8" t="n"/>
      <c r="AC55" s="59" t="n">
        <v>0</v>
      </c>
      <c r="AD55" s="59" t="n">
        <v>0</v>
      </c>
      <c r="AE55" s="59" t="n">
        <v>0</v>
      </c>
      <c r="AF55" s="59" t="n">
        <v>0</v>
      </c>
      <c r="AG55" s="59" t="n">
        <v>0</v>
      </c>
      <c r="AH55" s="59" t="n">
        <v>338.23</v>
      </c>
      <c r="AI55" s="59" t="n">
        <v>0</v>
      </c>
      <c r="AJ55" s="59" t="n">
        <v>0</v>
      </c>
    </row>
    <row r="56">
      <c r="A56" s="10" t="inlineStr">
        <is>
          <t>Financial assets - Investments</t>
        </is>
      </c>
      <c r="B56" s="8" t="inlineStr">
        <is>
          <t>INR Mn</t>
        </is>
      </c>
      <c r="C56" s="8" t="inlineStr">
        <is>
          <t>Company filings</t>
        </is>
      </c>
      <c r="D56" s="62" t="n"/>
      <c r="E56" s="61" t="n"/>
      <c r="F56" s="62" t="n"/>
      <c r="G56" s="59" t="n">
        <v>0</v>
      </c>
      <c r="H56" s="62" t="n"/>
      <c r="I56" s="59" t="n">
        <v>405.08</v>
      </c>
      <c r="J56" s="62" t="n"/>
      <c r="K56" s="59" t="n">
        <v>381.2</v>
      </c>
      <c r="L56" s="62" t="n"/>
      <c r="M56" s="59" t="n">
        <v>356</v>
      </c>
      <c r="N56" s="62" t="n"/>
      <c r="O56" s="59" t="n">
        <v>4.88</v>
      </c>
      <c r="P56" s="62" t="n"/>
      <c r="Q56" s="59" t="n">
        <v>4.9</v>
      </c>
      <c r="R56" s="62" t="n"/>
      <c r="S56" s="59" t="n">
        <v>1.6</v>
      </c>
      <c r="T56" s="62" t="n"/>
      <c r="U56" s="59" t="n">
        <v>1.6</v>
      </c>
      <c r="V56" s="62" t="n"/>
      <c r="W56" s="59" t="n">
        <v>1.6</v>
      </c>
      <c r="X56" s="59" t="n"/>
      <c r="Y56" s="59" t="n"/>
      <c r="Z56" s="59" t="n"/>
      <c r="AA56" s="59" t="n"/>
      <c r="AB56" s="8" t="n"/>
      <c r="AC56" s="59" t="n">
        <v>32.3</v>
      </c>
      <c r="AD56" s="59" t="n">
        <v>38.03</v>
      </c>
      <c r="AE56" s="59" t="n">
        <v>13.19</v>
      </c>
      <c r="AF56" s="59" t="n">
        <v>0</v>
      </c>
      <c r="AG56" s="59" t="n">
        <v>381.2</v>
      </c>
      <c r="AH56" s="59" t="n">
        <v>4.88</v>
      </c>
      <c r="AI56" s="59" t="n">
        <v>1.6</v>
      </c>
      <c r="AJ56" s="59" t="n">
        <v>1.6</v>
      </c>
    </row>
    <row r="57">
      <c r="A57" s="10" t="inlineStr">
        <is>
          <t>Financial assets - Loans</t>
        </is>
      </c>
      <c r="B57" s="8" t="inlineStr">
        <is>
          <t>INR Mn</t>
        </is>
      </c>
      <c r="C57" s="8" t="inlineStr">
        <is>
          <t>Company filings</t>
        </is>
      </c>
      <c r="D57" s="62" t="n"/>
      <c r="E57" s="61" t="n"/>
      <c r="F57" s="62" t="n"/>
      <c r="G57" s="59" t="n">
        <v>0</v>
      </c>
      <c r="H57" s="62" t="n"/>
      <c r="I57" s="59" t="n">
        <v>0</v>
      </c>
      <c r="J57" s="62" t="n"/>
      <c r="K57" s="59" t="n">
        <v>0</v>
      </c>
      <c r="L57" s="62" t="n"/>
      <c r="M57" s="59" t="n">
        <v>0</v>
      </c>
      <c r="N57" s="62" t="n"/>
      <c r="O57" s="59" t="n">
        <v>0</v>
      </c>
      <c r="P57" s="62" t="n"/>
      <c r="Q57" s="59" t="n">
        <v>0</v>
      </c>
      <c r="R57" s="62" t="n"/>
      <c r="S57" s="59" t="n">
        <v>0</v>
      </c>
      <c r="T57" s="62" t="n"/>
      <c r="U57" s="59" t="n">
        <v>0</v>
      </c>
      <c r="V57" s="62" t="n"/>
      <c r="W57" s="59" t="n">
        <v>0</v>
      </c>
      <c r="X57" s="59" t="n"/>
      <c r="Y57" s="59" t="n"/>
      <c r="Z57" s="59" t="n"/>
      <c r="AA57" s="59" t="n"/>
      <c r="AB57" s="8" t="n"/>
      <c r="AC57" s="59" t="n">
        <v>56.31</v>
      </c>
      <c r="AD57" s="59" t="n">
        <v>105.84</v>
      </c>
      <c r="AE57" s="59" t="n">
        <v>161.79</v>
      </c>
      <c r="AF57" s="59" t="n">
        <v>0</v>
      </c>
      <c r="AG57" s="59" t="n">
        <v>0</v>
      </c>
      <c r="AH57" s="59" t="n">
        <v>0</v>
      </c>
      <c r="AI57" s="59" t="n">
        <v>0</v>
      </c>
      <c r="AJ57" s="59" t="n">
        <v>0</v>
      </c>
    </row>
    <row r="58">
      <c r="A58" s="10" t="inlineStr">
        <is>
          <t>Financial assets - Other financial assets</t>
        </is>
      </c>
      <c r="B58" s="8" t="inlineStr">
        <is>
          <t>INR Mn</t>
        </is>
      </c>
      <c r="C58" s="8" t="inlineStr">
        <is>
          <t>Company filings</t>
        </is>
      </c>
      <c r="D58" s="62" t="n"/>
      <c r="E58" s="61" t="n"/>
      <c r="F58" s="62" t="n"/>
      <c r="G58" s="59" t="n">
        <v>718.79</v>
      </c>
      <c r="H58" s="62" t="n"/>
      <c r="I58" s="59" t="n">
        <v>889.8200000000001</v>
      </c>
      <c r="J58" s="62" t="n"/>
      <c r="K58" s="59" t="n">
        <v>434.5</v>
      </c>
      <c r="L58" s="62" t="n"/>
      <c r="M58" s="59" t="n">
        <v>417.87</v>
      </c>
      <c r="N58" s="62" t="n"/>
      <c r="O58" s="59" t="n">
        <v>492.36</v>
      </c>
      <c r="P58" s="62" t="n"/>
      <c r="Q58" s="59" t="n">
        <v>1153.7</v>
      </c>
      <c r="R58" s="62" t="n"/>
      <c r="S58" s="59" t="n">
        <v>986.8</v>
      </c>
      <c r="T58" s="62" t="n"/>
      <c r="U58" s="59" t="n">
        <v>593.9</v>
      </c>
      <c r="V58" s="62" t="n"/>
      <c r="W58" s="59" t="n">
        <v>685.2</v>
      </c>
      <c r="X58" s="59" t="n"/>
      <c r="Y58" s="59" t="n"/>
      <c r="Z58" s="59" t="n"/>
      <c r="AA58" s="59" t="n"/>
      <c r="AB58" s="8" t="n"/>
      <c r="AC58" s="59" t="n">
        <v>0</v>
      </c>
      <c r="AD58" s="59" t="n">
        <v>0</v>
      </c>
      <c r="AE58" s="59" t="n">
        <v>0</v>
      </c>
      <c r="AF58" s="59" t="n">
        <v>718.79</v>
      </c>
      <c r="AG58" s="59" t="n">
        <v>434.5</v>
      </c>
      <c r="AH58" s="59" t="n">
        <v>492.36</v>
      </c>
      <c r="AI58" s="59" t="n">
        <v>986.8</v>
      </c>
      <c r="AJ58" s="59" t="n">
        <v>685.2</v>
      </c>
    </row>
    <row r="59">
      <c r="A59" s="10" t="inlineStr">
        <is>
          <t>Deferred tax assets (net)</t>
        </is>
      </c>
      <c r="B59" s="8" t="inlineStr">
        <is>
          <t>INR Mn</t>
        </is>
      </c>
      <c r="C59" s="8" t="inlineStr">
        <is>
          <t>Company filings</t>
        </is>
      </c>
      <c r="D59" s="62" t="n"/>
      <c r="E59" s="61" t="n"/>
      <c r="F59" s="62" t="n"/>
      <c r="G59" s="59" t="n">
        <v>1152.18</v>
      </c>
      <c r="H59" s="62" t="n"/>
      <c r="I59" s="59" t="n">
        <v>1424.09</v>
      </c>
      <c r="J59" s="62" t="n"/>
      <c r="K59" s="59" t="n">
        <v>1877.73</v>
      </c>
      <c r="L59" s="62" t="n"/>
      <c r="M59" s="59" t="n">
        <v>2258.39</v>
      </c>
      <c r="N59" s="62" t="n"/>
      <c r="O59" s="59" t="n">
        <v>2689.91</v>
      </c>
      <c r="P59" s="62" t="n"/>
      <c r="Q59" s="59" t="n">
        <v>3173.5</v>
      </c>
      <c r="R59" s="62" t="n"/>
      <c r="S59" s="59" t="n">
        <v>2579.5</v>
      </c>
      <c r="T59" s="62" t="n"/>
      <c r="U59" s="59" t="n">
        <v>2550.5</v>
      </c>
      <c r="V59" s="62" t="n"/>
      <c r="W59" s="59" t="n">
        <v>2687.8</v>
      </c>
      <c r="X59" s="59" t="n"/>
      <c r="Y59" s="59" t="n"/>
      <c r="Z59" s="59" t="n"/>
      <c r="AA59" s="59" t="n"/>
      <c r="AB59" s="8" t="n"/>
      <c r="AC59" s="59" t="n">
        <v>501.48</v>
      </c>
      <c r="AD59" s="59" t="n">
        <v>506.11</v>
      </c>
      <c r="AE59" s="59" t="n">
        <v>780.41</v>
      </c>
      <c r="AF59" s="59" t="n">
        <v>1152.18</v>
      </c>
      <c r="AG59" s="59" t="n">
        <v>1877.73</v>
      </c>
      <c r="AH59" s="59" t="n">
        <v>2689.91</v>
      </c>
      <c r="AI59" s="59" t="n">
        <v>2579.5</v>
      </c>
      <c r="AJ59" s="59" t="n">
        <v>2687.8</v>
      </c>
    </row>
    <row r="60">
      <c r="A60" s="10" t="inlineStr">
        <is>
          <t>Non-current tax assets (net)</t>
        </is>
      </c>
      <c r="B60" s="8" t="inlineStr">
        <is>
          <t>INR Mn</t>
        </is>
      </c>
      <c r="C60" s="8" t="inlineStr">
        <is>
          <t>Company filings</t>
        </is>
      </c>
      <c r="D60" s="62" t="n"/>
      <c r="E60" s="61" t="n"/>
      <c r="F60" s="62" t="n"/>
      <c r="G60" s="59" t="n">
        <v>138.7</v>
      </c>
      <c r="H60" s="62" t="n"/>
      <c r="I60" s="59" t="n">
        <v>187.28</v>
      </c>
      <c r="J60" s="62" t="n"/>
      <c r="K60" s="59" t="n">
        <v>211.82</v>
      </c>
      <c r="L60" s="62" t="n"/>
      <c r="M60" s="59" t="n">
        <v>352.36</v>
      </c>
      <c r="N60" s="62" t="n"/>
      <c r="O60" s="59" t="n">
        <v>456.72</v>
      </c>
      <c r="P60" s="62" t="n"/>
      <c r="Q60" s="59" t="n">
        <v>22.8</v>
      </c>
      <c r="R60" s="62" t="n"/>
      <c r="S60" s="59" t="n">
        <v>639.5</v>
      </c>
      <c r="T60" s="62" t="n"/>
      <c r="U60" s="59" t="n">
        <v>844.4</v>
      </c>
      <c r="V60" s="62" t="n"/>
      <c r="W60" s="59" t="n">
        <v>622.6</v>
      </c>
      <c r="X60" s="59" t="n"/>
      <c r="Y60" s="59" t="n"/>
      <c r="Z60" s="59" t="n"/>
      <c r="AA60" s="59" t="n"/>
      <c r="AB60" s="8" t="n"/>
      <c r="AC60" s="59" t="n">
        <v>110.46</v>
      </c>
      <c r="AD60" s="59" t="n">
        <v>110.45</v>
      </c>
      <c r="AE60" s="59" t="n">
        <v>85.63</v>
      </c>
      <c r="AF60" s="59" t="n">
        <v>138.7</v>
      </c>
      <c r="AG60" s="59" t="n">
        <v>211.82</v>
      </c>
      <c r="AH60" s="59" t="n">
        <v>456.72</v>
      </c>
      <c r="AI60" s="59" t="n">
        <v>639.5</v>
      </c>
      <c r="AJ60" s="59" t="n">
        <v>622.6</v>
      </c>
    </row>
    <row r="61">
      <c r="A61" s="10" t="inlineStr">
        <is>
          <t>Other non-current assets</t>
        </is>
      </c>
      <c r="B61" s="8" t="inlineStr">
        <is>
          <t>INR Mn</t>
        </is>
      </c>
      <c r="C61" s="8" t="inlineStr">
        <is>
          <t>Company filings</t>
        </is>
      </c>
      <c r="D61" s="62" t="n"/>
      <c r="E61" s="61" t="n"/>
      <c r="F61" s="62" t="n"/>
      <c r="G61" s="59" t="n">
        <v>102.69</v>
      </c>
      <c r="H61" s="62" t="n"/>
      <c r="I61" s="59" t="n">
        <v>235.41</v>
      </c>
      <c r="J61" s="62" t="n"/>
      <c r="K61" s="59" t="n">
        <v>241.6</v>
      </c>
      <c r="L61" s="62" t="n"/>
      <c r="M61" s="59" t="n">
        <v>191.36</v>
      </c>
      <c r="N61" s="62" t="n"/>
      <c r="O61" s="59" t="n">
        <v>115.36</v>
      </c>
      <c r="P61" s="62" t="n"/>
      <c r="Q61" s="59" t="n">
        <v>82.90000000000001</v>
      </c>
      <c r="R61" s="62" t="n"/>
      <c r="S61" s="59" t="n">
        <v>101.5</v>
      </c>
      <c r="T61" s="62" t="n"/>
      <c r="U61" s="59" t="n">
        <v>51.8</v>
      </c>
      <c r="V61" s="62" t="n"/>
      <c r="W61" s="59" t="n">
        <v>55.2</v>
      </c>
      <c r="X61" s="59" t="n"/>
      <c r="Y61" s="59" t="n"/>
      <c r="Z61" s="59" t="n"/>
      <c r="AA61" s="59" t="n"/>
      <c r="AB61" s="8" t="n"/>
      <c r="AC61" s="59" t="n">
        <v>16.73</v>
      </c>
      <c r="AD61" s="59" t="n">
        <v>38.91</v>
      </c>
      <c r="AE61" s="59" t="n">
        <v>13.53</v>
      </c>
      <c r="AF61" s="59" t="n">
        <v>102.69</v>
      </c>
      <c r="AG61" s="59" t="n">
        <v>241.6</v>
      </c>
      <c r="AH61" s="59" t="n">
        <v>115.36</v>
      </c>
      <c r="AI61" s="59" t="n">
        <v>101.5</v>
      </c>
      <c r="AJ61" s="59" t="n">
        <v>55.2</v>
      </c>
    </row>
    <row r="62">
      <c r="A62" s="1" t="inlineStr">
        <is>
          <t>Total Non-Current Assets</t>
        </is>
      </c>
      <c r="B62" s="8" t="inlineStr">
        <is>
          <t>INR Mn</t>
        </is>
      </c>
      <c r="C62" s="8" t="n"/>
      <c r="D62" s="62" t="n"/>
      <c r="E62" s="61" t="n"/>
      <c r="F62" s="62" t="n"/>
      <c r="G62" s="56">
        <f>SUM(G49:G61)</f>
        <v/>
      </c>
      <c r="H62" s="62" t="n"/>
      <c r="I62" s="56">
        <f>SUM(I49:I61)</f>
        <v/>
      </c>
      <c r="J62" s="62" t="n"/>
      <c r="K62" s="56">
        <f>SUM(K49:K61)</f>
        <v/>
      </c>
      <c r="L62" s="62" t="n"/>
      <c r="M62" s="56">
        <f>SUM(M49:M61)</f>
        <v/>
      </c>
      <c r="N62" s="62" t="n"/>
      <c r="O62" s="56">
        <f>SUM(O49:O61)</f>
        <v/>
      </c>
      <c r="P62" s="62" t="n"/>
      <c r="Q62" s="56">
        <f>SUM(Q49:Q61)</f>
        <v/>
      </c>
      <c r="R62" s="62" t="n"/>
      <c r="S62" s="56">
        <f>SUM(S49:S61)</f>
        <v/>
      </c>
      <c r="T62" s="62" t="n"/>
      <c r="U62" s="56">
        <f>SUM(U49:U61)</f>
        <v/>
      </c>
      <c r="V62" s="62" t="n"/>
      <c r="W62" s="56">
        <f>SUM(W49:W61)</f>
        <v/>
      </c>
      <c r="X62" s="56" t="n"/>
      <c r="Y62" s="56" t="n"/>
      <c r="Z62" s="56" t="n"/>
      <c r="AA62" s="56" t="n"/>
      <c r="AB62" s="8" t="n"/>
      <c r="AC62" s="60">
        <f>SUM(AC49:AC61)</f>
        <v/>
      </c>
      <c r="AD62" s="60">
        <f>SUM(AD49:AD61)</f>
        <v/>
      </c>
      <c r="AE62" s="60">
        <f>SUM(AE49:AE61)</f>
        <v/>
      </c>
      <c r="AF62" s="60">
        <f>SUM(AF49:AF61)</f>
        <v/>
      </c>
      <c r="AG62" s="60">
        <f>SUM(AG49:AG61)</f>
        <v/>
      </c>
      <c r="AH62" s="60">
        <f>SUM(AH49:AH61)</f>
        <v/>
      </c>
      <c r="AI62" s="60">
        <f>SUM(AI49:AI61)</f>
        <v/>
      </c>
      <c r="AJ62" s="60">
        <f>SUM(AJ49:AJ61)</f>
        <v/>
      </c>
    </row>
    <row r="64">
      <c r="A64" s="9" t="inlineStr">
        <is>
          <t>Current assets</t>
        </is>
      </c>
      <c r="E64" s="14" t="n"/>
    </row>
    <row r="65">
      <c r="A65" s="10" t="inlineStr">
        <is>
          <t>Inventories</t>
        </is>
      </c>
      <c r="B65" s="8" t="inlineStr">
        <is>
          <t>INR Mn</t>
        </is>
      </c>
      <c r="C65" s="8" t="inlineStr">
        <is>
          <t>Company filings</t>
        </is>
      </c>
      <c r="D65" s="62" t="n"/>
      <c r="E65" s="61" t="n"/>
      <c r="F65" s="62" t="n"/>
      <c r="G65" s="59" t="n">
        <v>8756.209999999999</v>
      </c>
      <c r="H65" s="62" t="n"/>
      <c r="I65" s="59" t="n">
        <v>9332.370000000001</v>
      </c>
      <c r="J65" s="62" t="n"/>
      <c r="K65" s="59" t="n">
        <v>10051.4</v>
      </c>
      <c r="L65" s="62" t="n"/>
      <c r="M65" s="59" t="n">
        <v>10937.07</v>
      </c>
      <c r="N65" s="62" t="n"/>
      <c r="O65" s="59" t="n">
        <v>11920.46</v>
      </c>
      <c r="P65" s="62" t="n"/>
      <c r="Q65" s="59" t="n">
        <v>14111</v>
      </c>
      <c r="R65" s="62" t="n"/>
      <c r="S65" s="59" t="n">
        <v>14175.4</v>
      </c>
      <c r="T65" s="62" t="n"/>
      <c r="U65" s="59" t="n">
        <v>15729.2</v>
      </c>
      <c r="V65" s="62" t="n"/>
      <c r="W65" s="59" t="n">
        <v>16421.6</v>
      </c>
      <c r="X65" s="59" t="n"/>
      <c r="Y65" s="59" t="n"/>
      <c r="Z65" s="59" t="n"/>
      <c r="AA65" s="59" t="n"/>
      <c r="AB65" s="8" t="n"/>
      <c r="AC65" s="59" t="n">
        <v>2445.96</v>
      </c>
      <c r="AD65" s="59" t="n">
        <v>4453.36</v>
      </c>
      <c r="AE65" s="59" t="n">
        <v>4980.92</v>
      </c>
      <c r="AF65" s="59" t="n">
        <v>8756.209999999999</v>
      </c>
      <c r="AG65" s="59" t="n">
        <v>10051.4</v>
      </c>
      <c r="AH65" s="59" t="n">
        <v>11920.46</v>
      </c>
      <c r="AI65" s="59" t="n">
        <v>14175.4</v>
      </c>
      <c r="AJ65" s="59" t="n">
        <v>16421.6</v>
      </c>
    </row>
    <row r="66">
      <c r="A66" s="10" t="inlineStr">
        <is>
          <t>Financial assets - Investments</t>
        </is>
      </c>
      <c r="B66" s="8" t="inlineStr">
        <is>
          <t>INR Mn</t>
        </is>
      </c>
      <c r="C66" s="8" t="inlineStr">
        <is>
          <t>Company filings</t>
        </is>
      </c>
      <c r="D66" s="62" t="n"/>
      <c r="E66" s="61" t="n"/>
      <c r="F66" s="62" t="n"/>
      <c r="G66" s="59" t="n">
        <v>0</v>
      </c>
      <c r="H66" s="62" t="n"/>
      <c r="I66" s="59" t="n">
        <v>0</v>
      </c>
      <c r="J66" s="62" t="n"/>
      <c r="K66" s="59" t="n">
        <v>0</v>
      </c>
      <c r="L66" s="62" t="n"/>
      <c r="M66" s="59" t="n">
        <v>0</v>
      </c>
      <c r="N66" s="62" t="n"/>
      <c r="O66" s="59" t="n">
        <v>0</v>
      </c>
      <c r="P66" s="62" t="n"/>
      <c r="Q66" s="59" t="n">
        <v>0</v>
      </c>
      <c r="R66" s="62" t="n"/>
      <c r="S66" s="59" t="n">
        <v>0</v>
      </c>
      <c r="T66" s="62" t="n"/>
      <c r="U66" s="59" t="n">
        <v>0</v>
      </c>
      <c r="V66" s="62" t="n"/>
      <c r="W66" s="59" t="n">
        <v>0</v>
      </c>
      <c r="X66" s="59" t="n"/>
      <c r="Y66" s="59" t="n"/>
      <c r="Z66" s="59" t="n"/>
      <c r="AA66" s="59" t="n"/>
      <c r="AB66" s="8" t="n"/>
      <c r="AC66" s="59" t="n">
        <v>1350.4</v>
      </c>
      <c r="AD66" s="59" t="n">
        <v>0</v>
      </c>
      <c r="AE66" s="59" t="n">
        <v>0</v>
      </c>
      <c r="AF66" s="59" t="n">
        <v>0</v>
      </c>
      <c r="AG66" s="59" t="n">
        <v>0</v>
      </c>
      <c r="AH66" s="59" t="n">
        <v>0</v>
      </c>
      <c r="AI66" s="59" t="n">
        <v>0</v>
      </c>
      <c r="AJ66" s="59" t="n">
        <v>0</v>
      </c>
    </row>
    <row r="67">
      <c r="A67" s="10" t="inlineStr">
        <is>
          <t>Trade receivables</t>
        </is>
      </c>
      <c r="B67" s="8" t="inlineStr">
        <is>
          <t>INR Mn</t>
        </is>
      </c>
      <c r="C67" s="8" t="inlineStr">
        <is>
          <t>Company filings</t>
        </is>
      </c>
      <c r="D67" s="62" t="n"/>
      <c r="E67" s="61" t="n"/>
      <c r="F67" s="62" t="n"/>
      <c r="G67" s="59" t="n">
        <v>945.33</v>
      </c>
      <c r="H67" s="62" t="n"/>
      <c r="I67" s="59" t="n">
        <v>1263.57</v>
      </c>
      <c r="J67" s="62" t="n"/>
      <c r="K67" s="59" t="n">
        <v>1635.31</v>
      </c>
      <c r="L67" s="62" t="n"/>
      <c r="M67" s="59" t="n">
        <v>1764.15</v>
      </c>
      <c r="N67" s="62" t="n"/>
      <c r="O67" s="59" t="n">
        <v>2416</v>
      </c>
      <c r="P67" s="62" t="n"/>
      <c r="Q67" s="59" t="n">
        <v>2547</v>
      </c>
      <c r="R67" s="62" t="n"/>
      <c r="S67" s="59" t="n">
        <v>2466.1</v>
      </c>
      <c r="T67" s="62" t="n"/>
      <c r="U67" s="59" t="n">
        <v>2588</v>
      </c>
      <c r="V67" s="62" t="n"/>
      <c r="W67" s="59" t="n">
        <v>2893.8</v>
      </c>
      <c r="X67" s="59" t="n"/>
      <c r="Y67" s="59" t="n"/>
      <c r="Z67" s="59" t="n"/>
      <c r="AA67" s="59" t="n"/>
      <c r="AB67" s="8" t="n"/>
      <c r="AC67" s="59" t="n">
        <v>579.24</v>
      </c>
      <c r="AD67" s="59" t="n">
        <v>984.3200000000001</v>
      </c>
      <c r="AE67" s="59" t="n">
        <v>766.35</v>
      </c>
      <c r="AF67" s="59" t="n">
        <v>945.33</v>
      </c>
      <c r="AG67" s="59" t="n">
        <v>1635.31</v>
      </c>
      <c r="AH67" s="59" t="n">
        <v>2416</v>
      </c>
      <c r="AI67" s="59" t="n">
        <v>2466.1</v>
      </c>
      <c r="AJ67" s="59" t="n">
        <v>2893.8</v>
      </c>
    </row>
    <row r="68">
      <c r="A68" s="10" t="inlineStr">
        <is>
          <t>Cash and cash equivalents</t>
        </is>
      </c>
      <c r="B68" s="8" t="inlineStr">
        <is>
          <t>INR Mn</t>
        </is>
      </c>
      <c r="C68" s="8" t="inlineStr">
        <is>
          <t>Company filings</t>
        </is>
      </c>
      <c r="D68" s="62" t="n"/>
      <c r="E68" s="61" t="n"/>
      <c r="F68" s="62" t="n"/>
      <c r="G68" s="59" t="n">
        <v>658.9</v>
      </c>
      <c r="H68" s="62" t="n"/>
      <c r="I68" s="59" t="n">
        <v>259.14</v>
      </c>
      <c r="J68" s="62" t="n"/>
      <c r="K68" s="59" t="n">
        <v>413.76</v>
      </c>
      <c r="L68" s="62" t="n"/>
      <c r="M68" s="59" t="n">
        <v>259.63</v>
      </c>
      <c r="N68" s="62" t="n"/>
      <c r="O68" s="59" t="n">
        <v>757.77</v>
      </c>
      <c r="P68" s="62" t="n"/>
      <c r="Q68" s="59" t="n">
        <v>836.7</v>
      </c>
      <c r="R68" s="62" t="n"/>
      <c r="S68" s="59" t="n">
        <v>1249.4</v>
      </c>
      <c r="T68" s="62" t="n"/>
      <c r="U68" s="59" t="n">
        <v>1125.7</v>
      </c>
      <c r="V68" s="62" t="n"/>
      <c r="W68" s="59" t="n">
        <v>1772</v>
      </c>
      <c r="X68" s="59" t="n"/>
      <c r="Y68" s="59" t="n"/>
      <c r="Z68" s="59" t="n"/>
      <c r="AA68" s="59" t="n"/>
      <c r="AB68" s="8" t="n"/>
      <c r="AC68" s="59" t="n">
        <v>114.1</v>
      </c>
      <c r="AD68" s="59" t="n">
        <v>1011.91</v>
      </c>
      <c r="AE68" s="59" t="n">
        <v>835.8200000000001</v>
      </c>
      <c r="AF68" s="59" t="n">
        <v>658.9</v>
      </c>
      <c r="AG68" s="59" t="n">
        <v>413.76</v>
      </c>
      <c r="AH68" s="59" t="n">
        <v>757.77</v>
      </c>
      <c r="AI68" s="59" t="n">
        <v>1249.4</v>
      </c>
      <c r="AJ68" s="59" t="n">
        <v>1772</v>
      </c>
    </row>
    <row r="69">
      <c r="A69" s="10" t="inlineStr">
        <is>
          <t>Bank balance other than cash and cash equivalents</t>
        </is>
      </c>
      <c r="B69" s="8" t="inlineStr">
        <is>
          <t>INR Mn</t>
        </is>
      </c>
      <c r="C69" s="8" t="inlineStr">
        <is>
          <t>Company filings</t>
        </is>
      </c>
      <c r="D69" s="62" t="n"/>
      <c r="E69" s="61" t="n"/>
      <c r="F69" s="62" t="n"/>
      <c r="G69" s="59" t="n">
        <v>2011.53</v>
      </c>
      <c r="H69" s="62" t="n"/>
      <c r="I69" s="59" t="n">
        <v>1353.82</v>
      </c>
      <c r="J69" s="62" t="n"/>
      <c r="K69" s="59" t="n">
        <v>1073.64</v>
      </c>
      <c r="L69" s="62" t="n"/>
      <c r="M69" s="59" t="n">
        <v>1193.95</v>
      </c>
      <c r="N69" s="62" t="n"/>
      <c r="O69" s="59" t="n">
        <v>1640.81</v>
      </c>
      <c r="P69" s="62" t="n"/>
      <c r="Q69" s="59" t="n">
        <v>1110.9</v>
      </c>
      <c r="R69" s="62" t="n"/>
      <c r="S69" s="59" t="n">
        <v>922.1</v>
      </c>
      <c r="T69" s="62" t="n"/>
      <c r="U69" s="59" t="n">
        <v>1011</v>
      </c>
      <c r="V69" s="62" t="n"/>
      <c r="W69" s="59" t="n">
        <v>1428.3</v>
      </c>
      <c r="X69" s="59" t="n"/>
      <c r="Y69" s="59" t="n"/>
      <c r="Z69" s="59" t="n"/>
      <c r="AA69" s="59" t="n"/>
      <c r="AB69" s="8" t="n"/>
      <c r="AC69" s="59" t="n">
        <v>5.34</v>
      </c>
      <c r="AD69" s="59" t="n">
        <v>744.28</v>
      </c>
      <c r="AE69" s="59" t="n">
        <v>1640.88</v>
      </c>
      <c r="AF69" s="59" t="n">
        <v>2011.53</v>
      </c>
      <c r="AG69" s="59" t="n">
        <v>1073.64</v>
      </c>
      <c r="AH69" s="59" t="n">
        <v>1640.81</v>
      </c>
      <c r="AI69" s="59" t="n">
        <v>922.1</v>
      </c>
      <c r="AJ69" s="59" t="n">
        <v>1428.3</v>
      </c>
    </row>
    <row r="70">
      <c r="A70" s="10" t="inlineStr">
        <is>
          <t>Financial assets - Loans</t>
        </is>
      </c>
      <c r="B70" s="8" t="inlineStr">
        <is>
          <t>INR Mn</t>
        </is>
      </c>
      <c r="C70" s="8" t="inlineStr">
        <is>
          <t>Company filings</t>
        </is>
      </c>
      <c r="D70" s="62" t="n"/>
      <c r="E70" s="61" t="n"/>
      <c r="F70" s="62" t="n"/>
      <c r="G70" s="59" t="n">
        <v>0</v>
      </c>
      <c r="H70" s="62" t="n"/>
      <c r="I70" s="59" t="n">
        <v>0</v>
      </c>
      <c r="J70" s="62" t="n"/>
      <c r="K70" s="59" t="n">
        <v>0</v>
      </c>
      <c r="L70" s="62" t="n"/>
      <c r="M70" s="59" t="n">
        <v>0</v>
      </c>
      <c r="N70" s="62" t="n"/>
      <c r="O70" s="59" t="n">
        <v>0</v>
      </c>
      <c r="P70" s="62" t="n"/>
      <c r="Q70" s="59" t="n">
        <v>0</v>
      </c>
      <c r="R70" s="62" t="n"/>
      <c r="S70" s="59" t="n">
        <v>0</v>
      </c>
      <c r="T70" s="62" t="n"/>
      <c r="U70" s="59" t="n">
        <v>0</v>
      </c>
      <c r="V70" s="62" t="n"/>
      <c r="W70" s="59" t="n">
        <v>0</v>
      </c>
      <c r="X70" s="59" t="n"/>
      <c r="Y70" s="59" t="n"/>
      <c r="Z70" s="59" t="n"/>
      <c r="AA70" s="59" t="n"/>
      <c r="AB70" s="8" t="n"/>
      <c r="AC70" s="59" t="n">
        <v>48.19</v>
      </c>
      <c r="AD70" s="59" t="n">
        <v>74.11</v>
      </c>
      <c r="AE70" s="59" t="n">
        <v>54.26</v>
      </c>
      <c r="AF70" s="59" t="n">
        <v>0</v>
      </c>
      <c r="AG70" s="59" t="n">
        <v>0</v>
      </c>
      <c r="AH70" s="59" t="n">
        <v>0</v>
      </c>
      <c r="AI70" s="59" t="n">
        <v>0</v>
      </c>
      <c r="AJ70" s="59" t="n">
        <v>0</v>
      </c>
    </row>
    <row r="71">
      <c r="A71" s="10" t="inlineStr">
        <is>
          <t>Other financial assets (current)</t>
        </is>
      </c>
      <c r="B71" s="8" t="inlineStr">
        <is>
          <t>INR Mn</t>
        </is>
      </c>
      <c r="C71" s="8" t="inlineStr">
        <is>
          <t>Company filings</t>
        </is>
      </c>
      <c r="D71" s="62" t="n"/>
      <c r="E71" s="61" t="n"/>
      <c r="F71" s="62" t="n"/>
      <c r="G71" s="59" t="n">
        <v>4878.78</v>
      </c>
      <c r="H71" s="62" t="n"/>
      <c r="I71" s="59" t="n">
        <v>2552.45</v>
      </c>
      <c r="J71" s="62" t="n"/>
      <c r="K71" s="59" t="n">
        <v>2644.86</v>
      </c>
      <c r="L71" s="62" t="n"/>
      <c r="M71" s="59" t="n">
        <v>2723.34</v>
      </c>
      <c r="N71" s="62" t="n"/>
      <c r="O71" s="59" t="n">
        <v>1833.22</v>
      </c>
      <c r="P71" s="62" t="n"/>
      <c r="Q71" s="59" t="n">
        <v>1729.5</v>
      </c>
      <c r="R71" s="62" t="n"/>
      <c r="S71" s="59" t="n">
        <v>2693</v>
      </c>
      <c r="T71" s="62" t="n"/>
      <c r="U71" s="59" t="n">
        <v>3192.8</v>
      </c>
      <c r="V71" s="62" t="n"/>
      <c r="W71" s="59" t="n">
        <v>3122.5</v>
      </c>
      <c r="X71" s="59" t="n"/>
      <c r="Y71" s="59" t="n"/>
      <c r="Z71" s="59" t="n"/>
      <c r="AA71" s="59" t="n"/>
      <c r="AB71" s="8" t="n"/>
      <c r="AC71" s="59" t="n">
        <v>466.83</v>
      </c>
      <c r="AD71" s="59" t="n">
        <v>258.99</v>
      </c>
      <c r="AE71" s="59" t="n">
        <v>520.12</v>
      </c>
      <c r="AF71" s="59" t="n">
        <v>4878.78</v>
      </c>
      <c r="AG71" s="59" t="n">
        <v>2644.86</v>
      </c>
      <c r="AH71" s="59" t="n">
        <v>1833.22</v>
      </c>
      <c r="AI71" s="59" t="n">
        <v>2693</v>
      </c>
      <c r="AJ71" s="59" t="n">
        <v>3122.5</v>
      </c>
    </row>
    <row r="72">
      <c r="A72" s="10" t="inlineStr">
        <is>
          <t>Other current assets</t>
        </is>
      </c>
      <c r="B72" s="8" t="inlineStr">
        <is>
          <t>INR Mn</t>
        </is>
      </c>
      <c r="C72" s="8" t="inlineStr">
        <is>
          <t>Company filings</t>
        </is>
      </c>
      <c r="D72" s="62" t="n"/>
      <c r="E72" s="61" t="n"/>
      <c r="F72" s="62" t="n"/>
      <c r="G72" s="59" t="n">
        <v>2019.78</v>
      </c>
      <c r="H72" s="62" t="n"/>
      <c r="I72" s="59" t="n">
        <v>3369.24</v>
      </c>
      <c r="J72" s="62" t="n"/>
      <c r="K72" s="59" t="n">
        <v>3237.01</v>
      </c>
      <c r="L72" s="62" t="n"/>
      <c r="M72" s="59" t="n">
        <v>3938.04</v>
      </c>
      <c r="N72" s="62" t="n"/>
      <c r="O72" s="59" t="n">
        <v>4361.2</v>
      </c>
      <c r="P72" s="62" t="n"/>
      <c r="Q72" s="59" t="n">
        <v>4972.1</v>
      </c>
      <c r="R72" s="62" t="n"/>
      <c r="S72" s="59" t="n">
        <v>5264.8</v>
      </c>
      <c r="T72" s="62" t="n"/>
      <c r="U72" s="59" t="n">
        <v>6388.6</v>
      </c>
      <c r="V72" s="62" t="n"/>
      <c r="W72" s="59" t="n">
        <v>6251.2</v>
      </c>
      <c r="X72" s="59" t="n"/>
      <c r="Y72" s="59" t="n"/>
      <c r="Z72" s="59" t="n"/>
      <c r="AA72" s="59" t="n"/>
      <c r="AB72" s="8" t="n"/>
      <c r="AC72" s="59" t="n">
        <v>630.21</v>
      </c>
      <c r="AD72" s="59" t="n">
        <v>627.97</v>
      </c>
      <c r="AE72" s="59" t="n">
        <v>831.8</v>
      </c>
      <c r="AF72" s="59" t="n">
        <v>2019.78</v>
      </c>
      <c r="AG72" s="59" t="n">
        <v>3237.01</v>
      </c>
      <c r="AH72" s="59" t="n">
        <v>4361.2</v>
      </c>
      <c r="AI72" s="59" t="n">
        <v>5264.8</v>
      </c>
      <c r="AJ72" s="59" t="n">
        <v>6251.2</v>
      </c>
    </row>
    <row r="73">
      <c r="A73" s="1" t="inlineStr">
        <is>
          <t>Total Current Assets</t>
        </is>
      </c>
      <c r="B73" s="8" t="inlineStr">
        <is>
          <t>INR Mn</t>
        </is>
      </c>
      <c r="C73" s="8" t="n"/>
      <c r="D73" s="62" t="n"/>
      <c r="E73" s="61" t="n"/>
      <c r="F73" s="62" t="n"/>
      <c r="G73" s="56">
        <f>SUM(G65:G72)</f>
        <v/>
      </c>
      <c r="H73" s="62" t="n"/>
      <c r="I73" s="56">
        <f>SUM(I65:I72)</f>
        <v/>
      </c>
      <c r="J73" s="62" t="n"/>
      <c r="K73" s="56">
        <f>SUM(K65:K72)</f>
        <v/>
      </c>
      <c r="L73" s="62" t="n"/>
      <c r="M73" s="56">
        <f>SUM(M65:M72)</f>
        <v/>
      </c>
      <c r="N73" s="62" t="n"/>
      <c r="O73" s="56">
        <f>SUM(O65:O72)</f>
        <v/>
      </c>
      <c r="P73" s="62" t="n"/>
      <c r="Q73" s="56">
        <f>SUM(Q65:Q72)</f>
        <v/>
      </c>
      <c r="R73" s="62" t="n"/>
      <c r="S73" s="56">
        <f>SUM(S65:S72)</f>
        <v/>
      </c>
      <c r="T73" s="62" t="n"/>
      <c r="U73" s="56">
        <f>SUM(U65:U72)</f>
        <v/>
      </c>
      <c r="V73" s="62" t="n"/>
      <c r="W73" s="56">
        <f>SUM(W65:W72)</f>
        <v/>
      </c>
      <c r="X73" s="56" t="n"/>
      <c r="Y73" s="56" t="n"/>
      <c r="Z73" s="56" t="n"/>
      <c r="AA73" s="56" t="n"/>
      <c r="AB73" s="8" t="n"/>
      <c r="AC73" s="60">
        <f>SUM(AC65:AC72)</f>
        <v/>
      </c>
      <c r="AD73" s="60">
        <f>SUM(AD65:AD72)</f>
        <v/>
      </c>
      <c r="AE73" s="60">
        <f>SUM(AE65:AE72)</f>
        <v/>
      </c>
      <c r="AF73" s="60">
        <f>SUM(AF65:AF72)</f>
        <v/>
      </c>
      <c r="AG73" s="60">
        <f>SUM(AG65:AG72)</f>
        <v/>
      </c>
      <c r="AH73" s="60">
        <f>SUM(AH65:AH72)</f>
        <v/>
      </c>
      <c r="AI73" s="60">
        <f>SUM(AI65:AI72)</f>
        <v/>
      </c>
      <c r="AJ73" s="60">
        <f>SUM(AJ65:AJ72)</f>
        <v/>
      </c>
    </row>
    <row r="75">
      <c r="A75" s="1" t="inlineStr">
        <is>
          <t>TOTAL ASSETS</t>
        </is>
      </c>
      <c r="B75" s="8" t="inlineStr">
        <is>
          <t>INR Mn</t>
        </is>
      </c>
      <c r="C75" s="8" t="n"/>
      <c r="D75" s="62" t="n"/>
      <c r="E75" s="61" t="n"/>
      <c r="F75" s="62" t="n"/>
      <c r="G75" s="56">
        <f>G62+G73</f>
        <v/>
      </c>
      <c r="H75" s="62" t="n"/>
      <c r="I75" s="56">
        <f>I62+I73</f>
        <v/>
      </c>
      <c r="J75" s="62" t="n"/>
      <c r="K75" s="56">
        <f>K62+K73</f>
        <v/>
      </c>
      <c r="L75" s="62" t="n"/>
      <c r="M75" s="56">
        <f>M62+M73</f>
        <v/>
      </c>
      <c r="N75" s="62" t="n"/>
      <c r="O75" s="56">
        <f>O62+O73</f>
        <v/>
      </c>
      <c r="P75" s="62" t="n"/>
      <c r="Q75" s="56">
        <f>Q62+Q73</f>
        <v/>
      </c>
      <c r="R75" s="62" t="n"/>
      <c r="S75" s="56">
        <f>S62+S73</f>
        <v/>
      </c>
      <c r="T75" s="62" t="n"/>
      <c r="U75" s="56">
        <f>U62+U73</f>
        <v/>
      </c>
      <c r="V75" s="62" t="n"/>
      <c r="W75" s="56">
        <f>W62+W73</f>
        <v/>
      </c>
      <c r="X75" s="56" t="n"/>
      <c r="Y75" s="56" t="n"/>
      <c r="Z75" s="56" t="n"/>
      <c r="AA75" s="56" t="n"/>
      <c r="AB75" s="8" t="n"/>
      <c r="AC75" s="60">
        <f>AC62+AC73</f>
        <v/>
      </c>
      <c r="AD75" s="60">
        <f>AD62+AD73</f>
        <v/>
      </c>
      <c r="AE75" s="60">
        <f>AE62+AE73</f>
        <v/>
      </c>
      <c r="AF75" s="60">
        <f>AF62+AF73</f>
        <v/>
      </c>
      <c r="AG75" s="60">
        <f>AG62+AG73</f>
        <v/>
      </c>
      <c r="AH75" s="60">
        <f>AH62+AH73</f>
        <v/>
      </c>
      <c r="AI75" s="60">
        <f>AI62+AI73</f>
        <v/>
      </c>
      <c r="AJ75" s="60">
        <f>AJ62+AJ73</f>
        <v/>
      </c>
    </row>
    <row r="77">
      <c r="A77" s="9" t="inlineStr">
        <is>
          <t>EQUITY AND LIABILITIES</t>
        </is>
      </c>
      <c r="E77" s="14" t="n"/>
    </row>
    <row r="78">
      <c r="A78" s="9" t="inlineStr">
        <is>
          <t>Equity</t>
        </is>
      </c>
      <c r="E78" s="14" t="n"/>
    </row>
    <row r="79">
      <c r="A79" s="10" t="inlineStr">
        <is>
          <t>Equity share capital</t>
        </is>
      </c>
      <c r="B79" s="8" t="inlineStr">
        <is>
          <t>INR Mn</t>
        </is>
      </c>
      <c r="C79" s="8" t="inlineStr">
        <is>
          <t>Company filings</t>
        </is>
      </c>
      <c r="D79" s="62" t="n"/>
      <c r="E79" s="61" t="n"/>
      <c r="F79" s="62" t="n"/>
      <c r="G79" s="59" t="n">
        <v>474.11</v>
      </c>
      <c r="H79" s="62" t="n"/>
      <c r="I79" s="59" t="n">
        <v>474.55</v>
      </c>
      <c r="J79" s="62" t="n"/>
      <c r="K79" s="59" t="n">
        <v>2852.45</v>
      </c>
      <c r="L79" s="62" t="n"/>
      <c r="M79" s="59" t="n">
        <v>2853.73</v>
      </c>
      <c r="N79" s="62" t="n"/>
      <c r="O79" s="59" t="n">
        <v>2855.99</v>
      </c>
      <c r="P79" s="62" t="n"/>
      <c r="Q79" s="59" t="n">
        <v>2857.9</v>
      </c>
      <c r="R79" s="62" t="n"/>
      <c r="S79" s="59" t="n">
        <v>2859.3</v>
      </c>
      <c r="T79" s="62" t="n"/>
      <c r="U79" s="59" t="n">
        <v>2861.3</v>
      </c>
      <c r="V79" s="62" t="n"/>
      <c r="W79" s="59" t="n">
        <v>2863.3</v>
      </c>
      <c r="X79" s="59" t="n"/>
      <c r="Y79" s="59" t="n"/>
      <c r="Z79" s="59" t="n"/>
      <c r="AA79" s="59" t="n"/>
      <c r="AB79" s="8" t="n"/>
      <c r="AC79" s="59" t="n">
        <v>142.43</v>
      </c>
      <c r="AD79" s="59" t="n">
        <v>145.5</v>
      </c>
      <c r="AE79" s="59" t="n">
        <v>150.58</v>
      </c>
      <c r="AF79" s="59" t="n">
        <v>474.11</v>
      </c>
      <c r="AG79" s="59" t="n">
        <v>2852.45</v>
      </c>
      <c r="AH79" s="59" t="n">
        <v>2855.99</v>
      </c>
      <c r="AI79" s="59" t="n">
        <v>2859.3</v>
      </c>
      <c r="AJ79" s="59" t="n">
        <v>2863.3</v>
      </c>
    </row>
    <row r="80">
      <c r="A80" s="10" t="inlineStr">
        <is>
          <t>Other equity</t>
        </is>
      </c>
      <c r="B80" s="8" t="inlineStr">
        <is>
          <t>INR Mn</t>
        </is>
      </c>
      <c r="C80" s="8" t="inlineStr">
        <is>
          <t>Company filings</t>
        </is>
      </c>
      <c r="D80" s="62" t="n"/>
      <c r="E80" s="61" t="n"/>
      <c r="F80" s="62" t="n"/>
      <c r="G80" s="59" t="n">
        <v>12924.89</v>
      </c>
      <c r="H80" s="62" t="n"/>
      <c r="I80" s="59" t="n">
        <v>13138.2</v>
      </c>
      <c r="J80" s="62" t="n"/>
      <c r="K80" s="59" t="n">
        <v>10927.65</v>
      </c>
      <c r="L80" s="62" t="n"/>
      <c r="M80" s="59" t="n">
        <v>11059.05</v>
      </c>
      <c r="N80" s="62" t="n"/>
      <c r="O80" s="59" t="n">
        <v>9766.34</v>
      </c>
      <c r="P80" s="62" t="n"/>
      <c r="Q80" s="59" t="n">
        <v>10190</v>
      </c>
      <c r="R80" s="62" t="n"/>
      <c r="S80" s="59" t="n">
        <v>10153.5</v>
      </c>
      <c r="T80" s="62" t="n"/>
      <c r="U80" s="59" t="n">
        <v>11017.2</v>
      </c>
      <c r="V80" s="62" t="n"/>
      <c r="W80" s="59" t="n">
        <v>11516.5</v>
      </c>
      <c r="X80" s="59" t="n"/>
      <c r="Y80" s="59" t="n"/>
      <c r="Z80" s="59" t="n"/>
      <c r="AA80" s="59" t="n"/>
      <c r="AB80" s="8" t="n"/>
      <c r="AC80" s="59" t="n">
        <v>2163.15</v>
      </c>
      <c r="AD80" s="59" t="n">
        <v>3075.99</v>
      </c>
      <c r="AE80" s="59" t="n">
        <v>4748.81</v>
      </c>
      <c r="AF80" s="59" t="n">
        <v>12924.89</v>
      </c>
      <c r="AG80" s="59" t="n">
        <v>10927.65</v>
      </c>
      <c r="AH80" s="59" t="n">
        <v>9766.34</v>
      </c>
      <c r="AI80" s="59" t="n">
        <v>10153.5</v>
      </c>
      <c r="AJ80" s="59" t="n">
        <v>11516.5</v>
      </c>
    </row>
    <row r="81">
      <c r="A81" s="1" t="inlineStr">
        <is>
          <t>Equity attributable to equity holders of the parent</t>
        </is>
      </c>
      <c r="B81" s="8" t="inlineStr">
        <is>
          <t>INR Mn</t>
        </is>
      </c>
      <c r="C81" s="8" t="n"/>
      <c r="D81" s="62" t="n"/>
      <c r="E81" s="61" t="n"/>
      <c r="F81" s="62" t="n"/>
      <c r="G81" s="56">
        <f>SUM(G79:G80)</f>
        <v/>
      </c>
      <c r="H81" s="62" t="n"/>
      <c r="I81" s="56">
        <f>SUM(I79:I80)</f>
        <v/>
      </c>
      <c r="J81" s="62" t="n"/>
      <c r="K81" s="56">
        <f>SUM(K79:K80)</f>
        <v/>
      </c>
      <c r="L81" s="62" t="n"/>
      <c r="M81" s="56">
        <f>SUM(M79:M80)</f>
        <v/>
      </c>
      <c r="N81" s="62" t="n"/>
      <c r="O81" s="56">
        <f>SUM(O79:O80)</f>
        <v/>
      </c>
      <c r="P81" s="62" t="n"/>
      <c r="Q81" s="56">
        <f>SUM(Q79:Q80)</f>
        <v/>
      </c>
      <c r="R81" s="62" t="n"/>
      <c r="S81" s="56">
        <f>SUM(S79:S80)</f>
        <v/>
      </c>
      <c r="T81" s="62" t="n"/>
      <c r="U81" s="56">
        <f>SUM(U79:U80)</f>
        <v/>
      </c>
      <c r="V81" s="62" t="n"/>
      <c r="W81" s="56">
        <f>SUM(W79:W80)</f>
        <v/>
      </c>
      <c r="X81" s="56" t="n"/>
      <c r="Y81" s="56" t="n"/>
      <c r="Z81" s="56" t="n"/>
      <c r="AA81" s="56" t="n"/>
      <c r="AB81" s="8" t="n"/>
      <c r="AC81" s="60">
        <f>SUM(AC79:AC80)</f>
        <v/>
      </c>
      <c r="AD81" s="60">
        <f>SUM(AD79:AD80)</f>
        <v/>
      </c>
      <c r="AE81" s="60">
        <f>SUM(AE79:AE80)</f>
        <v/>
      </c>
      <c r="AF81" s="60">
        <f>SUM(AF79:AF80)</f>
        <v/>
      </c>
      <c r="AG81" s="60">
        <f>SUM(AG79:AG80)</f>
        <v/>
      </c>
      <c r="AH81" s="60">
        <f>SUM(AH79:AH80)</f>
        <v/>
      </c>
      <c r="AI81" s="60">
        <f>SUM(AI79:AI80)</f>
        <v/>
      </c>
      <c r="AJ81" s="60">
        <f>SUM(AJ79:AJ80)</f>
        <v/>
      </c>
    </row>
    <row r="82">
      <c r="A82" s="10" t="inlineStr">
        <is>
          <t>Non-controlling interest</t>
        </is>
      </c>
      <c r="B82" s="8" t="inlineStr">
        <is>
          <t>INR Mn</t>
        </is>
      </c>
      <c r="C82" s="8" t="inlineStr">
        <is>
          <t>Company filings</t>
        </is>
      </c>
      <c r="D82" s="62" t="n"/>
      <c r="E82" s="61" t="n"/>
      <c r="F82" s="62" t="n"/>
      <c r="G82" s="59" t="n">
        <v>56.15</v>
      </c>
      <c r="H82" s="62" t="n"/>
      <c r="I82" s="59" t="n">
        <v>95.09</v>
      </c>
      <c r="J82" s="62" t="n"/>
      <c r="K82" s="59" t="n">
        <v>141.45</v>
      </c>
      <c r="L82" s="62" t="n"/>
      <c r="M82" s="59" t="n">
        <v>182.6</v>
      </c>
      <c r="N82" s="62" t="n"/>
      <c r="O82" s="59" t="n">
        <v>188.11</v>
      </c>
      <c r="P82" s="62" t="n"/>
      <c r="Q82" s="59" t="n">
        <v>287.8</v>
      </c>
      <c r="R82" s="62" t="n"/>
      <c r="S82" s="59" t="n">
        <v>413.8</v>
      </c>
      <c r="T82" s="62" t="n"/>
      <c r="U82" s="59" t="n">
        <v>515.8</v>
      </c>
      <c r="V82" s="62" t="n"/>
      <c r="W82" s="59" t="n">
        <v>641.2</v>
      </c>
      <c r="X82" s="59" t="n"/>
      <c r="Y82" s="59" t="n"/>
      <c r="Z82" s="59" t="n"/>
      <c r="AA82" s="59" t="n"/>
      <c r="AB82" s="8" t="n"/>
      <c r="AC82" s="59" t="n">
        <v>4.69</v>
      </c>
      <c r="AD82" s="59" t="n">
        <v>7.38</v>
      </c>
      <c r="AE82" s="59" t="n">
        <v>8.359999999999999</v>
      </c>
      <c r="AF82" s="59" t="n">
        <v>56.15</v>
      </c>
      <c r="AG82" s="59" t="n">
        <v>141.45</v>
      </c>
      <c r="AH82" s="59" t="n">
        <v>188.11</v>
      </c>
      <c r="AI82" s="59" t="n">
        <v>413.8</v>
      </c>
      <c r="AJ82" s="59" t="n">
        <v>641.2</v>
      </c>
    </row>
    <row r="83">
      <c r="A83" s="1" t="inlineStr">
        <is>
          <t>Total Equity</t>
        </is>
      </c>
      <c r="B83" s="8" t="inlineStr">
        <is>
          <t>INR Mn</t>
        </is>
      </c>
      <c r="C83" s="8" t="n"/>
      <c r="D83" s="62" t="n"/>
      <c r="E83" s="61" t="n"/>
      <c r="F83" s="62" t="n"/>
      <c r="G83" s="56">
        <f>G81+G82</f>
        <v/>
      </c>
      <c r="H83" s="62" t="n"/>
      <c r="I83" s="56">
        <f>I81+I82</f>
        <v/>
      </c>
      <c r="J83" s="62" t="n"/>
      <c r="K83" s="56">
        <f>K81+K82</f>
        <v/>
      </c>
      <c r="L83" s="62" t="n"/>
      <c r="M83" s="56">
        <f>M81+M82</f>
        <v/>
      </c>
      <c r="N83" s="62" t="n"/>
      <c r="O83" s="56">
        <f>O81+O82</f>
        <v/>
      </c>
      <c r="P83" s="62" t="n"/>
      <c r="Q83" s="56">
        <f>Q81+Q82</f>
        <v/>
      </c>
      <c r="R83" s="62" t="n"/>
      <c r="S83" s="56">
        <f>S81+S82</f>
        <v/>
      </c>
      <c r="T83" s="62" t="n"/>
      <c r="U83" s="56">
        <f>U81+U82</f>
        <v/>
      </c>
      <c r="V83" s="62" t="n"/>
      <c r="W83" s="56">
        <f>W81+W82</f>
        <v/>
      </c>
      <c r="X83" s="56" t="n"/>
      <c r="Y83" s="56" t="n"/>
      <c r="Z83" s="56" t="n"/>
      <c r="AA83" s="56" t="n"/>
      <c r="AB83" s="8" t="n"/>
      <c r="AC83" s="60">
        <f>AC81+AC82</f>
        <v/>
      </c>
      <c r="AD83" s="60">
        <f>AD81+AD82</f>
        <v/>
      </c>
      <c r="AE83" s="60">
        <f>AE81+AE82</f>
        <v/>
      </c>
      <c r="AF83" s="60">
        <f>AF81+AF82</f>
        <v/>
      </c>
      <c r="AG83" s="60">
        <f>AG81+AG82</f>
        <v/>
      </c>
      <c r="AH83" s="60">
        <f>AH81+AH82</f>
        <v/>
      </c>
      <c r="AI83" s="60">
        <f>AI81+AI82</f>
        <v/>
      </c>
      <c r="AJ83" s="60">
        <f>AJ81+AJ82</f>
        <v/>
      </c>
    </row>
    <row r="85">
      <c r="A85" s="9" t="inlineStr">
        <is>
          <t>Non-current liabilities</t>
        </is>
      </c>
      <c r="E85" s="14" t="n"/>
    </row>
    <row r="86">
      <c r="A86" s="10" t="inlineStr">
        <is>
          <t>Borrowings</t>
        </is>
      </c>
      <c r="B86" s="8" t="inlineStr">
        <is>
          <t>INR Mn</t>
        </is>
      </c>
      <c r="C86" s="8" t="inlineStr">
        <is>
          <t>Company filings</t>
        </is>
      </c>
      <c r="D86" s="62" t="n"/>
      <c r="E86" s="61" t="n"/>
      <c r="F86" s="62" t="n"/>
      <c r="G86" s="59" t="n">
        <v>9.220000000000001</v>
      </c>
      <c r="H86" s="62" t="n"/>
      <c r="I86" s="59" t="n">
        <v>6.53</v>
      </c>
      <c r="J86" s="62" t="n"/>
      <c r="K86" s="59" t="n">
        <v>3.61</v>
      </c>
      <c r="L86" s="62" t="n"/>
      <c r="M86" s="59" t="n">
        <v>0.47</v>
      </c>
      <c r="N86" s="62" t="n"/>
      <c r="O86" s="59" t="n">
        <v>0</v>
      </c>
      <c r="P86" s="62" t="n"/>
      <c r="Q86" s="59" t="n">
        <v>625</v>
      </c>
      <c r="R86" s="62" t="n"/>
      <c r="S86" s="59" t="n">
        <v>1102.1</v>
      </c>
      <c r="T86" s="62" t="n"/>
      <c r="U86" s="59" t="n">
        <v>327.4</v>
      </c>
      <c r="V86" s="62" t="n"/>
      <c r="W86" s="59" t="n">
        <v>183.3</v>
      </c>
      <c r="X86" s="59" t="n"/>
      <c r="Y86" s="59" t="n"/>
      <c r="Z86" s="59" t="n"/>
      <c r="AA86" s="59" t="n"/>
      <c r="AB86" s="8" t="n"/>
      <c r="AC86" s="59" t="n">
        <v>1.28</v>
      </c>
      <c r="AD86" s="59" t="n">
        <v>1.5</v>
      </c>
      <c r="AE86" s="59" t="n">
        <v>16.6</v>
      </c>
      <c r="AF86" s="59" t="n">
        <v>9.220000000000001</v>
      </c>
      <c r="AG86" s="59" t="n">
        <v>3.61</v>
      </c>
      <c r="AH86" s="59" t="n">
        <v>0</v>
      </c>
      <c r="AI86" s="59" t="n">
        <v>1102.1</v>
      </c>
      <c r="AJ86" s="59" t="n">
        <v>183.3</v>
      </c>
    </row>
    <row r="87">
      <c r="A87" s="10" t="inlineStr">
        <is>
          <t>Lease liabilities</t>
        </is>
      </c>
      <c r="B87" s="8" t="inlineStr">
        <is>
          <t>INR Mn</t>
        </is>
      </c>
      <c r="C87" s="8" t="inlineStr">
        <is>
          <t>Company filings</t>
        </is>
      </c>
      <c r="D87" s="62" t="n"/>
      <c r="E87" s="61" t="n"/>
      <c r="F87" s="62" t="n"/>
      <c r="G87" s="59" t="n">
        <v>2043.19</v>
      </c>
      <c r="H87" s="62" t="n"/>
      <c r="I87" s="59" t="n">
        <v>3354.12</v>
      </c>
      <c r="J87" s="62" t="n"/>
      <c r="K87" s="59" t="n">
        <v>2133.68</v>
      </c>
      <c r="L87" s="62" t="n"/>
      <c r="M87" s="59" t="n">
        <v>1766.89</v>
      </c>
      <c r="N87" s="62" t="n"/>
      <c r="O87" s="59" t="n">
        <v>1593.03</v>
      </c>
      <c r="P87" s="62" t="n"/>
      <c r="Q87" s="59" t="n">
        <v>1665.8</v>
      </c>
      <c r="R87" s="62" t="n"/>
      <c r="S87" s="59" t="n">
        <v>2115.5</v>
      </c>
      <c r="T87" s="62" t="n"/>
      <c r="U87" s="59" t="n">
        <v>2562</v>
      </c>
      <c r="V87" s="62" t="n"/>
      <c r="W87" s="59" t="n">
        <v>2968.5</v>
      </c>
      <c r="X87" s="59" t="n"/>
      <c r="Y87" s="59" t="n"/>
      <c r="Z87" s="59" t="n"/>
      <c r="AA87" s="59" t="n"/>
      <c r="AB87" s="8" t="n"/>
      <c r="AC87" s="59" t="n">
        <v>763.61</v>
      </c>
      <c r="AD87" s="59" t="n">
        <v>1302.58</v>
      </c>
      <c r="AE87" s="59" t="n">
        <v>1073.9</v>
      </c>
      <c r="AF87" s="59" t="n">
        <v>2043.19</v>
      </c>
      <c r="AG87" s="59" t="n">
        <v>2133.68</v>
      </c>
      <c r="AH87" s="59" t="n">
        <v>1593.03</v>
      </c>
      <c r="AI87" s="59" t="n">
        <v>2115.5</v>
      </c>
      <c r="AJ87" s="59" t="n">
        <v>2968.5</v>
      </c>
    </row>
    <row r="88">
      <c r="A88" s="10" t="inlineStr">
        <is>
          <t>Other financial liabilities</t>
        </is>
      </c>
      <c r="B88" s="8" t="inlineStr">
        <is>
          <t>INR Mn</t>
        </is>
      </c>
      <c r="C88" s="8" t="inlineStr">
        <is>
          <t>Company filings</t>
        </is>
      </c>
      <c r="D88" s="62" t="n"/>
      <c r="E88" s="61" t="n"/>
      <c r="F88" s="62" t="n"/>
      <c r="G88" s="59" t="n">
        <v>1222.26</v>
      </c>
      <c r="H88" s="62" t="n"/>
      <c r="I88" s="59" t="n">
        <v>1280.33</v>
      </c>
      <c r="J88" s="62" t="n"/>
      <c r="K88" s="59" t="n">
        <v>1373.2</v>
      </c>
      <c r="L88" s="62" t="n"/>
      <c r="M88" s="59" t="n">
        <v>0</v>
      </c>
      <c r="N88" s="62" t="n"/>
      <c r="O88" s="59" t="n">
        <v>711.85</v>
      </c>
      <c r="P88" s="62" t="n"/>
      <c r="Q88" s="59" t="n">
        <v>0</v>
      </c>
      <c r="R88" s="62" t="n"/>
      <c r="S88" s="59" t="n">
        <v>1358.8</v>
      </c>
      <c r="T88" s="62" t="n"/>
      <c r="U88" s="59" t="n">
        <v>0</v>
      </c>
      <c r="V88" s="62" t="n"/>
      <c r="W88" s="59" t="n">
        <v>16.6</v>
      </c>
      <c r="X88" s="59" t="n"/>
      <c r="Y88" s="59" t="n"/>
      <c r="Z88" s="59" t="n"/>
      <c r="AA88" s="59" t="n"/>
      <c r="AB88" s="8" t="n"/>
      <c r="AC88" s="59" t="n">
        <v>0</v>
      </c>
      <c r="AD88" s="59" t="n">
        <v>0</v>
      </c>
      <c r="AE88" s="59" t="n">
        <v>0</v>
      </c>
      <c r="AF88" s="59" t="n">
        <v>1222.26</v>
      </c>
      <c r="AG88" s="59" t="n">
        <v>1373.2</v>
      </c>
      <c r="AH88" s="59" t="n">
        <v>711.85</v>
      </c>
      <c r="AI88" s="59" t="n">
        <v>1358.8</v>
      </c>
      <c r="AJ88" s="59" t="n">
        <v>16.6</v>
      </c>
    </row>
    <row r="89">
      <c r="A89" s="10" t="inlineStr">
        <is>
          <t>Provisions</t>
        </is>
      </c>
      <c r="B89" s="8" t="inlineStr">
        <is>
          <t>INR Mn</t>
        </is>
      </c>
      <c r="C89" s="8" t="inlineStr">
        <is>
          <t>Company filings</t>
        </is>
      </c>
      <c r="D89" s="62" t="n"/>
      <c r="E89" s="61" t="n"/>
      <c r="F89" s="62" t="n"/>
      <c r="G89" s="59" t="n">
        <v>77.95999999999999</v>
      </c>
      <c r="H89" s="62" t="n"/>
      <c r="I89" s="59" t="n">
        <v>89.20999999999999</v>
      </c>
      <c r="J89" s="62" t="n"/>
      <c r="K89" s="59" t="n">
        <v>92.65000000000001</v>
      </c>
      <c r="L89" s="62" t="n"/>
      <c r="M89" s="59" t="n">
        <v>108.65</v>
      </c>
      <c r="N89" s="62" t="n"/>
      <c r="O89" s="59" t="n">
        <v>102.21</v>
      </c>
      <c r="P89" s="62" t="n"/>
      <c r="Q89" s="59" t="n">
        <v>145.5</v>
      </c>
      <c r="R89" s="62" t="n"/>
      <c r="S89" s="59" t="n">
        <v>186.4</v>
      </c>
      <c r="T89" s="62" t="n"/>
      <c r="U89" s="59" t="n">
        <v>187</v>
      </c>
      <c r="V89" s="62" t="n"/>
      <c r="W89" s="59" t="n">
        <v>341.9</v>
      </c>
      <c r="X89" s="59" t="n"/>
      <c r="Y89" s="59" t="n"/>
      <c r="Z89" s="59" t="n"/>
      <c r="AA89" s="59" t="n"/>
      <c r="AB89" s="8" t="n"/>
      <c r="AC89" s="59" t="n">
        <v>24.46</v>
      </c>
      <c r="AD89" s="59" t="n">
        <v>52.61</v>
      </c>
      <c r="AE89" s="59" t="n">
        <v>73.45</v>
      </c>
      <c r="AF89" s="59" t="n">
        <v>77.95999999999999</v>
      </c>
      <c r="AG89" s="59" t="n">
        <v>92.65000000000001</v>
      </c>
      <c r="AH89" s="59" t="n">
        <v>102.21</v>
      </c>
      <c r="AI89" s="59" t="n">
        <v>186.4</v>
      </c>
      <c r="AJ89" s="59" t="n">
        <v>341.9</v>
      </c>
    </row>
    <row r="90">
      <c r="A90" s="1" t="inlineStr">
        <is>
          <t>Total Non-Current Liabilities</t>
        </is>
      </c>
      <c r="B90" s="8" t="inlineStr">
        <is>
          <t>INR Mn</t>
        </is>
      </c>
      <c r="C90" s="8" t="n"/>
      <c r="D90" s="62" t="n"/>
      <c r="E90" s="61" t="n"/>
      <c r="F90" s="62" t="n"/>
      <c r="G90" s="56">
        <f>SUM(G86:G89)</f>
        <v/>
      </c>
      <c r="H90" s="62" t="n"/>
      <c r="I90" s="56">
        <f>SUM(I86:I89)</f>
        <v/>
      </c>
      <c r="J90" s="62" t="n"/>
      <c r="K90" s="56">
        <f>SUM(K86:K89)</f>
        <v/>
      </c>
      <c r="L90" s="62" t="n"/>
      <c r="M90" s="56">
        <f>SUM(M86:M89)</f>
        <v/>
      </c>
      <c r="N90" s="62" t="n"/>
      <c r="O90" s="56">
        <f>SUM(O86:O89)</f>
        <v/>
      </c>
      <c r="P90" s="62" t="n"/>
      <c r="Q90" s="56">
        <f>SUM(Q86:Q89)</f>
        <v/>
      </c>
      <c r="R90" s="62" t="n"/>
      <c r="S90" s="56">
        <f>SUM(S86:S89)</f>
        <v/>
      </c>
      <c r="T90" s="62" t="n"/>
      <c r="U90" s="56">
        <f>SUM(U86:U89)</f>
        <v/>
      </c>
      <c r="V90" s="62" t="n"/>
      <c r="W90" s="56">
        <f>SUM(W86:W89)</f>
        <v/>
      </c>
      <c r="X90" s="56" t="n"/>
      <c r="Y90" s="56" t="n"/>
      <c r="Z90" s="56" t="n"/>
      <c r="AA90" s="56" t="n"/>
      <c r="AB90" s="8" t="n"/>
      <c r="AC90" s="60">
        <f>SUM(AC86:AC89)</f>
        <v/>
      </c>
      <c r="AD90" s="60">
        <f>SUM(AD86:AD89)</f>
        <v/>
      </c>
      <c r="AE90" s="60">
        <f>SUM(AE86:AE89)</f>
        <v/>
      </c>
      <c r="AF90" s="60">
        <f>SUM(AF86:AF89)</f>
        <v/>
      </c>
      <c r="AG90" s="60">
        <f>SUM(AG86:AG89)</f>
        <v/>
      </c>
      <c r="AH90" s="60">
        <f>SUM(AH86:AH89)</f>
        <v/>
      </c>
      <c r="AI90" s="60">
        <f>SUM(AI86:AI89)</f>
        <v/>
      </c>
      <c r="AJ90" s="60">
        <f>SUM(AJ86:AJ89)</f>
        <v/>
      </c>
    </row>
    <row r="92">
      <c r="A92" s="9" t="inlineStr">
        <is>
          <t>Current liabilities</t>
        </is>
      </c>
      <c r="E92" s="14" t="n"/>
    </row>
    <row r="93">
      <c r="A93" s="10" t="inlineStr">
        <is>
          <t>Borrowings</t>
        </is>
      </c>
      <c r="B93" s="8" t="inlineStr">
        <is>
          <t>INR Mn</t>
        </is>
      </c>
      <c r="C93" s="8" t="inlineStr">
        <is>
          <t>Company filings</t>
        </is>
      </c>
      <c r="D93" s="62" t="n"/>
      <c r="E93" s="61" t="n"/>
      <c r="F93" s="62" t="n"/>
      <c r="G93" s="59" t="n">
        <v>3321.12</v>
      </c>
      <c r="H93" s="62" t="n"/>
      <c r="I93" s="59" t="n">
        <v>4862.24</v>
      </c>
      <c r="J93" s="62" t="n"/>
      <c r="K93" s="59" t="n">
        <v>4600.01</v>
      </c>
      <c r="L93" s="62" t="n"/>
      <c r="M93" s="59" t="n">
        <v>6596.02</v>
      </c>
      <c r="N93" s="62" t="n"/>
      <c r="O93" s="59" t="n">
        <v>6803.95</v>
      </c>
      <c r="P93" s="62" t="n"/>
      <c r="Q93" s="59" t="n">
        <v>9388.700000000001</v>
      </c>
      <c r="R93" s="62" t="n"/>
      <c r="S93" s="59" t="n">
        <v>8511.5</v>
      </c>
      <c r="T93" s="62" t="n"/>
      <c r="U93" s="59" t="n">
        <v>9571.1</v>
      </c>
      <c r="V93" s="62" t="n"/>
      <c r="W93" s="59" t="n">
        <v>7288.8</v>
      </c>
      <c r="X93" s="59" t="n"/>
      <c r="Y93" s="59" t="n"/>
      <c r="Z93" s="59" t="n"/>
      <c r="AA93" s="59" t="n"/>
      <c r="AB93" s="8" t="n"/>
      <c r="AC93" s="59" t="n">
        <v>2254.48</v>
      </c>
      <c r="AD93" s="59" t="n">
        <v>2673.26</v>
      </c>
      <c r="AE93" s="59" t="n">
        <v>1858.05</v>
      </c>
      <c r="AF93" s="59" t="n">
        <v>3321.12</v>
      </c>
      <c r="AG93" s="59" t="n">
        <v>4600.01</v>
      </c>
      <c r="AH93" s="59" t="n">
        <v>6803.95</v>
      </c>
      <c r="AI93" s="59" t="n">
        <v>8511.5</v>
      </c>
      <c r="AJ93" s="59" t="n">
        <v>7288.8</v>
      </c>
    </row>
    <row r="94">
      <c r="A94" s="10" t="inlineStr">
        <is>
          <t>Lease liabilities</t>
        </is>
      </c>
      <c r="B94" s="8" t="inlineStr">
        <is>
          <t>INR Mn</t>
        </is>
      </c>
      <c r="C94" s="8" t="inlineStr">
        <is>
          <t>Company filings</t>
        </is>
      </c>
      <c r="D94" s="62" t="n"/>
      <c r="E94" s="61" t="n"/>
      <c r="F94" s="62" t="n"/>
      <c r="G94" s="59" t="n">
        <v>552.7</v>
      </c>
      <c r="H94" s="62" t="n"/>
      <c r="I94" s="59" t="n">
        <v>844.52</v>
      </c>
      <c r="J94" s="62" t="n"/>
      <c r="K94" s="59" t="n">
        <v>1247.63</v>
      </c>
      <c r="L94" s="62" t="n"/>
      <c r="M94" s="59" t="n">
        <v>1293.16</v>
      </c>
      <c r="N94" s="62" t="n"/>
      <c r="O94" s="59" t="n">
        <v>1297.89</v>
      </c>
      <c r="P94" s="62" t="n"/>
      <c r="Q94" s="59" t="n">
        <v>1383.4</v>
      </c>
      <c r="R94" s="62" t="n"/>
      <c r="S94" s="59" t="n">
        <v>1476.8</v>
      </c>
      <c r="T94" s="62" t="n"/>
      <c r="U94" s="59" t="n">
        <v>1609.7</v>
      </c>
      <c r="V94" s="62" t="n"/>
      <c r="W94" s="59" t="n">
        <v>1937.5</v>
      </c>
      <c r="X94" s="59" t="n"/>
      <c r="Y94" s="59" t="n"/>
      <c r="Z94" s="59" t="n"/>
      <c r="AA94" s="59" t="n"/>
      <c r="AB94" s="8" t="n"/>
      <c r="AC94" s="59" t="n">
        <v>84.63</v>
      </c>
      <c r="AD94" s="59" t="n">
        <v>147.44</v>
      </c>
      <c r="AE94" s="59" t="n">
        <v>378.16</v>
      </c>
      <c r="AF94" s="59" t="n">
        <v>552.7</v>
      </c>
      <c r="AG94" s="59" t="n">
        <v>1247.63</v>
      </c>
      <c r="AH94" s="59" t="n">
        <v>1297.89</v>
      </c>
      <c r="AI94" s="59" t="n">
        <v>1476.8</v>
      </c>
      <c r="AJ94" s="59" t="n">
        <v>1937.5</v>
      </c>
    </row>
    <row r="95">
      <c r="A95" s="10" t="inlineStr">
        <is>
          <t>Trade payables - micro &amp; small enterprises</t>
        </is>
      </c>
      <c r="B95" s="8" t="inlineStr">
        <is>
          <t>INR Mn</t>
        </is>
      </c>
      <c r="C95" s="8" t="inlineStr">
        <is>
          <t>Company filings</t>
        </is>
      </c>
      <c r="D95" s="62" t="n"/>
      <c r="E95" s="61" t="n"/>
      <c r="F95" s="62" t="n"/>
      <c r="G95" s="59" t="n">
        <v>560.7</v>
      </c>
      <c r="H95" s="62" t="n"/>
      <c r="I95" s="59" t="n">
        <v>228.37</v>
      </c>
      <c r="J95" s="62" t="n"/>
      <c r="K95" s="59" t="n">
        <v>418.93</v>
      </c>
      <c r="L95" s="62" t="n"/>
      <c r="M95" s="59" t="n">
        <v>510.01</v>
      </c>
      <c r="N95" s="62" t="n"/>
      <c r="O95" s="59" t="n">
        <v>370.16</v>
      </c>
      <c r="P95" s="62" t="n"/>
      <c r="Q95" s="59" t="n">
        <v>423.4</v>
      </c>
      <c r="R95" s="62" t="n"/>
      <c r="S95" s="59" t="n">
        <v>452.6</v>
      </c>
      <c r="T95" s="62" t="n"/>
      <c r="U95" s="59" t="n">
        <v>762.4</v>
      </c>
      <c r="V95" s="62" t="n"/>
      <c r="W95" s="59" t="n">
        <v>1163.4</v>
      </c>
      <c r="X95" s="59" t="n"/>
      <c r="Y95" s="59" t="n"/>
      <c r="Z95" s="59" t="n"/>
      <c r="AA95" s="59" t="n"/>
      <c r="AB95" s="8" t="n"/>
      <c r="AC95" s="59" t="n">
        <v>12.77</v>
      </c>
      <c r="AD95" s="59" t="n">
        <v>104.6</v>
      </c>
      <c r="AE95" s="59" t="n">
        <v>90.75</v>
      </c>
      <c r="AF95" s="59" t="n">
        <v>560.7</v>
      </c>
      <c r="AG95" s="59" t="n">
        <v>418.93</v>
      </c>
      <c r="AH95" s="59" t="n">
        <v>370.16</v>
      </c>
      <c r="AI95" s="59" t="n">
        <v>452.6</v>
      </c>
      <c r="AJ95" s="59" t="n">
        <v>1163.4</v>
      </c>
    </row>
    <row r="96">
      <c r="A96" s="10" t="inlineStr">
        <is>
          <t>Trade payables - other creditors</t>
        </is>
      </c>
      <c r="B96" s="8" t="inlineStr">
        <is>
          <t>INR Mn</t>
        </is>
      </c>
      <c r="C96" s="8" t="inlineStr">
        <is>
          <t>Company filings</t>
        </is>
      </c>
      <c r="D96" s="62" t="n"/>
      <c r="E96" s="61" t="n"/>
      <c r="F96" s="62" t="n"/>
      <c r="G96" s="59" t="n">
        <v>3059.84</v>
      </c>
      <c r="H96" s="62" t="n"/>
      <c r="I96" s="59" t="n">
        <v>1559.62</v>
      </c>
      <c r="J96" s="62" t="n"/>
      <c r="K96" s="59" t="n">
        <v>2234.96</v>
      </c>
      <c r="L96" s="62" t="n"/>
      <c r="M96" s="59" t="n">
        <v>2367.64</v>
      </c>
      <c r="N96" s="62" t="n"/>
      <c r="O96" s="59" t="n">
        <v>3496.76</v>
      </c>
      <c r="P96" s="62" t="n"/>
      <c r="Q96" s="59" t="n">
        <v>5040.7</v>
      </c>
      <c r="R96" s="62" t="n"/>
      <c r="S96" s="59" t="n">
        <v>5895.7</v>
      </c>
      <c r="T96" s="62" t="n"/>
      <c r="U96" s="59" t="n">
        <v>6144.8</v>
      </c>
      <c r="V96" s="62" t="n"/>
      <c r="W96" s="59" t="n">
        <v>6161.6</v>
      </c>
      <c r="X96" s="59" t="n"/>
      <c r="Y96" s="59" t="n"/>
      <c r="Z96" s="59" t="n"/>
      <c r="AA96" s="59" t="n"/>
      <c r="AB96" s="8" t="n"/>
      <c r="AC96" s="59" t="n">
        <v>1804.89</v>
      </c>
      <c r="AD96" s="59" t="n">
        <v>3028.05</v>
      </c>
      <c r="AE96" s="59" t="n">
        <v>3071.37</v>
      </c>
      <c r="AF96" s="59" t="n">
        <v>3059.84</v>
      </c>
      <c r="AG96" s="59" t="n">
        <v>2234.96</v>
      </c>
      <c r="AH96" s="59" t="n">
        <v>3496.76</v>
      </c>
      <c r="AI96" s="59" t="n">
        <v>5895.7</v>
      </c>
      <c r="AJ96" s="59" t="n">
        <v>6161.6</v>
      </c>
    </row>
    <row r="97">
      <c r="A97" s="10" t="inlineStr">
        <is>
          <t>Other financial liabilities</t>
        </is>
      </c>
      <c r="B97" s="8" t="inlineStr">
        <is>
          <t>INR Mn</t>
        </is>
      </c>
      <c r="C97" s="8" t="inlineStr">
        <is>
          <t>Company filings</t>
        </is>
      </c>
      <c r="D97" s="62" t="n"/>
      <c r="E97" s="61" t="n"/>
      <c r="F97" s="62" t="n"/>
      <c r="G97" s="59" t="n">
        <v>1666.92</v>
      </c>
      <c r="H97" s="62" t="n"/>
      <c r="I97" s="59" t="n">
        <v>2319.95</v>
      </c>
      <c r="J97" s="62" t="n"/>
      <c r="K97" s="59" t="n">
        <v>2703.61</v>
      </c>
      <c r="L97" s="62" t="n"/>
      <c r="M97" s="59" t="n">
        <v>3962.46</v>
      </c>
      <c r="N97" s="62" t="n"/>
      <c r="O97" s="59" t="n">
        <v>6084.58</v>
      </c>
      <c r="P97" s="62" t="n"/>
      <c r="Q97" s="59" t="n">
        <v>4540.9</v>
      </c>
      <c r="R97" s="62" t="n"/>
      <c r="S97" s="59" t="n">
        <v>4386.1</v>
      </c>
      <c r="T97" s="62" t="n"/>
      <c r="U97" s="59" t="n">
        <v>6755.2</v>
      </c>
      <c r="V97" s="62" t="n"/>
      <c r="W97" s="59" t="n">
        <v>9473</v>
      </c>
      <c r="X97" s="59" t="n"/>
      <c r="Y97" s="59" t="n"/>
      <c r="Z97" s="59" t="n"/>
      <c r="AA97" s="59" t="n"/>
      <c r="AB97" s="8" t="n"/>
      <c r="AC97" s="59" t="n">
        <v>275.44</v>
      </c>
      <c r="AD97" s="59" t="n">
        <v>470.53</v>
      </c>
      <c r="AE97" s="59" t="n">
        <v>850.14</v>
      </c>
      <c r="AF97" s="59" t="n">
        <v>1666.92</v>
      </c>
      <c r="AG97" s="59" t="n">
        <v>2703.61</v>
      </c>
      <c r="AH97" s="59" t="n">
        <v>6084.58</v>
      </c>
      <c r="AI97" s="59" t="n">
        <v>4386.1</v>
      </c>
      <c r="AJ97" s="59" t="n">
        <v>9473</v>
      </c>
    </row>
    <row r="98">
      <c r="A98" s="10" t="inlineStr">
        <is>
          <t>Provisions</t>
        </is>
      </c>
      <c r="B98" s="8" t="inlineStr">
        <is>
          <t>INR Mn</t>
        </is>
      </c>
      <c r="C98" s="8" t="inlineStr">
        <is>
          <t>Company filings</t>
        </is>
      </c>
      <c r="D98" s="62" t="n"/>
      <c r="E98" s="61" t="n"/>
      <c r="F98" s="62" t="n"/>
      <c r="G98" s="59" t="n">
        <v>88.66</v>
      </c>
      <c r="H98" s="62" t="n"/>
      <c r="I98" s="59" t="n">
        <v>97.09999999999999</v>
      </c>
      <c r="J98" s="62" t="n"/>
      <c r="K98" s="59" t="n">
        <v>113.86</v>
      </c>
      <c r="L98" s="62" t="n"/>
      <c r="M98" s="59" t="n">
        <v>87.54000000000001</v>
      </c>
      <c r="N98" s="62" t="n"/>
      <c r="O98" s="59" t="n">
        <v>86.90000000000001</v>
      </c>
      <c r="P98" s="62" t="n"/>
      <c r="Q98" s="59" t="n">
        <v>113.6</v>
      </c>
      <c r="R98" s="62" t="n"/>
      <c r="S98" s="59" t="n">
        <v>101.9</v>
      </c>
      <c r="T98" s="62" t="n"/>
      <c r="U98" s="59" t="n">
        <v>123.8</v>
      </c>
      <c r="V98" s="62" t="n"/>
      <c r="W98" s="59" t="n">
        <v>268.1</v>
      </c>
      <c r="X98" s="59" t="n"/>
      <c r="Y98" s="59" t="n"/>
      <c r="Z98" s="59" t="n"/>
      <c r="AA98" s="59" t="n"/>
      <c r="AB98" s="8" t="n"/>
      <c r="AC98" s="59" t="n">
        <v>0.37</v>
      </c>
      <c r="AD98" s="59" t="n">
        <v>0.67</v>
      </c>
      <c r="AE98" s="59" t="n">
        <v>108.47</v>
      </c>
      <c r="AF98" s="59" t="n">
        <v>88.66</v>
      </c>
      <c r="AG98" s="59" t="n">
        <v>113.86</v>
      </c>
      <c r="AH98" s="59" t="n">
        <v>86.90000000000001</v>
      </c>
      <c r="AI98" s="59" t="n">
        <v>101.9</v>
      </c>
      <c r="AJ98" s="59" t="n">
        <v>268.1</v>
      </c>
    </row>
    <row r="99">
      <c r="A99" s="10" t="inlineStr">
        <is>
          <t>Contract liabilities</t>
        </is>
      </c>
      <c r="B99" s="8" t="inlineStr">
        <is>
          <t>INR Mn</t>
        </is>
      </c>
      <c r="C99" s="8" t="inlineStr">
        <is>
          <t>Company filings</t>
        </is>
      </c>
      <c r="D99" s="62" t="n"/>
      <c r="E99" s="61" t="n"/>
      <c r="F99" s="62" t="n"/>
      <c r="G99" s="59" t="n">
        <v>160.41</v>
      </c>
      <c r="H99" s="62" t="n"/>
      <c r="I99" s="59" t="n">
        <v>258.81</v>
      </c>
      <c r="J99" s="62" t="n"/>
      <c r="K99" s="59" t="n">
        <v>234.78</v>
      </c>
      <c r="L99" s="62" t="n"/>
      <c r="M99" s="59" t="n">
        <v>249.52</v>
      </c>
      <c r="N99" s="62" t="n"/>
      <c r="O99" s="59" t="n">
        <v>273.42</v>
      </c>
      <c r="P99" s="62" t="n"/>
      <c r="Q99" s="59" t="n">
        <v>271.7</v>
      </c>
      <c r="R99" s="62" t="n"/>
      <c r="S99" s="59" t="n">
        <v>376.1</v>
      </c>
      <c r="T99" s="62" t="n"/>
      <c r="U99" s="59" t="n">
        <v>561.8</v>
      </c>
      <c r="V99" s="62" t="n"/>
      <c r="W99" s="59" t="n">
        <v>600.7</v>
      </c>
      <c r="X99" s="59" t="n"/>
      <c r="Y99" s="59" t="n"/>
      <c r="Z99" s="59" t="n"/>
      <c r="AA99" s="59" t="n"/>
      <c r="AB99" s="8" t="n"/>
      <c r="AC99" s="59" t="n">
        <v>101.91</v>
      </c>
      <c r="AD99" s="59" t="n">
        <v>148.7</v>
      </c>
      <c r="AE99" s="59" t="n">
        <v>169.15</v>
      </c>
      <c r="AF99" s="59" t="n">
        <v>160.41</v>
      </c>
      <c r="AG99" s="59" t="n">
        <v>234.78</v>
      </c>
      <c r="AH99" s="59" t="n">
        <v>273.42</v>
      </c>
      <c r="AI99" s="59" t="n">
        <v>376.1</v>
      </c>
      <c r="AJ99" s="59" t="n">
        <v>600.7</v>
      </c>
    </row>
    <row r="100">
      <c r="A100" s="10" t="inlineStr">
        <is>
          <t>Current tax liabilities (net)</t>
        </is>
      </c>
      <c r="B100" s="8" t="inlineStr">
        <is>
          <t>INR Mn</t>
        </is>
      </c>
      <c r="C100" s="8" t="inlineStr">
        <is>
          <t>Company filings</t>
        </is>
      </c>
      <c r="D100" s="62" t="n"/>
      <c r="E100" s="61" t="n"/>
      <c r="F100" s="62" t="n"/>
      <c r="G100" s="59" t="n">
        <v>21.73</v>
      </c>
      <c r="H100" s="62" t="n"/>
      <c r="I100" s="59" t="n">
        <v>80.40000000000001</v>
      </c>
      <c r="J100" s="62" t="n"/>
      <c r="K100" s="59" t="n">
        <v>0</v>
      </c>
      <c r="L100" s="62" t="n"/>
      <c r="M100" s="59" t="n">
        <v>0</v>
      </c>
      <c r="N100" s="62" t="n"/>
      <c r="O100" s="59" t="n">
        <v>0</v>
      </c>
      <c r="P100" s="62" t="n"/>
      <c r="Q100" s="59" t="n">
        <v>299.8</v>
      </c>
      <c r="R100" s="62" t="n"/>
      <c r="S100" s="59" t="n">
        <v>0</v>
      </c>
      <c r="T100" s="62" t="n"/>
      <c r="U100" s="59" t="n">
        <v>0</v>
      </c>
      <c r="V100" s="62" t="n"/>
      <c r="W100" s="59" t="n">
        <v>0</v>
      </c>
      <c r="X100" s="59" t="n"/>
      <c r="Y100" s="59" t="n"/>
      <c r="Z100" s="59" t="n"/>
      <c r="AA100" s="59" t="n"/>
      <c r="AB100" s="8" t="n"/>
      <c r="AC100" s="59" t="n">
        <v>0</v>
      </c>
      <c r="AD100" s="59" t="n">
        <v>2.69</v>
      </c>
      <c r="AE100" s="59" t="n">
        <v>246.94</v>
      </c>
      <c r="AF100" s="59" t="n">
        <v>21.73</v>
      </c>
      <c r="AG100" s="59" t="n">
        <v>0</v>
      </c>
      <c r="AH100" s="59" t="n">
        <v>0</v>
      </c>
      <c r="AI100" s="59" t="n">
        <v>0</v>
      </c>
      <c r="AJ100" s="59" t="n">
        <v>0</v>
      </c>
    </row>
    <row r="101">
      <c r="A101" s="10" t="inlineStr">
        <is>
          <t>Other current liabilities</t>
        </is>
      </c>
      <c r="B101" s="8" t="inlineStr">
        <is>
          <t>INR Mn</t>
        </is>
      </c>
      <c r="C101" s="8" t="inlineStr">
        <is>
          <t>Company filings</t>
        </is>
      </c>
      <c r="D101" s="62" t="n"/>
      <c r="E101" s="61" t="n"/>
      <c r="F101" s="62" t="n"/>
      <c r="G101" s="59" t="n">
        <v>220.49</v>
      </c>
      <c r="H101" s="62" t="n"/>
      <c r="I101" s="59" t="n">
        <v>174.89</v>
      </c>
      <c r="J101" s="62" t="n"/>
      <c r="K101" s="59" t="n">
        <v>421.31</v>
      </c>
      <c r="L101" s="62" t="n"/>
      <c r="M101" s="59" t="n">
        <v>320.85</v>
      </c>
      <c r="N101" s="62" t="n"/>
      <c r="O101" s="59" t="n">
        <v>375.07</v>
      </c>
      <c r="P101" s="62" t="n"/>
      <c r="Q101" s="59" t="n"/>
      <c r="R101" s="62" t="n"/>
      <c r="S101" s="59" t="n">
        <v>405.2</v>
      </c>
      <c r="T101" s="62" t="n"/>
      <c r="U101" s="59" t="n">
        <v>324.5</v>
      </c>
      <c r="V101" s="62" t="n"/>
      <c r="W101" s="59" t="n">
        <v>689.4</v>
      </c>
      <c r="X101" s="59" t="n"/>
      <c r="Y101" s="59" t="n"/>
      <c r="Z101" s="59" t="n"/>
      <c r="AA101" s="59" t="n"/>
      <c r="AB101" s="8" t="n"/>
      <c r="AC101" s="59" t="n">
        <v>122.46</v>
      </c>
      <c r="AD101" s="59" t="n">
        <v>83.31999999999999</v>
      </c>
      <c r="AE101" s="59" t="n">
        <v>175.17</v>
      </c>
      <c r="AF101" s="59" t="n">
        <v>220.49</v>
      </c>
      <c r="AG101" s="59" t="n">
        <v>421.31</v>
      </c>
      <c r="AH101" s="59" t="n">
        <v>375.07</v>
      </c>
      <c r="AI101" s="59" t="n">
        <v>405.2</v>
      </c>
      <c r="AJ101" s="59" t="n">
        <v>689.4</v>
      </c>
    </row>
    <row r="102">
      <c r="A102" s="1" t="inlineStr">
        <is>
          <t>Total Current Liabilities</t>
        </is>
      </c>
      <c r="B102" s="8" t="inlineStr">
        <is>
          <t>INR Mn</t>
        </is>
      </c>
      <c r="C102" s="8" t="n"/>
      <c r="D102" s="62" t="n"/>
      <c r="E102" s="61" t="n"/>
      <c r="F102" s="62" t="n"/>
      <c r="G102" s="56">
        <f>SUM(G93:G101)</f>
        <v/>
      </c>
      <c r="H102" s="62" t="n"/>
      <c r="I102" s="56">
        <f>SUM(I93:I101)</f>
        <v/>
      </c>
      <c r="J102" s="62" t="n"/>
      <c r="K102" s="56">
        <f>SUM(K93:K101)</f>
        <v/>
      </c>
      <c r="L102" s="62" t="n"/>
      <c r="M102" s="56">
        <f>SUM(M93:M101)</f>
        <v/>
      </c>
      <c r="N102" s="62" t="n"/>
      <c r="O102" s="56">
        <f>SUM(O93:O101)</f>
        <v/>
      </c>
      <c r="P102" s="62" t="n"/>
      <c r="Q102" s="56">
        <f>SUM(Q93:Q101)</f>
        <v/>
      </c>
      <c r="R102" s="62" t="n"/>
      <c r="S102" s="56">
        <f>SUM(S93:S101)</f>
        <v/>
      </c>
      <c r="T102" s="62" t="n"/>
      <c r="U102" s="56">
        <f>SUM(U93:U101)</f>
        <v/>
      </c>
      <c r="V102" s="62" t="n"/>
      <c r="W102" s="56">
        <f>SUM(W93:W101)</f>
        <v/>
      </c>
      <c r="X102" s="56" t="n"/>
      <c r="Y102" s="56" t="n"/>
      <c r="Z102" s="56" t="n"/>
      <c r="AA102" s="56" t="n"/>
      <c r="AB102" s="8" t="n"/>
      <c r="AC102" s="60">
        <f>SUM(AC93:AC101)</f>
        <v/>
      </c>
      <c r="AD102" s="60">
        <f>SUM(AD93:AD101)</f>
        <v/>
      </c>
      <c r="AE102" s="60">
        <f>SUM(AE93:AE101)</f>
        <v/>
      </c>
      <c r="AF102" s="60">
        <f>SUM(AF93:AF101)</f>
        <v/>
      </c>
      <c r="AG102" s="60">
        <f>SUM(AG93:AG101)</f>
        <v/>
      </c>
      <c r="AH102" s="60">
        <f>SUM(AH93:AH101)</f>
        <v/>
      </c>
      <c r="AI102" s="60">
        <f>SUM(AI93:AI101)</f>
        <v/>
      </c>
      <c r="AJ102" s="60">
        <f>SUM(AJ93:AJ101)</f>
        <v/>
      </c>
    </row>
    <row r="104">
      <c r="A104" s="1" t="inlineStr">
        <is>
          <t>Total Liabilities</t>
        </is>
      </c>
      <c r="B104" s="8" t="inlineStr">
        <is>
          <t>INR Mn</t>
        </is>
      </c>
      <c r="C104" s="8" t="n"/>
      <c r="D104" s="62" t="n"/>
      <c r="E104" s="61" t="n"/>
      <c r="F104" s="62" t="n"/>
      <c r="G104" s="56">
        <f>G90+G102</f>
        <v/>
      </c>
      <c r="H104" s="62" t="n"/>
      <c r="I104" s="56">
        <f>I90+I102</f>
        <v/>
      </c>
      <c r="J104" s="62" t="n"/>
      <c r="K104" s="56">
        <f>K90+K102</f>
        <v/>
      </c>
      <c r="L104" s="62" t="n"/>
      <c r="M104" s="56">
        <f>M90+M102</f>
        <v/>
      </c>
      <c r="N104" s="62" t="n"/>
      <c r="O104" s="56">
        <f>O90+O102</f>
        <v/>
      </c>
      <c r="P104" s="62" t="n"/>
      <c r="Q104" s="56">
        <f>Q90+Q102</f>
        <v/>
      </c>
      <c r="R104" s="62" t="n"/>
      <c r="S104" s="56">
        <f>S90+S102</f>
        <v/>
      </c>
      <c r="T104" s="62" t="n"/>
      <c r="U104" s="56">
        <f>U90+U102</f>
        <v/>
      </c>
      <c r="V104" s="62" t="n"/>
      <c r="W104" s="56">
        <f>W90+W102</f>
        <v/>
      </c>
      <c r="X104" s="56" t="n"/>
      <c r="Y104" s="56" t="n"/>
      <c r="Z104" s="56" t="n"/>
      <c r="AA104" s="56" t="n"/>
      <c r="AB104" s="8" t="n"/>
      <c r="AC104" s="60">
        <f>AC90+AC102</f>
        <v/>
      </c>
      <c r="AD104" s="60">
        <f>AD90+AD102</f>
        <v/>
      </c>
      <c r="AE104" s="60">
        <f>AE90+AE102</f>
        <v/>
      </c>
      <c r="AF104" s="60">
        <f>AF90+AF102</f>
        <v/>
      </c>
      <c r="AG104" s="60">
        <f>AG90+AG102</f>
        <v/>
      </c>
      <c r="AH104" s="60">
        <f>AH90+AH102</f>
        <v/>
      </c>
      <c r="AI104" s="60">
        <f>AI90+AI102</f>
        <v/>
      </c>
      <c r="AJ104" s="60">
        <f>AJ90+AJ102</f>
        <v/>
      </c>
    </row>
    <row r="105">
      <c r="A105" s="1" t="inlineStr">
        <is>
          <t>TOTAL EQUITY AND LIABILITIES</t>
        </is>
      </c>
      <c r="B105" s="8" t="inlineStr">
        <is>
          <t>INR Mn</t>
        </is>
      </c>
      <c r="C105" s="8" t="n"/>
      <c r="D105" s="62" t="n"/>
      <c r="E105" s="61" t="n"/>
      <c r="F105" s="62" t="n"/>
      <c r="G105" s="56">
        <f>G83+G104</f>
        <v/>
      </c>
      <c r="H105" s="62" t="n"/>
      <c r="I105" s="56">
        <f>I83+I104</f>
        <v/>
      </c>
      <c r="J105" s="62" t="n"/>
      <c r="K105" s="56">
        <f>K83+K104</f>
        <v/>
      </c>
      <c r="L105" s="62" t="n"/>
      <c r="M105" s="56">
        <f>M83+M104</f>
        <v/>
      </c>
      <c r="N105" s="62" t="n"/>
      <c r="O105" s="56">
        <f>O83+O104</f>
        <v/>
      </c>
      <c r="P105" s="62" t="n"/>
      <c r="Q105" s="56">
        <f>Q83+Q104</f>
        <v/>
      </c>
      <c r="R105" s="62" t="n"/>
      <c r="S105" s="56">
        <f>S83+S104</f>
        <v/>
      </c>
      <c r="T105" s="62" t="n"/>
      <c r="U105" s="56">
        <f>U83+U104</f>
        <v/>
      </c>
      <c r="V105" s="62" t="n"/>
      <c r="W105" s="56">
        <f>W83+W104</f>
        <v/>
      </c>
      <c r="X105" s="56" t="n"/>
      <c r="Y105" s="56" t="n"/>
      <c r="Z105" s="56" t="n"/>
      <c r="AA105" s="56" t="n"/>
      <c r="AB105" s="8" t="n"/>
      <c r="AC105" s="60">
        <f>AC83+AC104</f>
        <v/>
      </c>
      <c r="AD105" s="60">
        <f>AD83+AD104</f>
        <v/>
      </c>
      <c r="AE105" s="60">
        <f>AE83+AE104</f>
        <v/>
      </c>
      <c r="AF105" s="60">
        <f>AF83+AF104</f>
        <v/>
      </c>
      <c r="AG105" s="60">
        <f>AG83+AG104</f>
        <v/>
      </c>
      <c r="AH105" s="60">
        <f>AH83+AH104</f>
        <v/>
      </c>
      <c r="AI105" s="60">
        <f>AI83+AI104</f>
        <v/>
      </c>
      <c r="AJ105" s="60">
        <f>AJ83+AJ104</f>
        <v/>
      </c>
    </row>
    <row r="106">
      <c r="A106" s="12" t="inlineStr">
        <is>
          <t>Check (Total Assets - Total Equity and Liabilities)</t>
        </is>
      </c>
      <c r="B106" s="8" t="inlineStr">
        <is>
          <t>INR Mn</t>
        </is>
      </c>
      <c r="C106" s="8" t="n"/>
      <c r="D106" s="62" t="n"/>
      <c r="E106" s="61" t="n"/>
      <c r="F106" s="62" t="n"/>
      <c r="G106" s="56">
        <f>G75-G105</f>
        <v/>
      </c>
      <c r="H106" s="62" t="n"/>
      <c r="I106" s="56">
        <f>I75-I105</f>
        <v/>
      </c>
      <c r="J106" s="62" t="n"/>
      <c r="K106" s="56">
        <f>K75-K105</f>
        <v/>
      </c>
      <c r="L106" s="62" t="n"/>
      <c r="M106" s="56">
        <f>M75-M105</f>
        <v/>
      </c>
      <c r="N106" s="62" t="n"/>
      <c r="O106" s="56">
        <f>O75-O105</f>
        <v/>
      </c>
      <c r="P106" s="62" t="n"/>
      <c r="Q106" s="56">
        <f>Q75-Q105</f>
        <v/>
      </c>
      <c r="R106" s="62" t="n"/>
      <c r="S106" s="56">
        <f>S75-S105</f>
        <v/>
      </c>
      <c r="T106" s="62" t="n"/>
      <c r="U106" s="56">
        <f>U75-U105</f>
        <v/>
      </c>
      <c r="V106" s="62" t="n"/>
      <c r="W106" s="56">
        <f>W75-W105</f>
        <v/>
      </c>
      <c r="X106" s="56" t="n"/>
      <c r="Y106" s="56" t="n"/>
      <c r="Z106" s="56" t="n"/>
      <c r="AA106" s="56" t="n"/>
      <c r="AB106" s="8" t="n"/>
      <c r="AC106" s="56">
        <f>AC75-AC105</f>
        <v/>
      </c>
      <c r="AD106" s="56">
        <f>AD75-AD105</f>
        <v/>
      </c>
      <c r="AE106" s="56">
        <f>AE75-AE105</f>
        <v/>
      </c>
      <c r="AF106" s="56">
        <f>AF75-AF105</f>
        <v/>
      </c>
      <c r="AG106" s="56">
        <f>AG75-AG105</f>
        <v/>
      </c>
      <c r="AH106" s="56">
        <f>AH75-AH105</f>
        <v/>
      </c>
      <c r="AI106" s="56">
        <f>AI75-AI105</f>
        <v/>
      </c>
      <c r="AJ106" s="56">
        <f>AJ75-AJ105</f>
        <v/>
      </c>
    </row>
    <row r="109">
      <c r="A109" s="5" t="inlineStr">
        <is>
          <t>CASH FLOW STATEMENT (CONSOLIDATED)</t>
        </is>
      </c>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n"/>
      <c r="AG109" s="6" t="n"/>
      <c r="AH109" s="6" t="n"/>
      <c r="AI109" s="6" t="n"/>
      <c r="AJ109" s="6" t="n"/>
    </row>
    <row r="110">
      <c r="A110" s="7" t="inlineStr">
        <is>
          <t>Profit/(loss) before tax (per Statement of Profit and Loss)</t>
        </is>
      </c>
      <c r="B110" s="8" t="inlineStr">
        <is>
          <t>INR Mn</t>
        </is>
      </c>
      <c r="C110" s="8" t="inlineStr">
        <is>
          <t>Company filings</t>
        </is>
      </c>
      <c r="D110" s="62" t="n"/>
      <c r="E110" s="62" t="n"/>
      <c r="F110" s="62" t="n"/>
      <c r="G110" s="62" t="n"/>
      <c r="H110" s="62" t="n"/>
      <c r="I110" s="62" t="n"/>
      <c r="J110" s="62" t="n"/>
      <c r="K110" s="62" t="n"/>
      <c r="L110" s="62" t="n"/>
      <c r="M110" s="62" t="n"/>
      <c r="N110" s="62" t="n"/>
      <c r="O110" s="62" t="n"/>
      <c r="P110" s="62" t="n"/>
      <c r="Q110" s="62" t="n"/>
      <c r="R110" s="62" t="n"/>
      <c r="S110" s="62" t="n"/>
      <c r="T110" s="62" t="n"/>
      <c r="U110" s="62" t="n"/>
      <c r="V110" s="62" t="n"/>
      <c r="W110" s="62" t="n"/>
      <c r="X110" s="62" t="n"/>
      <c r="Y110" s="62" t="n"/>
      <c r="Z110" s="62" t="n"/>
      <c r="AA110" s="62" t="n"/>
      <c r="AB110" s="8" t="n"/>
      <c r="AC110" s="59" t="n">
        <v>-317.2</v>
      </c>
      <c r="AD110" s="59" t="n">
        <v>-124.3</v>
      </c>
      <c r="AE110" s="59" t="n">
        <v>753.38</v>
      </c>
      <c r="AF110" s="59" t="n">
        <v>473.06</v>
      </c>
      <c r="AG110" s="59" t="n">
        <v>383.95</v>
      </c>
      <c r="AH110" s="59" t="n">
        <v>690.27</v>
      </c>
      <c r="AI110" s="59" t="n">
        <v>1274.5</v>
      </c>
      <c r="AJ110" s="59" t="n">
        <v>3302.3</v>
      </c>
    </row>
    <row r="111">
      <c r="A111" s="3" t="inlineStr">
        <is>
          <t>Adjustments to reconcile profit before tax to net cash flows</t>
        </is>
      </c>
    </row>
    <row r="112">
      <c r="A112" s="10" t="inlineStr">
        <is>
          <t>Depreciation of PP&amp;E and right-of-use assets</t>
        </is>
      </c>
      <c r="B112" s="8" t="inlineStr">
        <is>
          <t>INR Mn</t>
        </is>
      </c>
      <c r="C112" s="8" t="inlineStr">
        <is>
          <t>Company filings</t>
        </is>
      </c>
      <c r="D112" s="62" t="n"/>
      <c r="E112" s="62" t="n"/>
      <c r="F112" s="62" t="n"/>
      <c r="G112" s="62" t="n"/>
      <c r="H112" s="62" t="n"/>
      <c r="I112" s="62" t="n"/>
      <c r="J112" s="62" t="n"/>
      <c r="K112" s="62" t="n"/>
      <c r="L112" s="62" t="n"/>
      <c r="M112" s="62" t="n"/>
      <c r="N112" s="62" t="n"/>
      <c r="O112" s="62" t="n"/>
      <c r="P112" s="62" t="n"/>
      <c r="Q112" s="62" t="n"/>
      <c r="R112" s="62" t="n"/>
      <c r="S112" s="62" t="n"/>
      <c r="T112" s="62" t="n"/>
      <c r="U112" s="62" t="n"/>
      <c r="V112" s="62" t="n"/>
      <c r="W112" s="62" t="n"/>
      <c r="X112" s="62" t="n"/>
      <c r="Y112" s="62" t="n"/>
      <c r="Z112" s="62" t="n"/>
      <c r="AA112" s="62" t="n"/>
      <c r="AB112" s="8" t="n"/>
      <c r="AC112" s="59" t="n">
        <v>308.76</v>
      </c>
      <c r="AD112" s="59" t="n">
        <v>595.09</v>
      </c>
      <c r="AE112" s="59" t="n">
        <v>671.28</v>
      </c>
      <c r="AF112" s="59" t="n">
        <v>835</v>
      </c>
      <c r="AG112" s="59" t="n">
        <v>1559.73</v>
      </c>
      <c r="AH112" s="59" t="n">
        <v>1998.62</v>
      </c>
      <c r="AI112" s="59" t="n">
        <v>2321.2</v>
      </c>
      <c r="AJ112" s="59" t="n">
        <v>2766.1</v>
      </c>
    </row>
    <row r="113">
      <c r="A113" s="10" t="inlineStr">
        <is>
          <t>Amortisation of intangible assets</t>
        </is>
      </c>
      <c r="B113" s="8" t="inlineStr">
        <is>
          <t>INR Mn</t>
        </is>
      </c>
      <c r="C113" s="8" t="inlineStr">
        <is>
          <t>Company filings</t>
        </is>
      </c>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c r="AB113" s="8" t="n"/>
      <c r="AC113" s="59" t="n">
        <v>0</v>
      </c>
      <c r="AD113" s="59" t="n">
        <v>0</v>
      </c>
      <c r="AE113" s="59" t="n">
        <v>0</v>
      </c>
      <c r="AF113" s="59" t="n">
        <v>129.12</v>
      </c>
      <c r="AG113" s="59" t="n">
        <v>172.81</v>
      </c>
      <c r="AH113" s="59" t="n">
        <v>243.71</v>
      </c>
      <c r="AI113" s="59" t="n">
        <v>342.8</v>
      </c>
      <c r="AJ113" s="59" t="n">
        <v>437.2</v>
      </c>
    </row>
    <row r="114">
      <c r="A114" s="10" t="inlineStr">
        <is>
          <t>Interest expense and other finance costs</t>
        </is>
      </c>
      <c r="B114" s="8" t="inlineStr">
        <is>
          <t>INR Mn</t>
        </is>
      </c>
      <c r="C114" s="8" t="inlineStr">
        <is>
          <t>Company filings</t>
        </is>
      </c>
      <c r="D114" s="62" t="n"/>
      <c r="E114" s="62" t="n"/>
      <c r="F114" s="62" t="n"/>
      <c r="G114" s="62" t="n"/>
      <c r="H114" s="62" t="n"/>
      <c r="I114" s="62" t="n"/>
      <c r="J114" s="62" t="n"/>
      <c r="K114" s="62" t="n"/>
      <c r="L114" s="62" t="n"/>
      <c r="M114" s="62" t="n"/>
      <c r="N114" s="62" t="n"/>
      <c r="O114" s="62" t="n"/>
      <c r="P114" s="62" t="n"/>
      <c r="Q114" s="62" t="n"/>
      <c r="R114" s="62" t="n"/>
      <c r="S114" s="62" t="n"/>
      <c r="T114" s="62" t="n"/>
      <c r="U114" s="62" t="n"/>
      <c r="V114" s="62" t="n"/>
      <c r="W114" s="62" t="n"/>
      <c r="X114" s="62" t="n"/>
      <c r="Y114" s="62" t="n"/>
      <c r="Z114" s="62" t="n"/>
      <c r="AA114" s="62" t="n"/>
      <c r="AB114" s="8" t="n"/>
      <c r="AC114" s="59" t="n">
        <v>263.42</v>
      </c>
      <c r="AD114" s="59" t="n">
        <v>442.93</v>
      </c>
      <c r="AE114" s="59" t="n">
        <v>307.01</v>
      </c>
      <c r="AF114" s="59" t="n">
        <v>465.11</v>
      </c>
      <c r="AG114" s="59" t="n">
        <v>746.05</v>
      </c>
      <c r="AH114" s="59" t="n">
        <v>828.3200000000001</v>
      </c>
      <c r="AI114" s="59" t="n">
        <v>1073.2</v>
      </c>
      <c r="AJ114" s="59" t="n">
        <v>1171.2</v>
      </c>
    </row>
    <row r="115">
      <c r="A115" s="10" t="inlineStr">
        <is>
          <t>Foreign exchange (gain)/loss</t>
        </is>
      </c>
      <c r="B115" s="8" t="inlineStr">
        <is>
          <t>INR Mn</t>
        </is>
      </c>
      <c r="C115" s="8" t="inlineStr">
        <is>
          <t>Company filings</t>
        </is>
      </c>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c r="AB115" s="8" t="n"/>
      <c r="AC115" s="59" t="n">
        <v>0</v>
      </c>
      <c r="AD115" s="59" t="n">
        <v>0</v>
      </c>
      <c r="AE115" s="59" t="n">
        <v>0</v>
      </c>
      <c r="AF115" s="59" t="n">
        <v>0.65</v>
      </c>
      <c r="AG115" s="59" t="n">
        <v>-3.11</v>
      </c>
      <c r="AH115" s="59" t="n">
        <v>6.41</v>
      </c>
      <c r="AI115" s="59" t="n">
        <v>0</v>
      </c>
      <c r="AJ115" s="59" t="n">
        <v>-31.9</v>
      </c>
    </row>
    <row r="116">
      <c r="A116" s="10" t="inlineStr">
        <is>
          <t>Realised gain from sale of investments</t>
        </is>
      </c>
      <c r="B116" s="8" t="inlineStr">
        <is>
          <t>INR Mn</t>
        </is>
      </c>
      <c r="C116" s="8" t="inlineStr">
        <is>
          <t>Company filings</t>
        </is>
      </c>
      <c r="D116" s="62" t="n"/>
      <c r="E116" s="62" t="n"/>
      <c r="F116" s="62" t="n"/>
      <c r="G116" s="62" t="n"/>
      <c r="H116" s="62" t="n"/>
      <c r="I116" s="62" t="n"/>
      <c r="J116" s="62" t="n"/>
      <c r="K116" s="62" t="n"/>
      <c r="L116" s="62" t="n"/>
      <c r="M116" s="62" t="n"/>
      <c r="N116" s="62" t="n"/>
      <c r="O116" s="62" t="n"/>
      <c r="P116" s="62" t="n"/>
      <c r="Q116" s="62" t="n"/>
      <c r="R116" s="62" t="n"/>
      <c r="S116" s="62" t="n"/>
      <c r="T116" s="62" t="n"/>
      <c r="U116" s="62" t="n"/>
      <c r="V116" s="62" t="n"/>
      <c r="W116" s="62" t="n"/>
      <c r="X116" s="62" t="n"/>
      <c r="Y116" s="62" t="n"/>
      <c r="Z116" s="62" t="n"/>
      <c r="AA116" s="62" t="n"/>
      <c r="AB116" s="8" t="n"/>
      <c r="AC116" s="59" t="n">
        <v>0</v>
      </c>
      <c r="AD116" s="59" t="n">
        <v>-74.41</v>
      </c>
      <c r="AE116" s="59" t="n">
        <v>0</v>
      </c>
      <c r="AF116" s="59" t="n">
        <v>0</v>
      </c>
      <c r="AG116" s="59" t="n">
        <v>0</v>
      </c>
      <c r="AH116" s="59" t="n">
        <v>0</v>
      </c>
      <c r="AI116" s="59" t="n">
        <v>0</v>
      </c>
      <c r="AJ116" s="59" t="n">
        <v>0</v>
      </c>
    </row>
    <row r="117">
      <c r="A117" s="10" t="inlineStr">
        <is>
          <t>Unrealised gain on fair valuation of investments</t>
        </is>
      </c>
      <c r="B117" s="8" t="inlineStr">
        <is>
          <t>INR Mn</t>
        </is>
      </c>
      <c r="C117" s="8" t="inlineStr">
        <is>
          <t>Company filings</t>
        </is>
      </c>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c r="AB117" s="8" t="n"/>
      <c r="AC117" s="59" t="n">
        <v>-15.28</v>
      </c>
      <c r="AD117" s="59" t="n">
        <v>0</v>
      </c>
      <c r="AE117" s="59" t="n">
        <v>0</v>
      </c>
      <c r="AF117" s="59" t="n">
        <v>0</v>
      </c>
      <c r="AG117" s="59" t="n">
        <v>0</v>
      </c>
      <c r="AH117" s="59" t="n">
        <v>0</v>
      </c>
      <c r="AI117" s="59" t="n">
        <v>0</v>
      </c>
      <c r="AJ117" s="59" t="n">
        <v>0</v>
      </c>
    </row>
    <row r="118">
      <c r="A118" s="10" t="inlineStr">
        <is>
          <t>Share based expense</t>
        </is>
      </c>
      <c r="B118" s="8" t="inlineStr">
        <is>
          <t>INR Mn</t>
        </is>
      </c>
      <c r="C118" s="8" t="inlineStr">
        <is>
          <t>Company filings</t>
        </is>
      </c>
      <c r="D118" s="62" t="n"/>
      <c r="E118" s="62" t="n"/>
      <c r="F118" s="62" t="n"/>
      <c r="G118" s="62" t="n"/>
      <c r="H118" s="62" t="n"/>
      <c r="I118" s="62" t="n"/>
      <c r="J118" s="62" t="n"/>
      <c r="K118" s="62" t="n"/>
      <c r="L118" s="62" t="n"/>
      <c r="M118" s="62" t="n"/>
      <c r="N118" s="62" t="n"/>
      <c r="O118" s="62" t="n"/>
      <c r="P118" s="62" t="n"/>
      <c r="Q118" s="62" t="n"/>
      <c r="R118" s="62" t="n"/>
      <c r="S118" s="62" t="n"/>
      <c r="T118" s="62" t="n"/>
      <c r="U118" s="62" t="n"/>
      <c r="V118" s="62" t="n"/>
      <c r="W118" s="62" t="n"/>
      <c r="X118" s="62" t="n"/>
      <c r="Y118" s="62" t="n"/>
      <c r="Z118" s="62" t="n"/>
      <c r="AA118" s="62" t="n"/>
      <c r="AB118" s="8" t="n"/>
      <c r="AC118" s="59" t="n">
        <v>42.1</v>
      </c>
      <c r="AD118" s="59" t="n">
        <v>43.61</v>
      </c>
      <c r="AE118" s="59" t="n">
        <v>52.6</v>
      </c>
      <c r="AF118" s="59" t="n">
        <v>143.24</v>
      </c>
      <c r="AG118" s="59" t="n">
        <v>93.95999999999999</v>
      </c>
      <c r="AH118" s="59" t="n">
        <v>163.64</v>
      </c>
      <c r="AI118" s="59" t="n">
        <v>169</v>
      </c>
      <c r="AJ118" s="59" t="n">
        <v>167.1</v>
      </c>
    </row>
    <row r="119">
      <c r="A119" s="10" t="inlineStr">
        <is>
          <t>Gratuity expense</t>
        </is>
      </c>
      <c r="B119" s="8" t="inlineStr">
        <is>
          <t>INR Mn</t>
        </is>
      </c>
      <c r="C119" s="8" t="inlineStr">
        <is>
          <t>Company filings</t>
        </is>
      </c>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c r="AB119" s="8" t="n"/>
      <c r="AC119" s="59" t="n">
        <v>12.36</v>
      </c>
      <c r="AD119" s="59" t="n">
        <v>25.45</v>
      </c>
      <c r="AE119" s="59" t="n">
        <v>38.02</v>
      </c>
      <c r="AF119" s="59" t="n">
        <v>35.5</v>
      </c>
      <c r="AG119" s="59" t="n">
        <v>41.65</v>
      </c>
      <c r="AH119" s="59" t="n">
        <v>45.78</v>
      </c>
      <c r="AI119" s="59" t="n">
        <v>43.1</v>
      </c>
      <c r="AJ119" s="59" t="n">
        <v>232.4</v>
      </c>
    </row>
    <row r="120">
      <c r="A120" s="10" t="inlineStr">
        <is>
          <t>Compensated absence expense</t>
        </is>
      </c>
      <c r="B120" s="8" t="inlineStr">
        <is>
          <t>INR Mn</t>
        </is>
      </c>
      <c r="C120" s="8" t="inlineStr">
        <is>
          <t>Company filings</t>
        </is>
      </c>
      <c r="D120" s="62" t="n"/>
      <c r="E120" s="62" t="n"/>
      <c r="F120" s="62" t="n"/>
      <c r="G120" s="62" t="n"/>
      <c r="H120" s="62" t="n"/>
      <c r="I120" s="62" t="n"/>
      <c r="J120" s="62" t="n"/>
      <c r="K120" s="62" t="n"/>
      <c r="L120" s="62" t="n"/>
      <c r="M120" s="62" t="n"/>
      <c r="N120" s="62" t="n"/>
      <c r="O120" s="62" t="n"/>
      <c r="P120" s="62" t="n"/>
      <c r="Q120" s="62" t="n"/>
      <c r="R120" s="62" t="n"/>
      <c r="S120" s="62" t="n"/>
      <c r="T120" s="62" t="n"/>
      <c r="U120" s="62" t="n"/>
      <c r="V120" s="62" t="n"/>
      <c r="W120" s="62" t="n"/>
      <c r="X120" s="62" t="n"/>
      <c r="Y120" s="62" t="n"/>
      <c r="Z120" s="62" t="n"/>
      <c r="AA120" s="62" t="n"/>
      <c r="AB120" s="8" t="n"/>
      <c r="AC120" s="59" t="n">
        <v>0</v>
      </c>
      <c r="AD120" s="59" t="n">
        <v>0</v>
      </c>
      <c r="AE120" s="59" t="n">
        <v>102.81</v>
      </c>
      <c r="AF120" s="59" t="n">
        <v>0.65</v>
      </c>
      <c r="AG120" s="59" t="n">
        <v>30.04</v>
      </c>
      <c r="AH120" s="59" t="n">
        <v>-19.04</v>
      </c>
      <c r="AI120" s="59" t="n">
        <v>23.1</v>
      </c>
      <c r="AJ120" s="59" t="n">
        <v>75.3</v>
      </c>
    </row>
    <row r="121">
      <c r="A121" s="10" t="inlineStr">
        <is>
          <t>Expected credit loss/(reversal)</t>
        </is>
      </c>
      <c r="B121" s="8" t="inlineStr">
        <is>
          <t>INR Mn</t>
        </is>
      </c>
      <c r="C121" s="8" t="inlineStr">
        <is>
          <t>Company filings</t>
        </is>
      </c>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c r="AB121" s="8" t="n"/>
      <c r="AC121" s="59" t="n">
        <v>0.67</v>
      </c>
      <c r="AD121" s="59" t="n">
        <v>0.35</v>
      </c>
      <c r="AE121" s="59" t="n">
        <v>66.67</v>
      </c>
      <c r="AF121" s="59" t="n">
        <v>-23.29</v>
      </c>
      <c r="AG121" s="59" t="n">
        <v>44.8</v>
      </c>
      <c r="AH121" s="59" t="n">
        <v>113.14</v>
      </c>
      <c r="AI121" s="59" t="n">
        <v>-7.8</v>
      </c>
      <c r="AJ121" s="59" t="n">
        <v>8.9</v>
      </c>
    </row>
    <row r="122">
      <c r="A122" s="10" t="inlineStr">
        <is>
          <t>Interest income</t>
        </is>
      </c>
      <c r="B122" s="8" t="inlineStr">
        <is>
          <t>INR Mn</t>
        </is>
      </c>
      <c r="C122" s="8" t="inlineStr">
        <is>
          <t>Company filings</t>
        </is>
      </c>
      <c r="D122" s="62" t="n"/>
      <c r="E122" s="62" t="n"/>
      <c r="F122" s="62" t="n"/>
      <c r="G122" s="62" t="n"/>
      <c r="H122" s="62" t="n"/>
      <c r="I122" s="62" t="n"/>
      <c r="J122" s="62" t="n"/>
      <c r="K122" s="62" t="n"/>
      <c r="L122" s="62" t="n"/>
      <c r="M122" s="62" t="n"/>
      <c r="N122" s="62" t="n"/>
      <c r="O122" s="62" t="n"/>
      <c r="P122" s="62" t="n"/>
      <c r="Q122" s="62" t="n"/>
      <c r="R122" s="62" t="n"/>
      <c r="S122" s="62" t="n"/>
      <c r="T122" s="62" t="n"/>
      <c r="U122" s="62" t="n"/>
      <c r="V122" s="62" t="n"/>
      <c r="W122" s="62" t="n"/>
      <c r="X122" s="62" t="n"/>
      <c r="Y122" s="62" t="n"/>
      <c r="Z122" s="62" t="n"/>
      <c r="AA122" s="62" t="n"/>
      <c r="AB122" s="8" t="n"/>
      <c r="AC122" s="59" t="n">
        <v>-8.279999999999999</v>
      </c>
      <c r="AD122" s="59" t="n">
        <v>-18.86</v>
      </c>
      <c r="AE122" s="59" t="n">
        <v>-102.92</v>
      </c>
      <c r="AF122" s="59" t="n">
        <v>-227.78</v>
      </c>
      <c r="AG122" s="59" t="n">
        <v>-218.59</v>
      </c>
      <c r="AH122" s="59" t="n">
        <v>-197.32</v>
      </c>
      <c r="AI122" s="59" t="n">
        <v>-182.9</v>
      </c>
      <c r="AJ122" s="59" t="n">
        <v>-249.5</v>
      </c>
    </row>
    <row r="123">
      <c r="A123" s="10" t="inlineStr">
        <is>
          <t>Liabilities no longer required, written back</t>
        </is>
      </c>
      <c r="B123" s="8" t="inlineStr">
        <is>
          <t>INR Mn</t>
        </is>
      </c>
      <c r="C123" s="8" t="inlineStr">
        <is>
          <t>Company filings</t>
        </is>
      </c>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c r="AB123" s="8" t="n"/>
      <c r="AC123" s="59" t="n">
        <v>0</v>
      </c>
      <c r="AD123" s="59" t="n">
        <v>0</v>
      </c>
      <c r="AE123" s="59" t="n">
        <v>0</v>
      </c>
      <c r="AF123" s="59" t="n">
        <v>0</v>
      </c>
      <c r="AG123" s="59" t="n">
        <v>-2.19</v>
      </c>
      <c r="AH123" s="59" t="n">
        <v>-18.33</v>
      </c>
      <c r="AI123" s="59" t="n">
        <v>0</v>
      </c>
      <c r="AJ123" s="59" t="n">
        <v>0</v>
      </c>
    </row>
    <row r="124">
      <c r="A124" s="10" t="inlineStr">
        <is>
          <t>Loss on sale of property, plant and equipment</t>
        </is>
      </c>
      <c r="B124" s="8" t="inlineStr">
        <is>
          <t>INR Mn</t>
        </is>
      </c>
      <c r="C124" s="8" t="inlineStr">
        <is>
          <t>Company filings</t>
        </is>
      </c>
      <c r="D124" s="62" t="n"/>
      <c r="E124" s="62" t="n"/>
      <c r="F124" s="62" t="n"/>
      <c r="G124" s="62" t="n"/>
      <c r="H124" s="62" t="n"/>
      <c r="I124" s="62" t="n"/>
      <c r="J124" s="62" t="n"/>
      <c r="K124" s="62" t="n"/>
      <c r="L124" s="62" t="n"/>
      <c r="M124" s="62" t="n"/>
      <c r="N124" s="62" t="n"/>
      <c r="O124" s="62" t="n"/>
      <c r="P124" s="62" t="n"/>
      <c r="Q124" s="62" t="n"/>
      <c r="R124" s="62" t="n"/>
      <c r="S124" s="62" t="n"/>
      <c r="T124" s="62" t="n"/>
      <c r="U124" s="62" t="n"/>
      <c r="V124" s="62" t="n"/>
      <c r="W124" s="62" t="n"/>
      <c r="X124" s="62" t="n"/>
      <c r="Y124" s="62" t="n"/>
      <c r="Z124" s="62" t="n"/>
      <c r="AA124" s="62" t="n"/>
      <c r="AB124" s="8" t="n"/>
      <c r="AC124" s="59" t="n">
        <v>0</v>
      </c>
      <c r="AD124" s="59" t="n">
        <v>0.22</v>
      </c>
      <c r="AE124" s="59" t="n">
        <v>17.76</v>
      </c>
      <c r="AF124" s="59" t="n">
        <v>0</v>
      </c>
      <c r="AG124" s="59" t="n">
        <v>0</v>
      </c>
      <c r="AH124" s="59" t="n">
        <v>0</v>
      </c>
      <c r="AI124" s="59" t="n">
        <v>0</v>
      </c>
      <c r="AJ124" s="59" t="n">
        <v>3.1</v>
      </c>
    </row>
    <row r="125">
      <c r="A125" s="10" t="inlineStr">
        <is>
          <t>Bad debts written off</t>
        </is>
      </c>
      <c r="B125" s="8" t="inlineStr">
        <is>
          <t>INR Mn</t>
        </is>
      </c>
      <c r="C125" s="8" t="inlineStr">
        <is>
          <t>Company filings</t>
        </is>
      </c>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c r="AB125" s="8" t="n"/>
      <c r="AC125" s="59" t="n">
        <v>0</v>
      </c>
      <c r="AD125" s="59" t="n">
        <v>0</v>
      </c>
      <c r="AE125" s="59" t="n">
        <v>0</v>
      </c>
      <c r="AF125" s="59" t="n">
        <v>0</v>
      </c>
      <c r="AG125" s="59" t="n">
        <v>0</v>
      </c>
      <c r="AH125" s="59" t="n">
        <v>0</v>
      </c>
      <c r="AI125" s="59" t="n">
        <v>35.2</v>
      </c>
      <c r="AJ125" s="59" t="n">
        <v>77.7</v>
      </c>
    </row>
    <row r="126">
      <c r="A126" s="10" t="inlineStr">
        <is>
          <t>Gain on termination/cancellation of lease</t>
        </is>
      </c>
      <c r="B126" s="8" t="inlineStr">
        <is>
          <t>INR Mn</t>
        </is>
      </c>
      <c r="C126" s="8" t="inlineStr">
        <is>
          <t>Company filings</t>
        </is>
      </c>
      <c r="D126" s="62" t="n"/>
      <c r="E126" s="62" t="n"/>
      <c r="F126" s="62" t="n"/>
      <c r="G126" s="62" t="n"/>
      <c r="H126" s="62" t="n"/>
      <c r="I126" s="62" t="n"/>
      <c r="J126" s="62" t="n"/>
      <c r="K126" s="62" t="n"/>
      <c r="L126" s="62" t="n"/>
      <c r="M126" s="62" t="n"/>
      <c r="N126" s="62" t="n"/>
      <c r="O126" s="62" t="n"/>
      <c r="P126" s="62" t="n"/>
      <c r="Q126" s="62" t="n"/>
      <c r="R126" s="62" t="n"/>
      <c r="S126" s="62" t="n"/>
      <c r="T126" s="62" t="n"/>
      <c r="U126" s="62" t="n"/>
      <c r="V126" s="62" t="n"/>
      <c r="W126" s="62" t="n"/>
      <c r="X126" s="62" t="n"/>
      <c r="Y126" s="62" t="n"/>
      <c r="Z126" s="62" t="n"/>
      <c r="AA126" s="62" t="n"/>
      <c r="AB126" s="8" t="n"/>
      <c r="AC126" s="59" t="n">
        <v>0</v>
      </c>
      <c r="AD126" s="59" t="n">
        <v>0</v>
      </c>
      <c r="AE126" s="59" t="n">
        <v>-3.44</v>
      </c>
      <c r="AF126" s="59" t="n">
        <v>0</v>
      </c>
      <c r="AG126" s="59" t="n">
        <v>-10.1</v>
      </c>
      <c r="AH126" s="59" t="n">
        <v>-27.46</v>
      </c>
      <c r="AI126" s="59" t="n">
        <v>-38.4</v>
      </c>
      <c r="AJ126" s="59" t="n">
        <v>-13.8</v>
      </c>
    </row>
    <row r="127">
      <c r="A127" s="1" t="inlineStr">
        <is>
          <t>Operating Profit Before Working Capital Changes</t>
        </is>
      </c>
      <c r="B127" s="8" t="inlineStr">
        <is>
          <t>INR Mn</t>
        </is>
      </c>
      <c r="C127" s="8"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c r="AB127" s="8" t="n"/>
      <c r="AC127" s="60">
        <f>AC110+SUM(AC112:AC126)</f>
        <v/>
      </c>
      <c r="AD127" s="60">
        <f>AD110+SUM(AD112:AD126)</f>
        <v/>
      </c>
      <c r="AE127" s="60">
        <f>AE110+SUM(AE112:AE126)</f>
        <v/>
      </c>
      <c r="AF127" s="60">
        <f>AF110+SUM(AF112:AF126)</f>
        <v/>
      </c>
      <c r="AG127" s="60">
        <f>AG110+SUM(AG112:AG126)</f>
        <v/>
      </c>
      <c r="AH127" s="60">
        <f>AH110+SUM(AH112:AH126)</f>
        <v/>
      </c>
      <c r="AI127" s="60">
        <f>AI110+SUM(AI112:AI126)</f>
        <v/>
      </c>
      <c r="AJ127" s="60">
        <f>AJ110+SUM(AJ112:AJ126)</f>
        <v/>
      </c>
    </row>
    <row r="129">
      <c r="A129" s="3" t="inlineStr">
        <is>
          <t>Working capital adjustments</t>
        </is>
      </c>
    </row>
    <row r="130">
      <c r="A130" s="10" t="inlineStr">
        <is>
          <t>(Increase)/Decrease in trade receivables</t>
        </is>
      </c>
      <c r="B130" s="8" t="inlineStr">
        <is>
          <t>INR Mn</t>
        </is>
      </c>
      <c r="C130" s="8" t="inlineStr">
        <is>
          <t>Company filings</t>
        </is>
      </c>
      <c r="D130" s="62" t="n"/>
      <c r="E130" s="62" t="n"/>
      <c r="F130" s="62" t="n"/>
      <c r="G130" s="62" t="n"/>
      <c r="H130" s="62" t="n"/>
      <c r="I130" s="62" t="n"/>
      <c r="J130" s="62" t="n"/>
      <c r="K130" s="62" t="n"/>
      <c r="L130" s="62" t="n"/>
      <c r="M130" s="62" t="n"/>
      <c r="N130" s="62" t="n"/>
      <c r="O130" s="62" t="n"/>
      <c r="P130" s="62" t="n"/>
      <c r="Q130" s="62" t="n"/>
      <c r="R130" s="62" t="n"/>
      <c r="S130" s="62" t="n"/>
      <c r="T130" s="62" t="n"/>
      <c r="U130" s="62" t="n"/>
      <c r="V130" s="62" t="n"/>
      <c r="W130" s="62" t="n"/>
      <c r="X130" s="62" t="n"/>
      <c r="Y130" s="62" t="n"/>
      <c r="Z130" s="62" t="n"/>
      <c r="AA130" s="62" t="n"/>
      <c r="AB130" s="8" t="n"/>
      <c r="AC130" s="59" t="n">
        <v>66.59</v>
      </c>
      <c r="AD130" s="59" t="n">
        <v>-404.76</v>
      </c>
      <c r="AE130" s="59" t="n">
        <v>152.49</v>
      </c>
      <c r="AF130" s="59" t="n">
        <v>-136.97</v>
      </c>
      <c r="AG130" s="59" t="n">
        <v>-718.84</v>
      </c>
      <c r="AH130" s="59" t="n">
        <v>-893.83</v>
      </c>
      <c r="AI130" s="59" t="n">
        <v>-39.3</v>
      </c>
      <c r="AJ130" s="59" t="n">
        <v>-470.3</v>
      </c>
    </row>
    <row r="131">
      <c r="A131" s="10" t="inlineStr">
        <is>
          <t>(Increase) in inventories</t>
        </is>
      </c>
      <c r="B131" s="8" t="inlineStr">
        <is>
          <t>INR Mn</t>
        </is>
      </c>
      <c r="C131" s="8" t="inlineStr">
        <is>
          <t>Company filings</t>
        </is>
      </c>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c r="AB131" s="8" t="n"/>
      <c r="AC131" s="59" t="n">
        <v>-1256.67</v>
      </c>
      <c r="AD131" s="59" t="n">
        <v>-2007.45</v>
      </c>
      <c r="AE131" s="59" t="n">
        <v>-521.3099999999999</v>
      </c>
      <c r="AF131" s="59" t="n">
        <v>-3719.01</v>
      </c>
      <c r="AG131" s="59" t="n">
        <v>-1295.19</v>
      </c>
      <c r="AH131" s="59" t="n">
        <v>-1869.06</v>
      </c>
      <c r="AI131" s="59" t="n">
        <v>-2170</v>
      </c>
      <c r="AJ131" s="59" t="n">
        <v>-2246.2</v>
      </c>
    </row>
    <row r="132">
      <c r="A132" s="10" t="inlineStr">
        <is>
          <t>(Increase)/Decrease in current financial assets</t>
        </is>
      </c>
      <c r="B132" s="8" t="inlineStr">
        <is>
          <t>INR Mn</t>
        </is>
      </c>
      <c r="C132" s="8" t="inlineStr">
        <is>
          <t>Company filings</t>
        </is>
      </c>
      <c r="D132" s="62" t="n"/>
      <c r="E132" s="62" t="n"/>
      <c r="F132" s="62" t="n"/>
      <c r="G132" s="62" t="n"/>
      <c r="H132" s="62" t="n"/>
      <c r="I132" s="62" t="n"/>
      <c r="J132" s="62" t="n"/>
      <c r="K132" s="62" t="n"/>
      <c r="L132" s="62" t="n"/>
      <c r="M132" s="62" t="n"/>
      <c r="N132" s="62" t="n"/>
      <c r="O132" s="62" t="n"/>
      <c r="P132" s="62" t="n"/>
      <c r="Q132" s="62" t="n"/>
      <c r="R132" s="62" t="n"/>
      <c r="S132" s="62" t="n"/>
      <c r="T132" s="62" t="n"/>
      <c r="U132" s="62" t="n"/>
      <c r="V132" s="62" t="n"/>
      <c r="W132" s="62" t="n"/>
      <c r="X132" s="62" t="n"/>
      <c r="Y132" s="62" t="n"/>
      <c r="Z132" s="62" t="n"/>
      <c r="AA132" s="62" t="n"/>
      <c r="AB132" s="8" t="n"/>
      <c r="AC132" s="59" t="n">
        <v>-466.68</v>
      </c>
      <c r="AD132" s="59" t="n">
        <v>207.75</v>
      </c>
      <c r="AE132" s="59" t="n">
        <v>-262.24</v>
      </c>
      <c r="AF132" s="59" t="n">
        <v>-413.29</v>
      </c>
      <c r="AG132" s="59" t="n">
        <v>-91.44</v>
      </c>
      <c r="AH132" s="59" t="n">
        <v>-591.51</v>
      </c>
      <c r="AI132" s="59" t="n">
        <v>140.3</v>
      </c>
      <c r="AJ132" s="59" t="n">
        <v>-187.9</v>
      </c>
    </row>
    <row r="133">
      <c r="A133" s="10" t="inlineStr">
        <is>
          <t>(Increase)/Decrease in current loans</t>
        </is>
      </c>
      <c r="B133" s="8" t="inlineStr">
        <is>
          <t>INR Mn</t>
        </is>
      </c>
      <c r="C133" s="8" t="inlineStr">
        <is>
          <t>Company filings</t>
        </is>
      </c>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c r="AB133" s="8" t="n"/>
      <c r="AC133" s="59" t="n">
        <v>-35.21</v>
      </c>
      <c r="AD133" s="59" t="n">
        <v>-9.949999999999999</v>
      </c>
      <c r="AE133" s="59" t="n">
        <v>39.96</v>
      </c>
      <c r="AF133" s="59" t="n">
        <v>0</v>
      </c>
      <c r="AG133" s="59" t="n">
        <v>0</v>
      </c>
      <c r="AH133" s="59" t="n">
        <v>0</v>
      </c>
      <c r="AI133" s="59" t="n">
        <v>0</v>
      </c>
      <c r="AJ133" s="59" t="n">
        <v>0</v>
      </c>
    </row>
    <row r="134">
      <c r="A134" s="10" t="inlineStr">
        <is>
          <t>(Increase) in non-current financial assets</t>
        </is>
      </c>
      <c r="B134" s="8" t="inlineStr">
        <is>
          <t>INR Mn</t>
        </is>
      </c>
      <c r="C134" s="8" t="inlineStr">
        <is>
          <t>Company filings</t>
        </is>
      </c>
      <c r="D134" s="62" t="n"/>
      <c r="E134" s="62" t="n"/>
      <c r="F134" s="62" t="n"/>
      <c r="G134" s="62" t="n"/>
      <c r="H134" s="62" t="n"/>
      <c r="I134" s="62" t="n"/>
      <c r="J134" s="62" t="n"/>
      <c r="K134" s="62" t="n"/>
      <c r="L134" s="62" t="n"/>
      <c r="M134" s="62" t="n"/>
      <c r="N134" s="62" t="n"/>
      <c r="O134" s="62" t="n"/>
      <c r="P134" s="62" t="n"/>
      <c r="Q134" s="62" t="n"/>
      <c r="R134" s="62" t="n"/>
      <c r="S134" s="62" t="n"/>
      <c r="T134" s="62" t="n"/>
      <c r="U134" s="62" t="n"/>
      <c r="V134" s="62" t="n"/>
      <c r="W134" s="62" t="n"/>
      <c r="X134" s="62" t="n"/>
      <c r="Y134" s="62" t="n"/>
      <c r="Z134" s="62" t="n"/>
      <c r="AA134" s="62" t="n"/>
      <c r="AB134" s="8" t="n"/>
      <c r="AC134" s="59" t="n">
        <v>0</v>
      </c>
      <c r="AD134" s="59" t="n">
        <v>0</v>
      </c>
      <c r="AE134" s="59" t="n">
        <v>0</v>
      </c>
      <c r="AF134" s="59" t="n">
        <v>-193.69</v>
      </c>
      <c r="AG134" s="59" t="n">
        <v>-223.02</v>
      </c>
      <c r="AH134" s="59" t="n">
        <v>-106.99</v>
      </c>
      <c r="AI134" s="59" t="n">
        <v>-74.40000000000001</v>
      </c>
      <c r="AJ134" s="59" t="n">
        <v>-271.1</v>
      </c>
    </row>
    <row r="135">
      <c r="A135" s="10" t="inlineStr">
        <is>
          <t>(Increase) in non-current loans</t>
        </is>
      </c>
      <c r="B135" s="8" t="inlineStr">
        <is>
          <t>INR Mn</t>
        </is>
      </c>
      <c r="C135" s="8" t="inlineStr">
        <is>
          <t>Company filings</t>
        </is>
      </c>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c r="AB135" s="8" t="n"/>
      <c r="AC135" s="59" t="n">
        <v>-22.33</v>
      </c>
      <c r="AD135" s="59" t="n">
        <v>-49.53</v>
      </c>
      <c r="AE135" s="59" t="n">
        <v>-108.73</v>
      </c>
      <c r="AF135" s="59" t="n">
        <v>0</v>
      </c>
      <c r="AG135" s="59" t="n">
        <v>0</v>
      </c>
      <c r="AH135" s="59" t="n">
        <v>0</v>
      </c>
      <c r="AI135" s="59" t="n">
        <v>0</v>
      </c>
      <c r="AJ135" s="59" t="n">
        <v>0</v>
      </c>
    </row>
    <row r="136">
      <c r="A136" s="10" t="inlineStr">
        <is>
          <t>(Increase) in other current assets</t>
        </is>
      </c>
      <c r="B136" s="8" t="inlineStr">
        <is>
          <t>INR Mn</t>
        </is>
      </c>
      <c r="C136" s="8" t="inlineStr">
        <is>
          <t>Company filings</t>
        </is>
      </c>
      <c r="D136" s="62" t="n"/>
      <c r="E136" s="62" t="n"/>
      <c r="F136" s="62" t="n"/>
      <c r="G136" s="62" t="n"/>
      <c r="H136" s="62" t="n"/>
      <c r="I136" s="62" t="n"/>
      <c r="J136" s="62" t="n"/>
      <c r="K136" s="62" t="n"/>
      <c r="L136" s="62" t="n"/>
      <c r="M136" s="62" t="n"/>
      <c r="N136" s="62" t="n"/>
      <c r="O136" s="62" t="n"/>
      <c r="P136" s="62" t="n"/>
      <c r="Q136" s="62" t="n"/>
      <c r="R136" s="62" t="n"/>
      <c r="S136" s="62" t="n"/>
      <c r="T136" s="62" t="n"/>
      <c r="U136" s="62" t="n"/>
      <c r="V136" s="62" t="n"/>
      <c r="W136" s="62" t="n"/>
      <c r="X136" s="62" t="n"/>
      <c r="Y136" s="62" t="n"/>
      <c r="Z136" s="62" t="n"/>
      <c r="AA136" s="62" t="n"/>
      <c r="AB136" s="8" t="n"/>
      <c r="AC136" s="59" t="n">
        <v>-575.89</v>
      </c>
      <c r="AD136" s="59" t="n">
        <v>8.07</v>
      </c>
      <c r="AE136" s="59" t="n">
        <v>-157.04</v>
      </c>
      <c r="AF136" s="59" t="n">
        <v>-1169.2</v>
      </c>
      <c r="AG136" s="59" t="n">
        <v>-1213.21</v>
      </c>
      <c r="AH136" s="59" t="n">
        <v>-1124.19</v>
      </c>
      <c r="AI136" s="59" t="n">
        <v>-832.4</v>
      </c>
      <c r="AJ136" s="59" t="n">
        <v>-1011.7</v>
      </c>
    </row>
    <row r="137">
      <c r="A137" s="10" t="inlineStr">
        <is>
          <t>(Increase)/Decrease in other non-current assets</t>
        </is>
      </c>
      <c r="B137" s="8" t="inlineStr">
        <is>
          <t>INR Mn</t>
        </is>
      </c>
      <c r="C137" s="8" t="inlineStr">
        <is>
          <t>Company filings</t>
        </is>
      </c>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c r="AB137" s="8" t="n"/>
      <c r="AC137" s="59" t="n">
        <v>239.07</v>
      </c>
      <c r="AD137" s="59" t="n">
        <v>-22.18</v>
      </c>
      <c r="AE137" s="59" t="n">
        <v>25.38</v>
      </c>
      <c r="AF137" s="59" t="n">
        <v>-35</v>
      </c>
      <c r="AG137" s="59" t="n">
        <v>-67.7</v>
      </c>
      <c r="AH137" s="59" t="n">
        <v>31.92</v>
      </c>
      <c r="AI137" s="59" t="n">
        <v>-6.5</v>
      </c>
      <c r="AJ137" s="59" t="n">
        <v>52</v>
      </c>
    </row>
    <row r="138">
      <c r="A138" s="10" t="inlineStr">
        <is>
          <t>Increase/(Decrease) in trade payables</t>
        </is>
      </c>
      <c r="B138" s="8" t="inlineStr">
        <is>
          <t>INR Mn</t>
        </is>
      </c>
      <c r="C138" s="8" t="inlineStr">
        <is>
          <t>Company filings</t>
        </is>
      </c>
      <c r="D138" s="62" t="n"/>
      <c r="E138" s="62" t="n"/>
      <c r="F138" s="62" t="n"/>
      <c r="G138" s="62" t="n"/>
      <c r="H138" s="62" t="n"/>
      <c r="I138" s="62" t="n"/>
      <c r="J138" s="62" t="n"/>
      <c r="K138" s="62" t="n"/>
      <c r="L138" s="62" t="n"/>
      <c r="M138" s="62" t="n"/>
      <c r="N138" s="62" t="n"/>
      <c r="O138" s="62" t="n"/>
      <c r="P138" s="62" t="n"/>
      <c r="Q138" s="62" t="n"/>
      <c r="R138" s="62" t="n"/>
      <c r="S138" s="62" t="n"/>
      <c r="T138" s="62" t="n"/>
      <c r="U138" s="62" t="n"/>
      <c r="V138" s="62" t="n"/>
      <c r="W138" s="62" t="n"/>
      <c r="X138" s="62" t="n"/>
      <c r="Y138" s="62" t="n"/>
      <c r="Z138" s="62" t="n"/>
      <c r="AA138" s="62" t="n"/>
      <c r="AB138" s="8" t="n"/>
      <c r="AC138" s="59" t="n">
        <v>568.8</v>
      </c>
      <c r="AD138" s="59" t="n">
        <v>1314.99</v>
      </c>
      <c r="AE138" s="59" t="n">
        <v>21.18</v>
      </c>
      <c r="AF138" s="59" t="n">
        <v>412.38</v>
      </c>
      <c r="AG138" s="59" t="n">
        <v>-987.0599999999999</v>
      </c>
      <c r="AH138" s="59" t="n">
        <v>1220.8</v>
      </c>
      <c r="AI138" s="59" t="n">
        <v>2458</v>
      </c>
      <c r="AJ138" s="59" t="n">
        <v>979.8</v>
      </c>
    </row>
    <row r="139">
      <c r="A139" s="10" t="inlineStr">
        <is>
          <t>Increase/(Decrease) in provisions (current)</t>
        </is>
      </c>
      <c r="B139" s="8" t="inlineStr">
        <is>
          <t>INR Mn</t>
        </is>
      </c>
      <c r="C139" s="8" t="inlineStr">
        <is>
          <t>Company filings</t>
        </is>
      </c>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c r="AB139" s="8" t="n"/>
      <c r="AC139" s="59" t="n">
        <v>0.18</v>
      </c>
      <c r="AD139" s="59" t="n">
        <v>0.3</v>
      </c>
      <c r="AE139" s="59" t="n">
        <v>107.8</v>
      </c>
      <c r="AF139" s="59" t="n">
        <v>-20.18</v>
      </c>
      <c r="AG139" s="59" t="n">
        <v>16.89</v>
      </c>
      <c r="AH139" s="59" t="n">
        <v>-26.96</v>
      </c>
      <c r="AI139" s="59" t="n">
        <v>12.1</v>
      </c>
      <c r="AJ139" s="59" t="n">
        <v>166.2</v>
      </c>
    </row>
    <row r="140">
      <c r="A140" s="10" t="inlineStr">
        <is>
          <t>Increase in current financial liabilities</t>
        </is>
      </c>
      <c r="B140" s="8" t="inlineStr">
        <is>
          <t>INR Mn</t>
        </is>
      </c>
      <c r="C140" s="8" t="inlineStr">
        <is>
          <t>Company filings</t>
        </is>
      </c>
      <c r="D140" s="62" t="n"/>
      <c r="E140" s="62" t="n"/>
      <c r="F140" s="62" t="n"/>
      <c r="G140" s="62" t="n"/>
      <c r="H140" s="62" t="n"/>
      <c r="I140" s="62" t="n"/>
      <c r="J140" s="62" t="n"/>
      <c r="K140" s="62" t="n"/>
      <c r="L140" s="62" t="n"/>
      <c r="M140" s="62" t="n"/>
      <c r="N140" s="62" t="n"/>
      <c r="O140" s="62" t="n"/>
      <c r="P140" s="62" t="n"/>
      <c r="Q140" s="62" t="n"/>
      <c r="R140" s="62" t="n"/>
      <c r="S140" s="62" t="n"/>
      <c r="T140" s="62" t="n"/>
      <c r="U140" s="62" t="n"/>
      <c r="V140" s="62" t="n"/>
      <c r="W140" s="62" t="n"/>
      <c r="X140" s="62" t="n"/>
      <c r="Y140" s="62" t="n"/>
      <c r="Z140" s="62" t="n"/>
      <c r="AA140" s="62" t="n"/>
      <c r="AB140" s="8" t="n"/>
      <c r="AC140" s="59" t="n">
        <v>104.9</v>
      </c>
      <c r="AD140" s="59" t="n">
        <v>187.85</v>
      </c>
      <c r="AE140" s="59" t="n">
        <v>462.02</v>
      </c>
      <c r="AF140" s="59" t="n">
        <v>620.5599999999999</v>
      </c>
      <c r="AG140" s="59" t="n">
        <v>1094.88</v>
      </c>
      <c r="AH140" s="59" t="n">
        <v>861.16</v>
      </c>
      <c r="AI140" s="59" t="n">
        <v>633.5</v>
      </c>
      <c r="AJ140" s="59" t="n">
        <v>2461.6</v>
      </c>
    </row>
    <row r="141">
      <c r="A141" s="10" t="inlineStr">
        <is>
          <t>Increase/(Decrease) in other current liabilities</t>
        </is>
      </c>
      <c r="B141" s="8" t="inlineStr">
        <is>
          <t>INR Mn</t>
        </is>
      </c>
      <c r="C141" s="8" t="inlineStr">
        <is>
          <t>Company filings</t>
        </is>
      </c>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c r="AB141" s="8" t="n"/>
      <c r="AC141" s="59" t="n">
        <v>93.59</v>
      </c>
      <c r="AD141" s="59" t="n">
        <v>-39.14</v>
      </c>
      <c r="AE141" s="59" t="n">
        <v>91.84999999999999</v>
      </c>
      <c r="AF141" s="59" t="n">
        <v>4.07</v>
      </c>
      <c r="AG141" s="59" t="n">
        <v>250.56</v>
      </c>
      <c r="AH141" s="59" t="n">
        <v>-5.26</v>
      </c>
      <c r="AI141" s="59" t="n">
        <v>131.5</v>
      </c>
      <c r="AJ141" s="59" t="n">
        <v>508.8</v>
      </c>
    </row>
    <row r="142">
      <c r="A142" s="10" t="inlineStr">
        <is>
          <t>Increase/(Decrease) in long-term provisions</t>
        </is>
      </c>
      <c r="B142" s="8" t="inlineStr">
        <is>
          <t>INR Mn</t>
        </is>
      </c>
      <c r="C142" s="8" t="inlineStr">
        <is>
          <t>Company filings</t>
        </is>
      </c>
      <c r="D142" s="62" t="n"/>
      <c r="E142" s="62" t="n"/>
      <c r="F142" s="62" t="n"/>
      <c r="G142" s="62" t="n"/>
      <c r="H142" s="62" t="n"/>
      <c r="I142" s="62" t="n"/>
      <c r="J142" s="62" t="n"/>
      <c r="K142" s="62" t="n"/>
      <c r="L142" s="62" t="n"/>
      <c r="M142" s="62" t="n"/>
      <c r="N142" s="62" t="n"/>
      <c r="O142" s="62" t="n"/>
      <c r="P142" s="62" t="n"/>
      <c r="Q142" s="62" t="n"/>
      <c r="R142" s="62" t="n"/>
      <c r="S142" s="62" t="n"/>
      <c r="T142" s="62" t="n"/>
      <c r="U142" s="62" t="n"/>
      <c r="V142" s="62" t="n"/>
      <c r="W142" s="62" t="n"/>
      <c r="X142" s="62" t="n"/>
      <c r="Y142" s="62" t="n"/>
      <c r="Z142" s="62" t="n"/>
      <c r="AA142" s="62" t="n"/>
      <c r="AB142" s="8" t="n"/>
      <c r="AC142" s="59" t="n">
        <v>-0.18</v>
      </c>
      <c r="AD142" s="59" t="n">
        <v>28.15</v>
      </c>
      <c r="AE142" s="59" t="n">
        <v>-124.39</v>
      </c>
      <c r="AF142" s="59" t="n">
        <v>1.07</v>
      </c>
      <c r="AG142" s="59" t="n">
        <v>-56.24</v>
      </c>
      <c r="AH142" s="59" t="n">
        <v>-9.06</v>
      </c>
      <c r="AI142" s="59" t="n">
        <v>-42.1</v>
      </c>
      <c r="AJ142" s="59" t="n">
        <v>-132.6</v>
      </c>
    </row>
    <row r="143">
      <c r="A143" s="1" t="inlineStr">
        <is>
          <t>Cash Flows from Operating Activities</t>
        </is>
      </c>
      <c r="B143" s="8" t="inlineStr">
        <is>
          <t>INR Mn</t>
        </is>
      </c>
      <c r="C143" s="8"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c r="AB143" s="8" t="n"/>
      <c r="AC143" s="60">
        <f>AC127+SUM(AC130:AC142)</f>
        <v/>
      </c>
      <c r="AD143" s="60">
        <f>AD127+SUM(AD130:AD142)</f>
        <v/>
      </c>
      <c r="AE143" s="60">
        <f>AE127+SUM(AE130:AE142)</f>
        <v/>
      </c>
      <c r="AF143" s="60">
        <f>AF127+SUM(AF130:AF142)</f>
        <v/>
      </c>
      <c r="AG143" s="60">
        <f>AG127+SUM(AG130:AG142)</f>
        <v/>
      </c>
      <c r="AH143" s="60">
        <f>AH127+SUM(AH130:AH142)</f>
        <v/>
      </c>
      <c r="AI143" s="60">
        <f>AI127+SUM(AI130:AI142)</f>
        <v/>
      </c>
      <c r="AJ143" s="60">
        <f>AJ127+SUM(AJ130:AJ142)</f>
        <v/>
      </c>
    </row>
    <row r="144">
      <c r="A144" s="7" t="inlineStr">
        <is>
          <t>Payment of taxes (net)</t>
        </is>
      </c>
      <c r="B144" s="8" t="inlineStr">
        <is>
          <t>INR Mn</t>
        </is>
      </c>
      <c r="C144" s="8" t="inlineStr">
        <is>
          <t>Company filings</t>
        </is>
      </c>
      <c r="D144" s="62" t="n"/>
      <c r="E144" s="62" t="n"/>
      <c r="F144" s="62" t="n"/>
      <c r="G144" s="62" t="n"/>
      <c r="H144" s="62" t="n"/>
      <c r="I144" s="62" t="n"/>
      <c r="J144" s="62" t="n"/>
      <c r="K144" s="62" t="n"/>
      <c r="L144" s="62" t="n"/>
      <c r="M144" s="62" t="n"/>
      <c r="N144" s="62" t="n"/>
      <c r="O144" s="62" t="n"/>
      <c r="P144" s="62" t="n"/>
      <c r="Q144" s="62" t="n"/>
      <c r="R144" s="62" t="n"/>
      <c r="S144" s="62" t="n"/>
      <c r="T144" s="62" t="n"/>
      <c r="U144" s="62" t="n"/>
      <c r="V144" s="62" t="n"/>
      <c r="W144" s="62" t="n"/>
      <c r="X144" s="62" t="n"/>
      <c r="Y144" s="62" t="n"/>
      <c r="Z144" s="62" t="n"/>
      <c r="AA144" s="62" t="n"/>
      <c r="AB144" s="8" t="n"/>
      <c r="AC144" s="59" t="n">
        <v>0</v>
      </c>
      <c r="AD144" s="59" t="n">
        <v>-42.67</v>
      </c>
      <c r="AE144" s="59" t="n">
        <v>-131.71</v>
      </c>
      <c r="AF144" s="59" t="n">
        <v>-721.5700000000001</v>
      </c>
      <c r="AG144" s="59" t="n">
        <v>-951.05</v>
      </c>
      <c r="AH144" s="59" t="n">
        <v>-1312.25</v>
      </c>
      <c r="AI144" s="59" t="n">
        <v>-597.4</v>
      </c>
      <c r="AJ144" s="59" t="n">
        <v>-1351.7</v>
      </c>
    </row>
    <row r="145">
      <c r="A145" s="1" t="inlineStr">
        <is>
          <t>Net Cash Flow from Operating Activities (A)</t>
        </is>
      </c>
      <c r="B145" s="8" t="inlineStr">
        <is>
          <t>INR Mn</t>
        </is>
      </c>
      <c r="C145" s="8"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c r="AB145" s="8" t="n"/>
      <c r="AC145" s="60">
        <f>AC143+AC144</f>
        <v/>
      </c>
      <c r="AD145" s="60">
        <f>AD143+AD144</f>
        <v/>
      </c>
      <c r="AE145" s="60">
        <f>AE143+AE144</f>
        <v/>
      </c>
      <c r="AF145" s="60">
        <f>AF143+AF144</f>
        <v/>
      </c>
      <c r="AG145" s="60">
        <f>AG143+AG144</f>
        <v/>
      </c>
      <c r="AH145" s="60">
        <f>AH143+AH144</f>
        <v/>
      </c>
      <c r="AI145" s="60">
        <f>AI143+AI144</f>
        <v/>
      </c>
      <c r="AJ145" s="60">
        <f>AJ143+AJ144</f>
        <v/>
      </c>
    </row>
    <row r="147">
      <c r="A147" s="9" t="inlineStr">
        <is>
          <t>Investing activities</t>
        </is>
      </c>
    </row>
    <row r="148">
      <c r="A148" s="10" t="inlineStr">
        <is>
          <t>Purchase of PP&amp;E and other intangible assets</t>
        </is>
      </c>
      <c r="B148" s="8" t="inlineStr">
        <is>
          <t>INR Mn</t>
        </is>
      </c>
      <c r="C148" s="8" t="inlineStr">
        <is>
          <t>Company filings</t>
        </is>
      </c>
      <c r="D148" s="62" t="n"/>
      <c r="E148" s="62" t="n"/>
      <c r="F148" s="62" t="n"/>
      <c r="G148" s="62" t="n"/>
      <c r="H148" s="62" t="n"/>
      <c r="I148" s="62" t="n"/>
      <c r="J148" s="62" t="n"/>
      <c r="K148" s="62" t="n"/>
      <c r="L148" s="62" t="n"/>
      <c r="M148" s="62" t="n"/>
      <c r="N148" s="62" t="n"/>
      <c r="O148" s="62" t="n"/>
      <c r="P148" s="62" t="n"/>
      <c r="Q148" s="62" t="n"/>
      <c r="R148" s="62" t="n"/>
      <c r="S148" s="62" t="n"/>
      <c r="T148" s="62" t="n"/>
      <c r="U148" s="62" t="n"/>
      <c r="V148" s="62" t="n"/>
      <c r="W148" s="62" t="n"/>
      <c r="X148" s="62" t="n"/>
      <c r="Y148" s="62" t="n"/>
      <c r="Z148" s="62" t="n"/>
      <c r="AA148" s="62" t="n"/>
      <c r="AB148" s="8" t="n"/>
      <c r="AC148" s="59" t="n">
        <v>-349.13</v>
      </c>
      <c r="AD148" s="59" t="n">
        <v>-457.04</v>
      </c>
      <c r="AE148" s="59" t="n">
        <v>-420.71</v>
      </c>
      <c r="AF148" s="59" t="n">
        <v>-939.73</v>
      </c>
      <c r="AG148" s="59" t="n">
        <v>-2081.61</v>
      </c>
      <c r="AH148" s="59" t="n">
        <v>-1107.28</v>
      </c>
      <c r="AI148" s="59" t="n">
        <v>-1272.2</v>
      </c>
      <c r="AJ148" s="59" t="n">
        <v>-1538.7</v>
      </c>
    </row>
    <row r="149">
      <c r="A149" s="10" t="inlineStr">
        <is>
          <t>Proceeds from sale of property, plant and equipment</t>
        </is>
      </c>
      <c r="B149" s="8" t="inlineStr">
        <is>
          <t>INR Mn</t>
        </is>
      </c>
      <c r="C149" s="8" t="inlineStr">
        <is>
          <t>Company filings</t>
        </is>
      </c>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c r="AB149" s="8" t="n"/>
      <c r="AC149" s="59" t="n">
        <v>0</v>
      </c>
      <c r="AD149" s="59" t="n">
        <v>0</v>
      </c>
      <c r="AE149" s="59" t="n">
        <v>0</v>
      </c>
      <c r="AF149" s="59" t="n">
        <v>0</v>
      </c>
      <c r="AG149" s="59" t="n">
        <v>0</v>
      </c>
      <c r="AH149" s="59" t="n">
        <v>0</v>
      </c>
      <c r="AI149" s="59" t="n">
        <v>0</v>
      </c>
      <c r="AJ149" s="59" t="n">
        <v>21</v>
      </c>
    </row>
    <row r="150">
      <c r="A150" s="10" t="inlineStr">
        <is>
          <t>Sale of investments in mutual funds</t>
        </is>
      </c>
      <c r="B150" s="8" t="inlineStr">
        <is>
          <t>INR Mn</t>
        </is>
      </c>
      <c r="C150" s="8" t="inlineStr">
        <is>
          <t>Company filings</t>
        </is>
      </c>
      <c r="D150" s="62" t="n"/>
      <c r="E150" s="62" t="n"/>
      <c r="F150" s="62" t="n"/>
      <c r="G150" s="62" t="n"/>
      <c r="H150" s="62" t="n"/>
      <c r="I150" s="62" t="n"/>
      <c r="J150" s="62" t="n"/>
      <c r="K150" s="62" t="n"/>
      <c r="L150" s="62" t="n"/>
      <c r="M150" s="62" t="n"/>
      <c r="N150" s="62" t="n"/>
      <c r="O150" s="62" t="n"/>
      <c r="P150" s="62" t="n"/>
      <c r="Q150" s="62" t="n"/>
      <c r="R150" s="62" t="n"/>
      <c r="S150" s="62" t="n"/>
      <c r="T150" s="62" t="n"/>
      <c r="U150" s="62" t="n"/>
      <c r="V150" s="62" t="n"/>
      <c r="W150" s="62" t="n"/>
      <c r="X150" s="62" t="n"/>
      <c r="Y150" s="62" t="n"/>
      <c r="Z150" s="62" t="n"/>
      <c r="AA150" s="62" t="n"/>
      <c r="AB150" s="8" t="n"/>
      <c r="AC150" s="59" t="n">
        <v>0</v>
      </c>
      <c r="AD150" s="59" t="n">
        <v>0</v>
      </c>
      <c r="AE150" s="59" t="n">
        <v>0</v>
      </c>
      <c r="AF150" s="59" t="n">
        <v>5.47</v>
      </c>
      <c r="AG150" s="59" t="n">
        <v>0</v>
      </c>
      <c r="AH150" s="59" t="n">
        <v>0</v>
      </c>
      <c r="AI150" s="59" t="n">
        <v>0</v>
      </c>
      <c r="AJ150" s="59" t="n">
        <v>0</v>
      </c>
    </row>
    <row r="151">
      <c r="A151" s="10" t="inlineStr">
        <is>
          <t>Investment in subsidiary (net of cash acquired)</t>
        </is>
      </c>
      <c r="B151" s="8" t="inlineStr">
        <is>
          <t>INR Mn</t>
        </is>
      </c>
      <c r="C151" s="8" t="inlineStr">
        <is>
          <t>Company filings</t>
        </is>
      </c>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c r="AB151" s="8" t="n"/>
      <c r="AC151" s="59" t="n">
        <v>0</v>
      </c>
      <c r="AD151" s="59" t="n">
        <v>0</v>
      </c>
      <c r="AE151" s="59" t="n">
        <v>0</v>
      </c>
      <c r="AF151" s="59" t="n">
        <v>-510.84</v>
      </c>
      <c r="AG151" s="59" t="n">
        <v>-285.92</v>
      </c>
      <c r="AH151" s="59" t="n">
        <v>0</v>
      </c>
      <c r="AI151" s="59" t="n">
        <v>0</v>
      </c>
      <c r="AJ151" s="59" t="n">
        <v>0</v>
      </c>
    </row>
    <row r="152">
      <c r="A152" s="10" t="inlineStr">
        <is>
          <t>Fixed deposits - placed/(redeemed), net</t>
        </is>
      </c>
      <c r="B152" s="8" t="inlineStr">
        <is>
          <t>INR Mn</t>
        </is>
      </c>
      <c r="C152" s="8" t="inlineStr">
        <is>
          <t>Company filings</t>
        </is>
      </c>
      <c r="D152" s="62" t="n"/>
      <c r="E152" s="62" t="n"/>
      <c r="F152" s="62" t="n"/>
      <c r="G152" s="62" t="n"/>
      <c r="H152" s="62" t="n"/>
      <c r="I152" s="62" t="n"/>
      <c r="J152" s="62" t="n"/>
      <c r="K152" s="62" t="n"/>
      <c r="L152" s="62" t="n"/>
      <c r="M152" s="62" t="n"/>
      <c r="N152" s="62" t="n"/>
      <c r="O152" s="62" t="n"/>
      <c r="P152" s="62" t="n"/>
      <c r="Q152" s="62" t="n"/>
      <c r="R152" s="62" t="n"/>
      <c r="S152" s="62" t="n"/>
      <c r="T152" s="62" t="n"/>
      <c r="U152" s="62" t="n"/>
      <c r="V152" s="62" t="n"/>
      <c r="W152" s="62" t="n"/>
      <c r="X152" s="62" t="n"/>
      <c r="Y152" s="62" t="n"/>
      <c r="Z152" s="62" t="n"/>
      <c r="AA152" s="62" t="n"/>
      <c r="AB152" s="8" t="n"/>
      <c r="AC152" s="59" t="n">
        <v>-2.31</v>
      </c>
      <c r="AD152" s="59" t="n">
        <v>-738.9400000000001</v>
      </c>
      <c r="AE152" s="59" t="n">
        <v>-896.6</v>
      </c>
      <c r="AF152" s="59" t="n">
        <v>-4745.51</v>
      </c>
      <c r="AG152" s="59" t="n">
        <v>3998.86</v>
      </c>
      <c r="AH152" s="59" t="n">
        <v>1348.98</v>
      </c>
      <c r="AI152" s="59" t="n">
        <v>-969.9</v>
      </c>
      <c r="AJ152" s="59" t="n">
        <v>231.8</v>
      </c>
    </row>
    <row r="153">
      <c r="A153" s="10" t="inlineStr">
        <is>
          <t>Bank deposits (net)</t>
        </is>
      </c>
      <c r="B153" s="8" t="inlineStr">
        <is>
          <t>INR Mn</t>
        </is>
      </c>
      <c r="C153" s="8" t="inlineStr">
        <is>
          <t>Company filings</t>
        </is>
      </c>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c r="AB153" s="8" t="n"/>
      <c r="AC153" s="59" t="n">
        <v>0</v>
      </c>
      <c r="AD153" s="59" t="n">
        <v>0</v>
      </c>
      <c r="AE153" s="59" t="n">
        <v>0</v>
      </c>
      <c r="AF153" s="59" t="n">
        <v>0</v>
      </c>
      <c r="AG153" s="59" t="n">
        <v>0</v>
      </c>
      <c r="AH153" s="59" t="n">
        <v>-561.09</v>
      </c>
      <c r="AI153" s="59" t="n">
        <v>382.3</v>
      </c>
      <c r="AJ153" s="59" t="n">
        <v>-506.2</v>
      </c>
    </row>
    <row r="154">
      <c r="A154" s="10" t="inlineStr">
        <is>
          <t>Proceeds from/(purchase) of investments, net</t>
        </is>
      </c>
      <c r="B154" s="8" t="inlineStr">
        <is>
          <t>INR Mn</t>
        </is>
      </c>
      <c r="C154" s="8" t="inlineStr">
        <is>
          <t>Company filings</t>
        </is>
      </c>
      <c r="D154" s="62" t="n"/>
      <c r="E154" s="62" t="n"/>
      <c r="F154" s="62" t="n"/>
      <c r="G154" s="62" t="n"/>
      <c r="H154" s="62" t="n"/>
      <c r="I154" s="62" t="n"/>
      <c r="J154" s="62" t="n"/>
      <c r="K154" s="62" t="n"/>
      <c r="L154" s="62" t="n"/>
      <c r="M154" s="62" t="n"/>
      <c r="N154" s="62" t="n"/>
      <c r="O154" s="62" t="n"/>
      <c r="P154" s="62" t="n"/>
      <c r="Q154" s="62" t="n"/>
      <c r="R154" s="62" t="n"/>
      <c r="S154" s="62" t="n"/>
      <c r="T154" s="62" t="n"/>
      <c r="U154" s="62" t="n"/>
      <c r="V154" s="62" t="n"/>
      <c r="W154" s="62" t="n"/>
      <c r="X154" s="62" t="n"/>
      <c r="Y154" s="62" t="n"/>
      <c r="Z154" s="62" t="n"/>
      <c r="AA154" s="62" t="n"/>
      <c r="AB154" s="8" t="n"/>
      <c r="AC154" s="59" t="n">
        <v>-1268.45</v>
      </c>
      <c r="AD154" s="59" t="n">
        <v>1344.67</v>
      </c>
      <c r="AE154" s="59" t="n">
        <v>0</v>
      </c>
      <c r="AF154" s="59" t="n">
        <v>0</v>
      </c>
      <c r="AG154" s="59" t="n">
        <v>0</v>
      </c>
      <c r="AH154" s="59" t="n">
        <v>0</v>
      </c>
      <c r="AI154" s="59" t="n">
        <v>0</v>
      </c>
      <c r="AJ154" s="59" t="n">
        <v>0</v>
      </c>
    </row>
    <row r="155">
      <c r="A155" s="10" t="inlineStr">
        <is>
          <t>Investment in associate</t>
        </is>
      </c>
      <c r="B155" s="8" t="inlineStr">
        <is>
          <t>INR Mn</t>
        </is>
      </c>
      <c r="C155" s="8" t="inlineStr">
        <is>
          <t>Company filings</t>
        </is>
      </c>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c r="AB155" s="8" t="n"/>
      <c r="AC155" s="59" t="n">
        <v>0</v>
      </c>
      <c r="AD155" s="59" t="n">
        <v>0</v>
      </c>
      <c r="AE155" s="59" t="n">
        <v>0</v>
      </c>
      <c r="AF155" s="59" t="n">
        <v>0</v>
      </c>
      <c r="AG155" s="59" t="n">
        <v>-416.5</v>
      </c>
      <c r="AH155" s="59" t="n">
        <v>0</v>
      </c>
      <c r="AI155" s="59" t="n">
        <v>-290.2</v>
      </c>
      <c r="AJ155" s="59" t="n">
        <v>0</v>
      </c>
    </row>
    <row r="156">
      <c r="A156" s="10" t="inlineStr">
        <is>
          <t>Payment towards purchase of business (slump sale)</t>
        </is>
      </c>
      <c r="B156" s="8" t="inlineStr">
        <is>
          <t>INR Mn</t>
        </is>
      </c>
      <c r="C156" s="8" t="inlineStr">
        <is>
          <t>Company filings</t>
        </is>
      </c>
      <c r="D156" s="62" t="n"/>
      <c r="E156" s="62" t="n"/>
      <c r="F156" s="62" t="n"/>
      <c r="G156" s="62" t="n"/>
      <c r="H156" s="62" t="n"/>
      <c r="I156" s="62" t="n"/>
      <c r="J156" s="62" t="n"/>
      <c r="K156" s="62" t="n"/>
      <c r="L156" s="62" t="n"/>
      <c r="M156" s="62" t="n"/>
      <c r="N156" s="62" t="n"/>
      <c r="O156" s="62" t="n"/>
      <c r="P156" s="62" t="n"/>
      <c r="Q156" s="62" t="n"/>
      <c r="R156" s="62" t="n"/>
      <c r="S156" s="62" t="n"/>
      <c r="T156" s="62" t="n"/>
      <c r="U156" s="62" t="n"/>
      <c r="V156" s="62" t="n"/>
      <c r="W156" s="62" t="n"/>
      <c r="X156" s="62" t="n"/>
      <c r="Y156" s="62" t="n"/>
      <c r="Z156" s="62" t="n"/>
      <c r="AA156" s="62" t="n"/>
      <c r="AB156" s="8" t="n"/>
      <c r="AC156" s="59" t="n">
        <v>-0.43</v>
      </c>
      <c r="AD156" s="59" t="n">
        <v>0</v>
      </c>
      <c r="AE156" s="59" t="n">
        <v>-16.15</v>
      </c>
      <c r="AF156" s="59" t="n">
        <v>-2.85</v>
      </c>
      <c r="AG156" s="59" t="n">
        <v>0</v>
      </c>
      <c r="AH156" s="59" t="n">
        <v>0</v>
      </c>
      <c r="AI156" s="59" t="n">
        <v>0</v>
      </c>
      <c r="AJ156" s="59" t="n">
        <v>0</v>
      </c>
    </row>
    <row r="157">
      <c r="A157" s="10" t="inlineStr">
        <is>
          <t>Interest received</t>
        </is>
      </c>
      <c r="B157" s="8" t="inlineStr">
        <is>
          <t>INR Mn</t>
        </is>
      </c>
      <c r="C157" s="8" t="inlineStr">
        <is>
          <t>Company filings</t>
        </is>
      </c>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c r="AB157" s="8" t="n"/>
      <c r="AC157" s="59" t="n">
        <v>0.78</v>
      </c>
      <c r="AD157" s="59" t="n">
        <v>0.54</v>
      </c>
      <c r="AE157" s="59" t="n">
        <v>36.02</v>
      </c>
      <c r="AF157" s="59" t="n">
        <v>165.57</v>
      </c>
      <c r="AG157" s="59" t="n">
        <v>180.94</v>
      </c>
      <c r="AH157" s="59" t="n">
        <v>218.28</v>
      </c>
      <c r="AI157" s="59" t="n">
        <v>95.7</v>
      </c>
      <c r="AJ157" s="59" t="n">
        <v>202.7</v>
      </c>
    </row>
    <row r="158">
      <c r="A158" s="1" t="inlineStr">
        <is>
          <t>Net Cash Flow from Investing Activities (B)</t>
        </is>
      </c>
      <c r="B158" s="8" t="inlineStr">
        <is>
          <t>INR Mn</t>
        </is>
      </c>
      <c r="C158" s="8" t="n"/>
      <c r="D158" s="62" t="n"/>
      <c r="E158" s="62" t="n"/>
      <c r="F158" s="62" t="n"/>
      <c r="G158" s="62" t="n"/>
      <c r="H158" s="62" t="n"/>
      <c r="I158" s="62" t="n"/>
      <c r="J158" s="62" t="n"/>
      <c r="K158" s="62" t="n"/>
      <c r="L158" s="62" t="n"/>
      <c r="M158" s="62" t="n"/>
      <c r="N158" s="62" t="n"/>
      <c r="O158" s="62" t="n"/>
      <c r="P158" s="62" t="n"/>
      <c r="Q158" s="62" t="n"/>
      <c r="R158" s="62" t="n"/>
      <c r="S158" s="62" t="n"/>
      <c r="T158" s="62" t="n"/>
      <c r="U158" s="62" t="n"/>
      <c r="V158" s="62" t="n"/>
      <c r="W158" s="62" t="n"/>
      <c r="X158" s="62" t="n"/>
      <c r="Y158" s="62" t="n"/>
      <c r="Z158" s="62" t="n"/>
      <c r="AA158" s="62" t="n"/>
      <c r="AB158" s="8" t="n"/>
      <c r="AC158" s="60">
        <f>SUM(AC148:AC157)</f>
        <v/>
      </c>
      <c r="AD158" s="60">
        <f>SUM(AD148:AD157)</f>
        <v/>
      </c>
      <c r="AE158" s="60">
        <f>SUM(AE148:AE157)</f>
        <v/>
      </c>
      <c r="AF158" s="60">
        <f>SUM(AF148:AF157)</f>
        <v/>
      </c>
      <c r="AG158" s="60">
        <f>SUM(AG148:AG157)</f>
        <v/>
      </c>
      <c r="AH158" s="60">
        <f>SUM(AH148:AH157)</f>
        <v/>
      </c>
      <c r="AI158" s="60">
        <f>SUM(AI148:AI157)</f>
        <v/>
      </c>
      <c r="AJ158" s="60">
        <f>SUM(AJ148:AJ157)</f>
        <v/>
      </c>
    </row>
    <row r="160">
      <c r="A160" s="9" t="inlineStr">
        <is>
          <t>Financing activities</t>
        </is>
      </c>
    </row>
    <row r="161">
      <c r="A161" s="10" t="inlineStr">
        <is>
          <t>Proceeds from issue of equity shares on exercise of ESOP</t>
        </is>
      </c>
      <c r="B161" s="8" t="inlineStr">
        <is>
          <t>INR Mn</t>
        </is>
      </c>
      <c r="C161" s="8" t="inlineStr">
        <is>
          <t>Company filings</t>
        </is>
      </c>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c r="AB161" s="8" t="n"/>
      <c r="AC161" s="59" t="n">
        <v>6.87</v>
      </c>
      <c r="AD161" s="59" t="n">
        <v>5.13</v>
      </c>
      <c r="AE161" s="59" t="n">
        <v>6.06</v>
      </c>
      <c r="AF161" s="59" t="n">
        <v>0</v>
      </c>
      <c r="AG161" s="59" t="n">
        <v>0</v>
      </c>
      <c r="AH161" s="59" t="n">
        <v>0</v>
      </c>
      <c r="AI161" s="59" t="n">
        <v>0</v>
      </c>
      <c r="AJ161" s="59" t="n">
        <v>0</v>
      </c>
    </row>
    <row r="162">
      <c r="A162" s="10" t="inlineStr">
        <is>
          <t>Proceeds from securities premium</t>
        </is>
      </c>
      <c r="B162" s="8" t="inlineStr">
        <is>
          <t>INR Mn</t>
        </is>
      </c>
      <c r="C162" s="8" t="inlineStr">
        <is>
          <t>Company filings</t>
        </is>
      </c>
      <c r="D162" s="62" t="n"/>
      <c r="E162" s="62" t="n"/>
      <c r="F162" s="62" t="n"/>
      <c r="G162" s="62" t="n"/>
      <c r="H162" s="62" t="n"/>
      <c r="I162" s="62" t="n"/>
      <c r="J162" s="62" t="n"/>
      <c r="K162" s="62" t="n"/>
      <c r="L162" s="62" t="n"/>
      <c r="M162" s="62" t="n"/>
      <c r="N162" s="62" t="n"/>
      <c r="O162" s="62" t="n"/>
      <c r="P162" s="62" t="n"/>
      <c r="Q162" s="62" t="n"/>
      <c r="R162" s="62" t="n"/>
      <c r="S162" s="62" t="n"/>
      <c r="T162" s="62" t="n"/>
      <c r="U162" s="62" t="n"/>
      <c r="V162" s="62" t="n"/>
      <c r="W162" s="62" t="n"/>
      <c r="X162" s="62" t="n"/>
      <c r="Y162" s="62" t="n"/>
      <c r="Z162" s="62" t="n"/>
      <c r="AA162" s="62" t="n"/>
      <c r="AB162" s="8" t="n"/>
      <c r="AC162" s="59" t="n">
        <v>1332.87</v>
      </c>
      <c r="AD162" s="59" t="n">
        <v>1031.94</v>
      </c>
      <c r="AE162" s="59" t="n">
        <v>1022.56</v>
      </c>
      <c r="AF162" s="59" t="n">
        <v>0</v>
      </c>
      <c r="AG162" s="59" t="n">
        <v>0</v>
      </c>
      <c r="AH162" s="59" t="n">
        <v>0</v>
      </c>
      <c r="AI162" s="59" t="n">
        <v>0</v>
      </c>
      <c r="AJ162" s="59" t="n">
        <v>0</v>
      </c>
    </row>
    <row r="163">
      <c r="A163" s="10" t="inlineStr">
        <is>
          <t>Proceeds from share application money pending allotment</t>
        </is>
      </c>
      <c r="B163" s="8" t="inlineStr">
        <is>
          <t>INR Mn</t>
        </is>
      </c>
      <c r="C163" s="8" t="inlineStr">
        <is>
          <t>Company filings</t>
        </is>
      </c>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c r="AB163" s="8" t="n"/>
      <c r="AC163" s="59" t="n">
        <v>0</v>
      </c>
      <c r="AD163" s="59" t="n">
        <v>0.23</v>
      </c>
      <c r="AE163" s="59" t="n">
        <v>0</v>
      </c>
      <c r="AF163" s="59" t="n">
        <v>0</v>
      </c>
      <c r="AG163" s="59" t="n">
        <v>0</v>
      </c>
      <c r="AH163" s="59" t="n">
        <v>0</v>
      </c>
      <c r="AI163" s="59" t="n">
        <v>0</v>
      </c>
      <c r="AJ163" s="59" t="n">
        <v>0</v>
      </c>
    </row>
    <row r="164">
      <c r="A164" s="10" t="inlineStr">
        <is>
          <t>Proceeds from issue of equity shares (net)</t>
        </is>
      </c>
      <c r="B164" s="8" t="inlineStr">
        <is>
          <t>INR Mn</t>
        </is>
      </c>
      <c r="C164" s="8" t="inlineStr">
        <is>
          <t>Company filings</t>
        </is>
      </c>
      <c r="D164" s="62" t="n"/>
      <c r="E164" s="62" t="n"/>
      <c r="F164" s="62" t="n"/>
      <c r="G164" s="62" t="n"/>
      <c r="H164" s="62" t="n"/>
      <c r="I164" s="62" t="n"/>
      <c r="J164" s="62" t="n"/>
      <c r="K164" s="62" t="n"/>
      <c r="L164" s="62" t="n"/>
      <c r="M164" s="62" t="n"/>
      <c r="N164" s="62" t="n"/>
      <c r="O164" s="62" t="n"/>
      <c r="P164" s="62" t="n"/>
      <c r="Q164" s="62" t="n"/>
      <c r="R164" s="62" t="n"/>
      <c r="S164" s="62" t="n"/>
      <c r="T164" s="62" t="n"/>
      <c r="U164" s="62" t="n"/>
      <c r="V164" s="62" t="n"/>
      <c r="W164" s="62" t="n"/>
      <c r="X164" s="62" t="n"/>
      <c r="Y164" s="62" t="n"/>
      <c r="Z164" s="62" t="n"/>
      <c r="AA164" s="62" t="n"/>
      <c r="AB164" s="8" t="n"/>
      <c r="AC164" s="59" t="n">
        <v>0</v>
      </c>
      <c r="AD164" s="59" t="n">
        <v>0</v>
      </c>
      <c r="AE164" s="59" t="n">
        <v>0</v>
      </c>
      <c r="AF164" s="59" t="n">
        <v>8727.280000000001</v>
      </c>
      <c r="AG164" s="59" t="n">
        <v>288.36</v>
      </c>
      <c r="AH164" s="59" t="n">
        <v>172.3</v>
      </c>
      <c r="AI164" s="59" t="n">
        <v>180.6</v>
      </c>
      <c r="AJ164" s="59" t="n">
        <v>386.6</v>
      </c>
    </row>
    <row r="165">
      <c r="A165" s="10" t="inlineStr">
        <is>
          <t>Proceeds from issue of preference shares</t>
        </is>
      </c>
      <c r="B165" s="8" t="inlineStr">
        <is>
          <t>INR Mn</t>
        </is>
      </c>
      <c r="C165" s="8" t="inlineStr">
        <is>
          <t>Company filings</t>
        </is>
      </c>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c r="AB165" s="8" t="n"/>
      <c r="AC165" s="59" t="n">
        <v>0</v>
      </c>
      <c r="AD165" s="59" t="n">
        <v>0</v>
      </c>
      <c r="AE165" s="59" t="n">
        <v>0</v>
      </c>
      <c r="AF165" s="59" t="n">
        <v>1.58</v>
      </c>
      <c r="AG165" s="59" t="n">
        <v>0</v>
      </c>
      <c r="AH165" s="59" t="n">
        <v>0</v>
      </c>
      <c r="AI165" s="59" t="n">
        <v>0</v>
      </c>
      <c r="AJ165" s="59" t="n">
        <v>0</v>
      </c>
    </row>
    <row r="166">
      <c r="A166" s="10" t="inlineStr">
        <is>
          <t>Acquisition of non-controlling interest</t>
        </is>
      </c>
      <c r="B166" s="8" t="inlineStr">
        <is>
          <t>INR Mn</t>
        </is>
      </c>
      <c r="C166" s="8" t="inlineStr">
        <is>
          <t>Company filings</t>
        </is>
      </c>
      <c r="D166" s="62" t="n"/>
      <c r="E166" s="62" t="n"/>
      <c r="F166" s="62" t="n"/>
      <c r="G166" s="62" t="n"/>
      <c r="H166" s="62" t="n"/>
      <c r="I166" s="62" t="n"/>
      <c r="J166" s="62" t="n"/>
      <c r="K166" s="62" t="n"/>
      <c r="L166" s="62" t="n"/>
      <c r="M166" s="62" t="n"/>
      <c r="N166" s="62" t="n"/>
      <c r="O166" s="62" t="n"/>
      <c r="P166" s="62" t="n"/>
      <c r="Q166" s="62" t="n"/>
      <c r="R166" s="62" t="n"/>
      <c r="S166" s="62" t="n"/>
      <c r="T166" s="62" t="n"/>
      <c r="U166" s="62" t="n"/>
      <c r="V166" s="62" t="n"/>
      <c r="W166" s="62" t="n"/>
      <c r="X166" s="62" t="n"/>
      <c r="Y166" s="62" t="n"/>
      <c r="Z166" s="62" t="n"/>
      <c r="AA166" s="62" t="n"/>
      <c r="AB166" s="8" t="n"/>
      <c r="AC166" s="59" t="n">
        <v>0</v>
      </c>
      <c r="AD166" s="59" t="n">
        <v>0</v>
      </c>
      <c r="AE166" s="59" t="n">
        <v>0</v>
      </c>
      <c r="AF166" s="59" t="n">
        <v>0</v>
      </c>
      <c r="AG166" s="59" t="n">
        <v>0</v>
      </c>
      <c r="AH166" s="59" t="n">
        <v>0</v>
      </c>
      <c r="AI166" s="59" t="n">
        <v>-2679.2</v>
      </c>
      <c r="AJ166" s="59" t="n">
        <v>-35.1</v>
      </c>
    </row>
    <row r="167">
      <c r="A167" s="10" t="inlineStr">
        <is>
          <t>Issue of shares to non-controlling interest by subsidiary</t>
        </is>
      </c>
      <c r="B167" s="8" t="inlineStr">
        <is>
          <t>INR Mn</t>
        </is>
      </c>
      <c r="C167" s="8" t="inlineStr">
        <is>
          <t>Company filings</t>
        </is>
      </c>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c r="AB167" s="8" t="n"/>
      <c r="AC167" s="59" t="n">
        <v>0</v>
      </c>
      <c r="AD167" s="59" t="n">
        <v>0</v>
      </c>
      <c r="AE167" s="59" t="n">
        <v>0</v>
      </c>
      <c r="AF167" s="59" t="n">
        <v>0</v>
      </c>
      <c r="AG167" s="59" t="n">
        <v>0</v>
      </c>
      <c r="AH167" s="59" t="n">
        <v>107.08</v>
      </c>
      <c r="AI167" s="59" t="n">
        <v>131</v>
      </c>
      <c r="AJ167" s="59" t="n">
        <v>321</v>
      </c>
    </row>
    <row r="168">
      <c r="A168" s="10" t="inlineStr">
        <is>
          <t>Proceeds from non-current borrowings</t>
        </is>
      </c>
      <c r="B168" s="8" t="inlineStr">
        <is>
          <t>INR Mn</t>
        </is>
      </c>
      <c r="C168" s="8" t="inlineStr">
        <is>
          <t>Company filings</t>
        </is>
      </c>
      <c r="D168" s="62" t="n"/>
      <c r="E168" s="62" t="n"/>
      <c r="F168" s="62" t="n"/>
      <c r="G168" s="62" t="n"/>
      <c r="H168" s="62" t="n"/>
      <c r="I168" s="62" t="n"/>
      <c r="J168" s="62" t="n"/>
      <c r="K168" s="62" t="n"/>
      <c r="L168" s="62" t="n"/>
      <c r="M168" s="62" t="n"/>
      <c r="N168" s="62" t="n"/>
      <c r="O168" s="62" t="n"/>
      <c r="P168" s="62" t="n"/>
      <c r="Q168" s="62" t="n"/>
      <c r="R168" s="62" t="n"/>
      <c r="S168" s="62" t="n"/>
      <c r="T168" s="62" t="n"/>
      <c r="U168" s="62" t="n"/>
      <c r="V168" s="62" t="n"/>
      <c r="W168" s="62" t="n"/>
      <c r="X168" s="62" t="n"/>
      <c r="Y168" s="62" t="n"/>
      <c r="Z168" s="62" t="n"/>
      <c r="AA168" s="62" t="n"/>
      <c r="AB168" s="8" t="n"/>
      <c r="AC168" s="59" t="n">
        <v>0</v>
      </c>
      <c r="AD168" s="59" t="n">
        <v>0</v>
      </c>
      <c r="AE168" s="59" t="n">
        <v>0</v>
      </c>
      <c r="AF168" s="59" t="n">
        <v>0</v>
      </c>
      <c r="AG168" s="59" t="n">
        <v>0</v>
      </c>
      <c r="AH168" s="59" t="n">
        <v>0</v>
      </c>
      <c r="AI168" s="59" t="n">
        <v>1926.2</v>
      </c>
      <c r="AJ168" s="59" t="n">
        <v>0</v>
      </c>
    </row>
    <row r="169">
      <c r="A169" s="10" t="inlineStr">
        <is>
          <t>Proceeds from sale and leaseback financing</t>
        </is>
      </c>
      <c r="B169" s="8" t="inlineStr">
        <is>
          <t>INR Mn</t>
        </is>
      </c>
      <c r="C169" s="8" t="inlineStr">
        <is>
          <t>Company filings</t>
        </is>
      </c>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c r="AB169" s="8" t="n"/>
      <c r="AC169" s="59" t="n">
        <v>0</v>
      </c>
      <c r="AD169" s="59" t="n">
        <v>0</v>
      </c>
      <c r="AE169" s="59" t="n">
        <v>0</v>
      </c>
      <c r="AF169" s="59" t="n">
        <v>0</v>
      </c>
      <c r="AG169" s="59" t="n">
        <v>0</v>
      </c>
      <c r="AH169" s="59" t="n">
        <v>0</v>
      </c>
      <c r="AI169" s="59" t="n">
        <v>0</v>
      </c>
      <c r="AJ169" s="59" t="n">
        <v>63.7</v>
      </c>
    </row>
    <row r="170">
      <c r="A170" s="10" t="inlineStr">
        <is>
          <t>(Repayment)/Proceeds of non-current borrowings, net</t>
        </is>
      </c>
      <c r="B170" s="8" t="inlineStr">
        <is>
          <t>INR Mn</t>
        </is>
      </c>
      <c r="C170" s="8" t="inlineStr">
        <is>
          <t>Company filings</t>
        </is>
      </c>
      <c r="D170" s="62" t="n"/>
      <c r="E170" s="62" t="n"/>
      <c r="F170" s="62" t="n"/>
      <c r="G170" s="62" t="n"/>
      <c r="H170" s="62" t="n"/>
      <c r="I170" s="62" t="n"/>
      <c r="J170" s="62" t="n"/>
      <c r="K170" s="62" t="n"/>
      <c r="L170" s="62" t="n"/>
      <c r="M170" s="62" t="n"/>
      <c r="N170" s="62" t="n"/>
      <c r="O170" s="62" t="n"/>
      <c r="P170" s="62" t="n"/>
      <c r="Q170" s="62" t="n"/>
      <c r="R170" s="62" t="n"/>
      <c r="S170" s="62" t="n"/>
      <c r="T170" s="62" t="n"/>
      <c r="U170" s="62" t="n"/>
      <c r="V170" s="62" t="n"/>
      <c r="W170" s="62" t="n"/>
      <c r="X170" s="62" t="n"/>
      <c r="Y170" s="62" t="n"/>
      <c r="Z170" s="62" t="n"/>
      <c r="AA170" s="62" t="n"/>
      <c r="AB170" s="8" t="n"/>
      <c r="AC170" s="59" t="n">
        <v>-1.61</v>
      </c>
      <c r="AD170" s="59" t="n">
        <v>0.22</v>
      </c>
      <c r="AE170" s="59" t="n">
        <v>15.1</v>
      </c>
      <c r="AF170" s="59" t="n">
        <v>-7.38</v>
      </c>
      <c r="AG170" s="59" t="n">
        <v>-5.61</v>
      </c>
      <c r="AH170" s="59" t="n">
        <v>-3.61</v>
      </c>
      <c r="AI170" s="59" t="n">
        <v>-3.6</v>
      </c>
      <c r="AJ170" s="59" t="n">
        <v>-829</v>
      </c>
    </row>
    <row r="171">
      <c r="A171" s="10" t="inlineStr">
        <is>
          <t>Proceeds from current borrowings, net</t>
        </is>
      </c>
      <c r="B171" s="8" t="inlineStr">
        <is>
          <t>INR Mn</t>
        </is>
      </c>
      <c r="C171" s="8" t="inlineStr">
        <is>
          <t>Company filings</t>
        </is>
      </c>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c r="AB171" s="8" t="n"/>
      <c r="AC171" s="59" t="n">
        <v>1427.35</v>
      </c>
      <c r="AD171" s="59" t="n">
        <v>418.78</v>
      </c>
      <c r="AE171" s="59" t="n">
        <v>-815.21</v>
      </c>
      <c r="AF171" s="59" t="n">
        <v>1463.06</v>
      </c>
      <c r="AG171" s="59" t="n">
        <v>1268.8</v>
      </c>
      <c r="AH171" s="59" t="n">
        <v>2203.94</v>
      </c>
      <c r="AI171" s="59" t="n">
        <v>845.2</v>
      </c>
      <c r="AJ171" s="59" t="n">
        <v>-1313.6</v>
      </c>
    </row>
    <row r="172">
      <c r="A172" s="10" t="inlineStr">
        <is>
          <t>Interest paid on borrowings</t>
        </is>
      </c>
      <c r="B172" s="8" t="inlineStr">
        <is>
          <t>INR Mn</t>
        </is>
      </c>
      <c r="C172" s="8" t="inlineStr">
        <is>
          <t>Company filings</t>
        </is>
      </c>
      <c r="D172" s="62" t="n"/>
      <c r="E172" s="62" t="n"/>
      <c r="F172" s="62" t="n"/>
      <c r="G172" s="62" t="n"/>
      <c r="H172" s="62" t="n"/>
      <c r="I172" s="62" t="n"/>
      <c r="J172" s="62" t="n"/>
      <c r="K172" s="62" t="n"/>
      <c r="L172" s="62" t="n"/>
      <c r="M172" s="62" t="n"/>
      <c r="N172" s="62" t="n"/>
      <c r="O172" s="62" t="n"/>
      <c r="P172" s="62" t="n"/>
      <c r="Q172" s="62" t="n"/>
      <c r="R172" s="62" t="n"/>
      <c r="S172" s="62" t="n"/>
      <c r="T172" s="62" t="n"/>
      <c r="U172" s="62" t="n"/>
      <c r="V172" s="62" t="n"/>
      <c r="W172" s="62" t="n"/>
      <c r="X172" s="62" t="n"/>
      <c r="Y172" s="62" t="n"/>
      <c r="Z172" s="62" t="n"/>
      <c r="AA172" s="62" t="n"/>
      <c r="AB172" s="8" t="n"/>
      <c r="AC172" s="59" t="n">
        <v>-197.1</v>
      </c>
      <c r="AD172" s="59" t="n">
        <v>-297.7</v>
      </c>
      <c r="AE172" s="59" t="n">
        <v>-176.55</v>
      </c>
      <c r="AF172" s="59" t="n">
        <v>-262.46</v>
      </c>
      <c r="AG172" s="59" t="n">
        <v>-334.21</v>
      </c>
      <c r="AH172" s="59" t="n">
        <v>-557.72</v>
      </c>
      <c r="AI172" s="59" t="n">
        <v>-723.9</v>
      </c>
      <c r="AJ172" s="59" t="n">
        <v>-763.8</v>
      </c>
    </row>
    <row r="173">
      <c r="A173" s="10" t="inlineStr">
        <is>
          <t>Principal payment of lease liabilities</t>
        </is>
      </c>
      <c r="B173" s="8" t="inlineStr">
        <is>
          <t>INR Mn</t>
        </is>
      </c>
      <c r="C173" s="8" t="inlineStr">
        <is>
          <t>Company filings</t>
        </is>
      </c>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c r="AB173" s="8" t="n"/>
      <c r="AC173" s="59" t="n">
        <v>-146.09</v>
      </c>
      <c r="AD173" s="59" t="n">
        <v>-330.96</v>
      </c>
      <c r="AE173" s="59" t="n">
        <v>-299.5</v>
      </c>
      <c r="AF173" s="59" t="n">
        <v>-449.8</v>
      </c>
      <c r="AG173" s="59" t="n">
        <v>-820.0700000000001</v>
      </c>
      <c r="AH173" s="59" t="n">
        <v>-1166.52</v>
      </c>
      <c r="AI173" s="59" t="n">
        <v>-1464.9</v>
      </c>
      <c r="AJ173" s="59" t="n">
        <v>-1734</v>
      </c>
    </row>
    <row r="174">
      <c r="A174" s="10" t="inlineStr">
        <is>
          <t>Interest paid on lease liabilities</t>
        </is>
      </c>
      <c r="B174" s="8" t="inlineStr">
        <is>
          <t>INR Mn</t>
        </is>
      </c>
      <c r="C174" s="8" t="inlineStr">
        <is>
          <t>Company filings</t>
        </is>
      </c>
      <c r="D174" s="62" t="n"/>
      <c r="E174" s="62" t="n"/>
      <c r="F174" s="62" t="n"/>
      <c r="G174" s="62" t="n"/>
      <c r="H174" s="62" t="n"/>
      <c r="I174" s="62" t="n"/>
      <c r="J174" s="62" t="n"/>
      <c r="K174" s="62" t="n"/>
      <c r="L174" s="62" t="n"/>
      <c r="M174" s="62" t="n"/>
      <c r="N174" s="62" t="n"/>
      <c r="O174" s="62" t="n"/>
      <c r="P174" s="62" t="n"/>
      <c r="Q174" s="62" t="n"/>
      <c r="R174" s="62" t="n"/>
      <c r="S174" s="62" t="n"/>
      <c r="T174" s="62" t="n"/>
      <c r="U174" s="62" t="n"/>
      <c r="V174" s="62" t="n"/>
      <c r="W174" s="62" t="n"/>
      <c r="X174" s="62" t="n"/>
      <c r="Y174" s="62" t="n"/>
      <c r="Z174" s="62" t="n"/>
      <c r="AA174" s="62" t="n"/>
      <c r="AB174" s="8" t="n"/>
      <c r="AC174" s="59" t="n">
        <v>-65.38</v>
      </c>
      <c r="AD174" s="59" t="n">
        <v>-140.43</v>
      </c>
      <c r="AE174" s="59" t="n">
        <v>-129.69</v>
      </c>
      <c r="AF174" s="59" t="n">
        <v>-202.21</v>
      </c>
      <c r="AG174" s="59" t="n">
        <v>-348.58</v>
      </c>
      <c r="AH174" s="59" t="n">
        <v>-312.86</v>
      </c>
      <c r="AI174" s="59" t="n">
        <v>-331.8</v>
      </c>
      <c r="AJ174" s="59" t="n">
        <v>-426.8</v>
      </c>
    </row>
    <row r="175">
      <c r="A175" s="1" t="inlineStr">
        <is>
          <t>Net Cash Flow from Financing Activities (C)</t>
        </is>
      </c>
      <c r="B175" s="8" t="inlineStr">
        <is>
          <t>INR Mn</t>
        </is>
      </c>
      <c r="C175" s="8"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c r="AB175" s="8" t="n"/>
      <c r="AC175" s="60">
        <f>SUM(AC161:AC174)</f>
        <v/>
      </c>
      <c r="AD175" s="60">
        <f>SUM(AD161:AD174)</f>
        <v/>
      </c>
      <c r="AE175" s="60">
        <f>SUM(AE161:AE174)</f>
        <v/>
      </c>
      <c r="AF175" s="60">
        <f>SUM(AF161:AF174)</f>
        <v/>
      </c>
      <c r="AG175" s="60">
        <f>SUM(AG161:AG174)</f>
        <v/>
      </c>
      <c r="AH175" s="60">
        <f>SUM(AH161:AH174)</f>
        <v/>
      </c>
      <c r="AI175" s="60">
        <f>SUM(AI161:AI174)</f>
        <v/>
      </c>
      <c r="AJ175" s="60">
        <f>SUM(AJ161:AJ174)</f>
        <v/>
      </c>
    </row>
    <row r="177">
      <c r="A177" s="1" t="inlineStr">
        <is>
          <t>Net Increase/(Decrease) in Cash (A+B+C)</t>
        </is>
      </c>
      <c r="B177" s="8" t="inlineStr">
        <is>
          <t>INR Mn</t>
        </is>
      </c>
      <c r="C177" s="8"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c r="AB177" s="8" t="n"/>
      <c r="AC177" s="60">
        <f>AC145+AC158+AC175</f>
        <v/>
      </c>
      <c r="AD177" s="60">
        <f>AD145+AD158+AD175</f>
        <v/>
      </c>
      <c r="AE177" s="60">
        <f>AE145+AE158+AE175</f>
        <v/>
      </c>
      <c r="AF177" s="60">
        <f>AF145+AF158+AF175</f>
        <v/>
      </c>
      <c r="AG177" s="60">
        <f>AG145+AG158+AG175</f>
        <v/>
      </c>
      <c r="AH177" s="60">
        <f>AH145+AH158+AH175</f>
        <v/>
      </c>
      <c r="AI177" s="60">
        <f>AI145+AI158+AI175</f>
        <v/>
      </c>
      <c r="AJ177" s="60">
        <f>AJ145+AJ158+AJ175</f>
        <v/>
      </c>
    </row>
    <row r="178">
      <c r="A178" s="7" t="inlineStr">
        <is>
          <t>Net foreign exchange difference</t>
        </is>
      </c>
      <c r="B178" s="8" t="inlineStr">
        <is>
          <t>INR Mn</t>
        </is>
      </c>
      <c r="C178" s="8" t="inlineStr">
        <is>
          <t>Company filings</t>
        </is>
      </c>
      <c r="D178" s="62" t="n"/>
      <c r="E178" s="62" t="n"/>
      <c r="F178" s="62" t="n"/>
      <c r="G178" s="62" t="n"/>
      <c r="H178" s="62" t="n"/>
      <c r="I178" s="62" t="n"/>
      <c r="J178" s="62" t="n"/>
      <c r="K178" s="62" t="n"/>
      <c r="L178" s="62" t="n"/>
      <c r="M178" s="62" t="n"/>
      <c r="N178" s="62" t="n"/>
      <c r="O178" s="62" t="n"/>
      <c r="P178" s="62" t="n"/>
      <c r="Q178" s="62" t="n"/>
      <c r="R178" s="62" t="n"/>
      <c r="S178" s="62" t="n"/>
      <c r="T178" s="62" t="n"/>
      <c r="U178" s="62" t="n"/>
      <c r="V178" s="62" t="n"/>
      <c r="W178" s="62" t="n"/>
      <c r="X178" s="62" t="n"/>
      <c r="Y178" s="62" t="n"/>
      <c r="Z178" s="62" t="n"/>
      <c r="AA178" s="62" t="n"/>
      <c r="AB178" s="8" t="n"/>
      <c r="AC178" s="59" t="n">
        <v>0.11</v>
      </c>
      <c r="AD178" s="59" t="n">
        <v>-0.14</v>
      </c>
      <c r="AE178" s="59" t="n">
        <v>0.15</v>
      </c>
      <c r="AF178" s="59" t="n">
        <v>0</v>
      </c>
      <c r="AG178" s="59" t="n">
        <v>0</v>
      </c>
      <c r="AH178" s="59" t="n">
        <v>0</v>
      </c>
      <c r="AI178" s="59" t="n">
        <v>0</v>
      </c>
      <c r="AJ178" s="59" t="n">
        <v>0</v>
      </c>
    </row>
    <row r="179">
      <c r="A179" s="7" t="inlineStr">
        <is>
          <t>Cash and cash equivalents at the beginning of the year</t>
        </is>
      </c>
      <c r="B179" s="8" t="inlineStr">
        <is>
          <t>INR Mn</t>
        </is>
      </c>
      <c r="C179" s="8" t="inlineStr">
        <is>
          <t>Company filings</t>
        </is>
      </c>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c r="AB179" s="8" t="n"/>
      <c r="AC179" s="59" t="n">
        <v>373.9</v>
      </c>
      <c r="AD179" s="59" t="n">
        <v>114.1</v>
      </c>
      <c r="AE179" s="59" t="n">
        <v>1011.91</v>
      </c>
      <c r="AF179" s="59" t="n">
        <v>669.11</v>
      </c>
      <c r="AG179" s="59" t="n">
        <v>371.72</v>
      </c>
      <c r="AH179" s="59" t="n">
        <v>413.76</v>
      </c>
      <c r="AI179" s="59" t="n">
        <v>757.8</v>
      </c>
      <c r="AJ179" s="59" t="n">
        <v>1249.4</v>
      </c>
    </row>
    <row r="180">
      <c r="A180" s="1" t="inlineStr">
        <is>
          <t>Cash and Cash Equivalents at the End of the Year</t>
        </is>
      </c>
      <c r="B180" s="8" t="inlineStr">
        <is>
          <t>INR Mn</t>
        </is>
      </c>
      <c r="C180" s="8" t="n"/>
      <c r="D180" s="62" t="n"/>
      <c r="E180" s="62" t="n"/>
      <c r="F180" s="62" t="n"/>
      <c r="G180" s="62" t="n"/>
      <c r="H180" s="62" t="n"/>
      <c r="I180" s="62" t="n"/>
      <c r="J180" s="62" t="n"/>
      <c r="K180" s="62" t="n"/>
      <c r="L180" s="62" t="n"/>
      <c r="M180" s="62" t="n"/>
      <c r="N180" s="62" t="n"/>
      <c r="O180" s="62" t="n"/>
      <c r="P180" s="62" t="n"/>
      <c r="Q180" s="62" t="n"/>
      <c r="R180" s="62" t="n"/>
      <c r="S180" s="62" t="n"/>
      <c r="T180" s="62" t="n"/>
      <c r="U180" s="62" t="n"/>
      <c r="V180" s="62" t="n"/>
      <c r="W180" s="62" t="n"/>
      <c r="X180" s="62" t="n"/>
      <c r="Y180" s="62" t="n"/>
      <c r="Z180" s="62" t="n"/>
      <c r="AA180" s="62" t="n"/>
      <c r="AB180" s="8" t="n"/>
      <c r="AC180" s="60">
        <f>AC177+AC178+AC179</f>
        <v/>
      </c>
      <c r="AD180" s="60">
        <f>AD177+AD178+AD179</f>
        <v/>
      </c>
      <c r="AE180" s="60">
        <f>AE177+AE178+AE179</f>
        <v/>
      </c>
      <c r="AF180" s="60">
        <f>AF177+AF178+AF179</f>
        <v/>
      </c>
      <c r="AG180" s="60">
        <f>AG177+AG178+AG179</f>
        <v/>
      </c>
      <c r="AH180" s="60">
        <f>AH177+AH178+AH179</f>
        <v/>
      </c>
      <c r="AI180" s="60">
        <f>AI177+AI178+AI179</f>
        <v/>
      </c>
      <c r="AJ180" s="60">
        <f>AJ177+AJ178+AJ179</f>
        <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153"/>
  <sheetViews>
    <sheetView showGridLines="0" tabSelected="1" zoomScaleNormal="100" workbookViewId="0">
      <pane xSplit="3" ySplit="5" topLeftCell="V73" activePane="bottomRight" state="frozen"/>
      <selection pane="topRight" activeCell="A1" sqref="A1"/>
      <selection pane="bottomLeft" activeCell="A1" sqref="A1"/>
      <selection pane="bottomRight" activeCell="AF97" sqref="AF97"/>
    </sheetView>
  </sheetViews>
  <sheetFormatPr baseColWidth="8" defaultRowHeight="14.4"/>
  <cols>
    <col width="58" customWidth="1" min="1" max="1"/>
    <col width="10" customWidth="1" min="2" max="2"/>
    <col width="26" customWidth="1" min="3" max="3"/>
    <col width="11" customWidth="1" min="4" max="23"/>
    <col hidden="1" outlineLevel="1" width="11" customWidth="1" min="24" max="27"/>
    <col collapsed="1" width="3" customWidth="1" min="28" max="28"/>
    <col width="4.88671875" bestFit="1" customWidth="1" min="29" max="31"/>
    <col width="11" customWidth="1" min="32" max="36"/>
  </cols>
  <sheetData>
    <row r="1" ht="15.6" customHeight="1">
      <c r="A1" s="18" t="n"/>
      <c r="AB1" s="19" t="n"/>
    </row>
    <row r="2" ht="15.6" customHeight="1">
      <c r="A2" s="18" t="n"/>
      <c r="AB2" s="19" t="n"/>
    </row>
    <row r="3">
      <c r="A3" s="17" t="inlineStr">
        <is>
          <t>All figures in INR Mn unless stated otherwise.</t>
        </is>
      </c>
      <c r="AB3" s="19" t="n"/>
    </row>
    <row r="4">
      <c r="AB4" s="19" t="n"/>
    </row>
    <row r="5">
      <c r="A5" s="1" t="inlineStr">
        <is>
          <t>Metric</t>
        </is>
      </c>
      <c r="B5" s="1" t="inlineStr">
        <is>
          <t>Unit</t>
        </is>
      </c>
      <c r="C5" s="1" t="inlineStr">
        <is>
          <t>Source - Deck section</t>
        </is>
      </c>
      <c r="D5" s="1" t="inlineStr">
        <is>
          <t>Q1FY22</t>
        </is>
      </c>
      <c r="E5" s="1" t="inlineStr">
        <is>
          <t>Q2FY22</t>
        </is>
      </c>
      <c r="F5" s="1" t="inlineStr">
        <is>
          <t>Q3FY22</t>
        </is>
      </c>
      <c r="G5" s="1" t="inlineStr">
        <is>
          <t>Q4FY22</t>
        </is>
      </c>
      <c r="H5" s="1" t="inlineStr">
        <is>
          <t>Q1FY23</t>
        </is>
      </c>
      <c r="I5" s="1" t="inlineStr">
        <is>
          <t>Q2FY23</t>
        </is>
      </c>
      <c r="J5" s="1" t="inlineStr">
        <is>
          <t>Q3FY23</t>
        </is>
      </c>
      <c r="K5" s="1" t="inlineStr">
        <is>
          <t>Q4FY23</t>
        </is>
      </c>
      <c r="L5" s="1" t="inlineStr">
        <is>
          <t>Q1FY24</t>
        </is>
      </c>
      <c r="M5" s="1" t="inlineStr">
        <is>
          <t>Q2FY24</t>
        </is>
      </c>
      <c r="N5" s="1" t="inlineStr">
        <is>
          <t>Q3FY24</t>
        </is>
      </c>
      <c r="O5" s="1" t="inlineStr">
        <is>
          <t>Q4FY24</t>
        </is>
      </c>
      <c r="P5" s="1" t="inlineStr">
        <is>
          <t>Q1FY25</t>
        </is>
      </c>
      <c r="Q5" s="1" t="inlineStr">
        <is>
          <t>Q2FY25</t>
        </is>
      </c>
      <c r="R5" s="1" t="inlineStr">
        <is>
          <t>Q3FY25</t>
        </is>
      </c>
      <c r="S5" s="1" t="inlineStr">
        <is>
          <t>Q4FY25</t>
        </is>
      </c>
      <c r="T5" s="1" t="inlineStr">
        <is>
          <t>Q1FY26</t>
        </is>
      </c>
      <c r="U5" s="1" t="inlineStr">
        <is>
          <t>Q2FY26</t>
        </is>
      </c>
      <c r="V5" s="1" t="inlineStr">
        <is>
          <t>Q3FY26</t>
        </is>
      </c>
      <c r="W5" s="1" t="inlineStr">
        <is>
          <t>Q4FY26</t>
        </is>
      </c>
      <c r="X5" s="1" t="inlineStr">
        <is>
          <t>Q1FY27</t>
        </is>
      </c>
      <c r="Y5" s="1" t="inlineStr">
        <is>
          <t>Q2FY27</t>
        </is>
      </c>
      <c r="Z5" s="1" t="inlineStr">
        <is>
          <t>Q3FY27</t>
        </is>
      </c>
      <c r="AA5" s="1" t="inlineStr">
        <is>
          <t>Q4FY27</t>
        </is>
      </c>
      <c r="AB5" s="43" t="n"/>
      <c r="AC5" s="1" t="n"/>
      <c r="AD5" s="1" t="n"/>
      <c r="AE5" s="1" t="n"/>
      <c r="AF5" s="1" t="inlineStr">
        <is>
          <t>FY22</t>
        </is>
      </c>
      <c r="AG5" s="1" t="inlineStr">
        <is>
          <t>FY23</t>
        </is>
      </c>
      <c r="AH5" s="1" t="inlineStr">
        <is>
          <t>FY24</t>
        </is>
      </c>
      <c r="AI5" s="1" t="inlineStr">
        <is>
          <t>FY25</t>
        </is>
      </c>
      <c r="AJ5" s="1" t="inlineStr">
        <is>
          <t>FY26</t>
        </is>
      </c>
    </row>
    <row r="6">
      <c r="A6" s="5" t="inlineStr">
        <is>
          <t>Consolidated Operating KPIs</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44" t="n"/>
      <c r="AC6" s="5" t="n"/>
      <c r="AD6" s="5" t="n"/>
      <c r="AE6" s="5" t="n"/>
      <c r="AF6" s="5" t="n"/>
      <c r="AG6" s="5" t="n"/>
      <c r="AH6" s="5" t="n"/>
      <c r="AI6" s="5" t="n"/>
      <c r="AJ6" s="5" t="n"/>
    </row>
    <row r="7">
      <c r="A7" s="20" t="inlineStr">
        <is>
          <t>Number of visits</t>
        </is>
      </c>
      <c r="B7" s="21" t="inlineStr">
        <is>
          <t>mn</t>
        </is>
      </c>
      <c r="C7" s="22" t="inlineStr">
        <is>
          <t>One Nykaa Highlights</t>
        </is>
      </c>
      <c r="D7" s="63" t="n">
        <v>312.4</v>
      </c>
      <c r="E7" s="63" t="n">
        <v>335</v>
      </c>
      <c r="F7" s="63" t="n">
        <v>347</v>
      </c>
      <c r="G7" s="63" t="n">
        <v>328</v>
      </c>
      <c r="H7" s="63" t="n">
        <v>354</v>
      </c>
      <c r="I7" s="63" t="n">
        <v>372</v>
      </c>
      <c r="J7" s="63" t="n">
        <v>403</v>
      </c>
      <c r="K7" s="63" t="n">
        <v>369</v>
      </c>
      <c r="L7" s="63" t="n">
        <v>395</v>
      </c>
      <c r="M7" s="63" t="n">
        <v>430</v>
      </c>
      <c r="N7" s="63" t="n">
        <v>468</v>
      </c>
      <c r="O7" s="63" t="n">
        <v>447</v>
      </c>
      <c r="P7" s="63" t="n"/>
      <c r="Q7" s="63" t="n"/>
      <c r="R7" s="63" t="n"/>
      <c r="S7" s="63" t="n"/>
      <c r="T7" s="63" t="n"/>
      <c r="U7" s="63" t="n"/>
      <c r="V7" s="63" t="n"/>
      <c r="W7" s="63" t="n"/>
      <c r="X7" s="63" t="n"/>
      <c r="Y7" s="63" t="n"/>
      <c r="Z7" s="63" t="n"/>
      <c r="AA7" s="63" t="n"/>
      <c r="AB7" s="19" t="n"/>
      <c r="AC7" s="36" t="n"/>
      <c r="AD7" s="36" t="n"/>
      <c r="AE7" s="36" t="n"/>
      <c r="AF7" s="36">
        <f>IF(COUNT(D7:G7)=0,"",SUM(D7:G7))</f>
        <v/>
      </c>
      <c r="AG7" s="36">
        <f>IF(COUNT(H7:K7)=0,"",SUM(H7:K7))</f>
        <v/>
      </c>
      <c r="AH7" s="36">
        <f>IF(COUNT(L7:O7)=0,"",SUM(L7:O7))</f>
        <v/>
      </c>
      <c r="AI7" s="36">
        <f>IF(COUNT(P7:S7)=0,"",SUM(P7:S7))</f>
        <v/>
      </c>
      <c r="AJ7" s="36">
        <f>IF(COUNT(T7:W7)=0,"",SUM(T7:W7))</f>
        <v/>
      </c>
    </row>
    <row r="8">
      <c r="A8" s="20" t="inlineStr">
        <is>
          <t>Annual transacting customers</t>
        </is>
      </c>
      <c r="B8" s="21" t="inlineStr">
        <is>
          <t>mn</t>
        </is>
      </c>
      <c r="C8" s="22" t="inlineStr">
        <is>
          <t>One Nykaa Highlights</t>
        </is>
      </c>
      <c r="D8" s="63" t="n">
        <v>7.7</v>
      </c>
      <c r="E8" s="63" t="n">
        <v>8.6</v>
      </c>
      <c r="F8" s="63" t="n">
        <v>9.4</v>
      </c>
      <c r="G8" s="63" t="n">
        <v>10.2</v>
      </c>
      <c r="H8" s="63" t="n">
        <v>11</v>
      </c>
      <c r="I8" s="63" t="n">
        <v>11.7</v>
      </c>
      <c r="J8" s="63" t="n">
        <v>12.5</v>
      </c>
      <c r="K8" s="63" t="n">
        <v>13</v>
      </c>
      <c r="L8" s="63" t="n">
        <v>13.5</v>
      </c>
      <c r="M8" s="63" t="n">
        <v>14</v>
      </c>
      <c r="N8" s="63" t="n">
        <v>14.6</v>
      </c>
      <c r="O8" s="63" t="n">
        <v>15.4</v>
      </c>
      <c r="P8" s="63" t="n"/>
      <c r="Q8" s="63" t="n"/>
      <c r="R8" s="63" t="n"/>
      <c r="S8" s="63" t="n"/>
      <c r="T8" s="63" t="n"/>
      <c r="U8" s="63" t="n"/>
      <c r="V8" s="63" t="n"/>
      <c r="W8" s="63" t="n"/>
      <c r="X8" s="63" t="n"/>
      <c r="Y8" s="63" t="n"/>
      <c r="Z8" s="63" t="n"/>
      <c r="AA8" s="63" t="n"/>
      <c r="AB8" s="19" t="n"/>
      <c r="AC8" s="36" t="n"/>
      <c r="AD8" s="36" t="n"/>
      <c r="AE8" s="36" t="n"/>
      <c r="AF8" s="36">
        <f>IF(G8="","",G8)</f>
        <v/>
      </c>
      <c r="AG8" s="36">
        <f>IF(K8="","",K8)</f>
        <v/>
      </c>
      <c r="AH8" s="36">
        <f>IF(O8="","",O8)</f>
        <v/>
      </c>
      <c r="AI8" s="36">
        <f>IF(S8="","",S8)</f>
        <v/>
      </c>
      <c r="AJ8" s="36">
        <f>IF(W8="","",W8)</f>
        <v/>
      </c>
    </row>
    <row r="9">
      <c r="A9" s="20" t="inlineStr">
        <is>
          <t xml:space="preserve">  YoY growth</t>
        </is>
      </c>
      <c r="B9" s="21" t="inlineStr">
        <is>
          <t>%</t>
        </is>
      </c>
      <c r="C9" s="22" t="n"/>
      <c r="D9" s="64" t="n"/>
      <c r="E9" s="64" t="n"/>
      <c r="F9" s="64" t="n"/>
      <c r="G9" s="64" t="n"/>
      <c r="H9" s="23">
        <f>IFERROR(H8/D8-1,"")</f>
        <v/>
      </c>
      <c r="I9" s="23">
        <f>IFERROR(I8/E8-1,"")</f>
        <v/>
      </c>
      <c r="J9" s="23">
        <f>IFERROR(J8/F8-1,"")</f>
        <v/>
      </c>
      <c r="K9" s="23">
        <f>IFERROR(K8/G8-1,"")</f>
        <v/>
      </c>
      <c r="L9" s="23">
        <f>IFERROR(L8/H8-1,"")</f>
        <v/>
      </c>
      <c r="M9" s="23">
        <f>IFERROR(M8/I8-1,"")</f>
        <v/>
      </c>
      <c r="N9" s="23">
        <f>IFERROR(N8/J8-1,"")</f>
        <v/>
      </c>
      <c r="O9" s="23">
        <f>IFERROR(O8/K8-1,"")</f>
        <v/>
      </c>
      <c r="P9" s="23">
        <f>IFERROR(P8/L8-1,"")</f>
        <v/>
      </c>
      <c r="Q9" s="23">
        <f>IFERROR(Q8/M8-1,"")</f>
        <v/>
      </c>
      <c r="R9" s="23">
        <f>IFERROR(R8/N8-1,"")</f>
        <v/>
      </c>
      <c r="S9" s="23">
        <f>IFERROR(S8/O8-1,"")</f>
        <v/>
      </c>
      <c r="T9" s="23">
        <f>IFERROR(T8/P8-1,"")</f>
        <v/>
      </c>
      <c r="U9" s="23">
        <f>IFERROR(U8/Q8-1,"")</f>
        <v/>
      </c>
      <c r="V9" s="23">
        <f>IFERROR(V8/R8-1,"")</f>
        <v/>
      </c>
      <c r="W9" s="23">
        <f>IFERROR(W8/S8-1,"")</f>
        <v/>
      </c>
      <c r="X9" s="23">
        <f>IFERROR(X8/T8-1,"")</f>
        <v/>
      </c>
      <c r="Y9" s="23">
        <f>IFERROR(Y8/U8-1,"")</f>
        <v/>
      </c>
      <c r="Z9" s="23">
        <f>IFERROR(Z8/V8-1,"")</f>
        <v/>
      </c>
      <c r="AA9" s="23">
        <f>IFERROR(AA8/W8-1,"")</f>
        <v/>
      </c>
      <c r="AB9" s="19" t="n"/>
      <c r="AC9" s="64" t="n"/>
      <c r="AD9" s="64" t="n"/>
      <c r="AE9" s="64" t="n"/>
      <c r="AF9" s="23">
        <f>IFERROR(AF8/AE8-1,"")</f>
        <v/>
      </c>
      <c r="AG9" s="23">
        <f>IFERROR(AG8/AF8-1,"")</f>
        <v/>
      </c>
      <c r="AH9" s="23">
        <f>IFERROR(AH8/AG8-1,"")</f>
        <v/>
      </c>
      <c r="AI9" s="23">
        <f>IFERROR(AI8/AH8-1,"")</f>
        <v/>
      </c>
      <c r="AJ9" s="23">
        <f>IFERROR(AJ8/AI8-1,"")</f>
        <v/>
      </c>
    </row>
    <row r="10">
      <c r="A10" s="20" t="inlineStr">
        <is>
          <t>Number of orders</t>
        </is>
      </c>
      <c r="B10" s="21" t="inlineStr">
        <is>
          <t>mn</t>
        </is>
      </c>
      <c r="C10" s="22" t="inlineStr">
        <is>
          <t>One Nykaa Highlights</t>
        </is>
      </c>
      <c r="D10" s="63" t="n">
        <v>7</v>
      </c>
      <c r="E10" s="63" t="n">
        <v>7.4</v>
      </c>
      <c r="F10" s="63" t="n">
        <v>9</v>
      </c>
      <c r="G10" s="63" t="n">
        <v>8.699999999999999</v>
      </c>
      <c r="H10" s="63" t="n">
        <v>9.9</v>
      </c>
      <c r="I10" s="63" t="n">
        <v>10.1</v>
      </c>
      <c r="J10" s="63" t="n">
        <v>11.6</v>
      </c>
      <c r="K10" s="63" t="n">
        <v>10.6</v>
      </c>
      <c r="L10" s="63" t="n">
        <v>11.4</v>
      </c>
      <c r="M10" s="63" t="n">
        <v>12.2</v>
      </c>
      <c r="N10" s="63" t="n">
        <v>13.7</v>
      </c>
      <c r="O10" s="63" t="n">
        <v>13.4</v>
      </c>
      <c r="P10" s="63" t="n"/>
      <c r="Q10" s="63" t="n"/>
      <c r="R10" s="63" t="n"/>
      <c r="S10" s="63" t="n"/>
      <c r="T10" s="63" t="n"/>
      <c r="U10" s="63" t="n"/>
      <c r="V10" s="63" t="n"/>
      <c r="W10" s="63" t="n"/>
      <c r="X10" s="63" t="n"/>
      <c r="Y10" s="63" t="n"/>
      <c r="Z10" s="63" t="n"/>
      <c r="AA10" s="63" t="n"/>
      <c r="AB10" s="19" t="n"/>
      <c r="AC10" s="36" t="n"/>
      <c r="AD10" s="36" t="n"/>
      <c r="AE10" s="36" t="n"/>
      <c r="AF10" s="36">
        <f>IF(COUNT(D10:G10)=0,"",SUM(D10:G10))</f>
        <v/>
      </c>
      <c r="AG10" s="36">
        <f>IF(COUNT(H10:K10)=0,"",SUM(H10:K10))</f>
        <v/>
      </c>
      <c r="AH10" s="36">
        <f>IF(COUNT(L10:O10)=0,"",SUM(L10:O10))</f>
        <v/>
      </c>
      <c r="AI10" s="36">
        <f>IF(COUNT(P10:S10)=0,"",SUM(P10:S10))</f>
        <v/>
      </c>
      <c r="AJ10" s="36">
        <f>IF(COUNT(T10:W10)=0,"",SUM(T10:W10))</f>
        <v/>
      </c>
    </row>
    <row r="11">
      <c r="A11" s="20" t="inlineStr">
        <is>
          <t>Total GMV</t>
        </is>
      </c>
      <c r="B11" s="21" t="inlineStr">
        <is>
          <t>Rs Mn</t>
        </is>
      </c>
      <c r="C11" s="22" t="inlineStr">
        <is>
          <t>One Nykaa Highlights</t>
        </is>
      </c>
      <c r="D11" s="65" t="n">
        <v>14696</v>
      </c>
      <c r="E11" s="65" t="n">
        <v>16229</v>
      </c>
      <c r="F11" s="65" t="n">
        <v>20428</v>
      </c>
      <c r="G11" s="65" t="n">
        <v>17979</v>
      </c>
      <c r="H11" s="65" t="n">
        <v>21588</v>
      </c>
      <c r="I11" s="65" t="n">
        <v>23457</v>
      </c>
      <c r="J11" s="65" t="n">
        <v>27965</v>
      </c>
      <c r="K11" s="65" t="n">
        <v>24454</v>
      </c>
      <c r="L11" s="65" t="n">
        <v>26678</v>
      </c>
      <c r="M11" s="65" t="n">
        <v>29435</v>
      </c>
      <c r="N11" s="65" t="n">
        <v>36195</v>
      </c>
      <c r="O11" s="65" t="n">
        <v>32163</v>
      </c>
      <c r="P11" s="65" t="n">
        <v>33209</v>
      </c>
      <c r="Q11" s="65" t="n">
        <v>36525</v>
      </c>
      <c r="R11" s="65" t="n">
        <v>45279</v>
      </c>
      <c r="S11" s="65" t="n">
        <v>41020</v>
      </c>
      <c r="T11" s="65" t="n">
        <v>41820</v>
      </c>
      <c r="U11" s="65" t="n">
        <v>47440</v>
      </c>
      <c r="V11" s="65" t="n">
        <v>57950</v>
      </c>
      <c r="W11" s="65" t="n">
        <v>52410</v>
      </c>
      <c r="X11" s="65" t="n"/>
      <c r="Y11" s="65" t="n"/>
      <c r="Z11" s="65" t="n"/>
      <c r="AA11" s="65" t="n"/>
      <c r="AB11" s="19" t="n"/>
      <c r="AC11" s="66" t="n"/>
      <c r="AD11" s="66" t="n"/>
      <c r="AE11" s="66" t="n"/>
      <c r="AF11" s="66">
        <f>IF(COUNT(D11:G11)=0,"",SUM(D11:G11))</f>
        <v/>
      </c>
      <c r="AG11" s="66">
        <f>IF(COUNT(H11:K11)=0,"",SUM(H11:K11))</f>
        <v/>
      </c>
      <c r="AH11" s="66">
        <f>IF(COUNT(L11:O11)=0,"",SUM(L11:O11))</f>
        <v/>
      </c>
      <c r="AI11" s="66">
        <f>IF(COUNT(P11:S11)=0,"",SUM(P11:S11))</f>
        <v/>
      </c>
      <c r="AJ11" s="66">
        <f>IF(COUNT(T11:W11)=0,"",SUM(T11:W11))</f>
        <v/>
      </c>
    </row>
    <row r="12">
      <c r="A12" s="20" t="inlineStr">
        <is>
          <t xml:space="preserve">  YoY growth</t>
        </is>
      </c>
      <c r="B12" s="21" t="inlineStr">
        <is>
          <t>%</t>
        </is>
      </c>
      <c r="C12" s="22" t="n"/>
      <c r="D12" s="64" t="n"/>
      <c r="E12" s="64" t="n"/>
      <c r="F12" s="64" t="n"/>
      <c r="G12" s="64" t="n"/>
      <c r="H12" s="23">
        <f>IFERROR(H11/D11-1,"")</f>
        <v/>
      </c>
      <c r="I12" s="23">
        <f>IFERROR(I11/E11-1,"")</f>
        <v/>
      </c>
      <c r="J12" s="23">
        <f>IFERROR(J11/F11-1,"")</f>
        <v/>
      </c>
      <c r="K12" s="23">
        <f>IFERROR(K11/G11-1,"")</f>
        <v/>
      </c>
      <c r="L12" s="23">
        <f>IFERROR(L11/H11-1,"")</f>
        <v/>
      </c>
      <c r="M12" s="23">
        <f>IFERROR(M11/I11-1,"")</f>
        <v/>
      </c>
      <c r="N12" s="23">
        <f>IFERROR(N11/J11-1,"")</f>
        <v/>
      </c>
      <c r="O12" s="23">
        <f>IFERROR(O11/K11-1,"")</f>
        <v/>
      </c>
      <c r="P12" s="23">
        <f>IFERROR(P11/L11-1,"")</f>
        <v/>
      </c>
      <c r="Q12" s="23">
        <f>IFERROR(Q11/M11-1,"")</f>
        <v/>
      </c>
      <c r="R12" s="23">
        <f>IFERROR(R11/N11-1,"")</f>
        <v/>
      </c>
      <c r="S12" s="23">
        <f>IFERROR(S11/O11-1,"")</f>
        <v/>
      </c>
      <c r="T12" s="23">
        <f>IFERROR(T11/P11-1,"")</f>
        <v/>
      </c>
      <c r="U12" s="23">
        <f>IFERROR(U11/Q11-1,"")</f>
        <v/>
      </c>
      <c r="V12" s="23">
        <f>IFERROR(V11/R11-1,"")</f>
        <v/>
      </c>
      <c r="W12" s="23">
        <f>IFERROR(W11/S11-1,"")</f>
        <v/>
      </c>
      <c r="X12" s="23">
        <f>IFERROR(X11/T11-1,"")</f>
        <v/>
      </c>
      <c r="Y12" s="23">
        <f>IFERROR(Y11/U11-1,"")</f>
        <v/>
      </c>
      <c r="Z12" s="23">
        <f>IFERROR(Z11/V11-1,"")</f>
        <v/>
      </c>
      <c r="AA12" s="23">
        <f>IFERROR(AA11/W11-1,"")</f>
        <v/>
      </c>
      <c r="AB12" s="19" t="n"/>
      <c r="AC12" s="64" t="n"/>
      <c r="AD12" s="64" t="n"/>
      <c r="AE12" s="64" t="n"/>
      <c r="AF12" s="23">
        <f>IFERROR(AF11/AE11-1,"")</f>
        <v/>
      </c>
      <c r="AG12" s="23">
        <f>IFERROR(AG11/AF11-1,"")</f>
        <v/>
      </c>
      <c r="AH12" s="23">
        <f>IFERROR(AH11/AG11-1,"")</f>
        <v/>
      </c>
      <c r="AI12" s="23">
        <f>IFERROR(AI11/AH11-1,"")</f>
        <v/>
      </c>
      <c r="AJ12" s="23">
        <f>IFERROR(AJ11/AI11-1,"")</f>
        <v/>
      </c>
    </row>
    <row r="13">
      <c r="A13" s="20" t="inlineStr">
        <is>
          <t xml:space="preserve">  QoQ growth</t>
        </is>
      </c>
      <c r="B13" s="21" t="inlineStr">
        <is>
          <t>%</t>
        </is>
      </c>
      <c r="C13" s="22" t="n"/>
      <c r="D13" s="64" t="n"/>
      <c r="E13" s="23">
        <f>IFERROR(E11/D11-1,"")</f>
        <v/>
      </c>
      <c r="F13" s="23">
        <f>IFERROR(F11/E11-1,"")</f>
        <v/>
      </c>
      <c r="G13" s="23">
        <f>IFERROR(G11/F11-1,"")</f>
        <v/>
      </c>
      <c r="H13" s="23">
        <f>IFERROR(H11/G11-1,"")</f>
        <v/>
      </c>
      <c r="I13" s="23">
        <f>IFERROR(I11/H11-1,"")</f>
        <v/>
      </c>
      <c r="J13" s="23">
        <f>IFERROR(J11/I11-1,"")</f>
        <v/>
      </c>
      <c r="K13" s="23">
        <f>IFERROR(K11/J11-1,"")</f>
        <v/>
      </c>
      <c r="L13" s="23">
        <f>IFERROR(L11/K11-1,"")</f>
        <v/>
      </c>
      <c r="M13" s="23">
        <f>IFERROR(M11/L11-1,"")</f>
        <v/>
      </c>
      <c r="N13" s="23">
        <f>IFERROR(N11/M11-1,"")</f>
        <v/>
      </c>
      <c r="O13" s="23">
        <f>IFERROR(O11/N11-1,"")</f>
        <v/>
      </c>
      <c r="P13" s="23">
        <f>IFERROR(P11/O11-1,"")</f>
        <v/>
      </c>
      <c r="Q13" s="23">
        <f>IFERROR(Q11/P11-1,"")</f>
        <v/>
      </c>
      <c r="R13" s="23">
        <f>IFERROR(R11/Q11-1,"")</f>
        <v/>
      </c>
      <c r="S13" s="23">
        <f>IFERROR(S11/R11-1,"")</f>
        <v/>
      </c>
      <c r="T13" s="23">
        <f>IFERROR(T11/S11-1,"")</f>
        <v/>
      </c>
      <c r="U13" s="23">
        <f>IFERROR(U11/T11-1,"")</f>
        <v/>
      </c>
      <c r="V13" s="23">
        <f>IFERROR(V11/U11-1,"")</f>
        <v/>
      </c>
      <c r="W13" s="23">
        <f>IFERROR(W11/V11-1,"")</f>
        <v/>
      </c>
      <c r="X13" s="23">
        <f>IFERROR(X11/W11-1,"")</f>
        <v/>
      </c>
      <c r="Y13" s="23">
        <f>IFERROR(Y11/X11-1,"")</f>
        <v/>
      </c>
      <c r="Z13" s="23">
        <f>IFERROR(Z11/Y11-1,"")</f>
        <v/>
      </c>
      <c r="AA13" s="23">
        <f>IFERROR(AA11/Z11-1,"")</f>
        <v/>
      </c>
      <c r="AB13" s="19" t="n"/>
      <c r="AC13" s="64" t="n"/>
      <c r="AD13" s="64" t="n"/>
      <c r="AE13" s="64" t="n"/>
      <c r="AF13" s="64" t="n"/>
      <c r="AG13" s="64" t="n"/>
      <c r="AH13" s="64" t="n"/>
      <c r="AI13" s="64" t="n"/>
      <c r="AJ13" s="64" t="n"/>
    </row>
    <row r="14">
      <c r="A14" s="20" t="inlineStr">
        <is>
          <t>Total NSV</t>
        </is>
      </c>
      <c r="B14" s="21" t="inlineStr">
        <is>
          <t>Rs Mn</t>
        </is>
      </c>
      <c r="C14" s="22" t="inlineStr">
        <is>
          <t>One Nykaa Highlights</t>
        </is>
      </c>
      <c r="D14" s="65" t="n">
        <v>8050</v>
      </c>
      <c r="E14" s="65" t="n">
        <v>8688</v>
      </c>
      <c r="F14" s="65" t="n">
        <v>10729</v>
      </c>
      <c r="G14" s="65" t="n">
        <v>9650</v>
      </c>
      <c r="H14" s="65" t="n">
        <v>11272</v>
      </c>
      <c r="I14" s="65" t="n">
        <v>12049</v>
      </c>
      <c r="J14" s="65" t="n">
        <v>14401</v>
      </c>
      <c r="K14" s="65" t="n">
        <v>12904</v>
      </c>
      <c r="L14" s="65" t="n">
        <v>14205</v>
      </c>
      <c r="M14" s="65" t="n">
        <v>14982</v>
      </c>
      <c r="N14" s="65" t="n">
        <v>17866</v>
      </c>
      <c r="O14" s="65" t="n">
        <v>16489</v>
      </c>
      <c r="P14" s="65" t="n">
        <v>17183</v>
      </c>
      <c r="Q14" s="65" t="n">
        <v>18432</v>
      </c>
      <c r="R14" s="65" t="n">
        <v>22190</v>
      </c>
      <c r="S14" s="65" t="n">
        <v>20430</v>
      </c>
      <c r="T14" s="65" t="n">
        <v>21370</v>
      </c>
      <c r="U14" s="65" t="n">
        <v>23400</v>
      </c>
      <c r="V14" s="65" t="n">
        <v>28440</v>
      </c>
      <c r="W14" s="65" t="n">
        <v>26780</v>
      </c>
      <c r="X14" s="65" t="n"/>
      <c r="Y14" s="65" t="n"/>
      <c r="Z14" s="65" t="n"/>
      <c r="AA14" s="65" t="n"/>
      <c r="AB14" s="19" t="n"/>
      <c r="AC14" s="66" t="n"/>
      <c r="AD14" s="66" t="n"/>
      <c r="AE14" s="66" t="n"/>
      <c r="AF14" s="66">
        <f>IF(COUNT(D14:G14)=0,"",SUM(D14:G14))</f>
        <v/>
      </c>
      <c r="AG14" s="66">
        <f>IF(COUNT(H14:K14)=0,"",SUM(H14:K14))</f>
        <v/>
      </c>
      <c r="AH14" s="66">
        <f>IF(COUNT(L14:O14)=0,"",SUM(L14:O14))</f>
        <v/>
      </c>
      <c r="AI14" s="66">
        <f>IF(COUNT(P14:S14)=0,"",SUM(P14:S14))</f>
        <v/>
      </c>
      <c r="AJ14" s="66">
        <f>IF(COUNT(T14:W14)=0,"",SUM(T14:W14))</f>
        <v/>
      </c>
    </row>
    <row r="15">
      <c r="A15" s="20" t="inlineStr">
        <is>
          <t xml:space="preserve">  NSV / GMV</t>
        </is>
      </c>
      <c r="B15" s="21" t="inlineStr">
        <is>
          <t>%</t>
        </is>
      </c>
      <c r="C15" s="22" t="n"/>
      <c r="D15" s="23">
        <f>IFERROR(D14/D11,"")</f>
        <v/>
      </c>
      <c r="E15" s="23">
        <f>IFERROR(E14/E11,"")</f>
        <v/>
      </c>
      <c r="F15" s="23">
        <f>IFERROR(F14/F11,"")</f>
        <v/>
      </c>
      <c r="G15" s="23">
        <f>IFERROR(G14/G11,"")</f>
        <v/>
      </c>
      <c r="H15" s="23">
        <f>IFERROR(H14/H11,"")</f>
        <v/>
      </c>
      <c r="I15" s="23">
        <f>IFERROR(I14/I11,"")</f>
        <v/>
      </c>
      <c r="J15" s="23">
        <f>IFERROR(J14/J11,"")</f>
        <v/>
      </c>
      <c r="K15" s="23">
        <f>IFERROR(K14/K11,"")</f>
        <v/>
      </c>
      <c r="L15" s="23">
        <f>IFERROR(L14/L11,"")</f>
        <v/>
      </c>
      <c r="M15" s="23">
        <f>IFERROR(M14/M11,"")</f>
        <v/>
      </c>
      <c r="N15" s="23">
        <f>IFERROR(N14/N11,"")</f>
        <v/>
      </c>
      <c r="O15" s="23">
        <f>IFERROR(O14/O11,"")</f>
        <v/>
      </c>
      <c r="P15" s="23">
        <f>IFERROR(P14/P11,"")</f>
        <v/>
      </c>
      <c r="Q15" s="23">
        <f>IFERROR(Q14/Q11,"")</f>
        <v/>
      </c>
      <c r="R15" s="23">
        <f>IFERROR(R14/R11,"")</f>
        <v/>
      </c>
      <c r="S15" s="23">
        <f>IFERROR(S14/S11,"")</f>
        <v/>
      </c>
      <c r="T15" s="23">
        <f>IFERROR(T14/T11,"")</f>
        <v/>
      </c>
      <c r="U15" s="23">
        <f>IFERROR(U14/U11,"")</f>
        <v/>
      </c>
      <c r="V15" s="23">
        <f>IFERROR(V14/V11,"")</f>
        <v/>
      </c>
      <c r="W15" s="23">
        <f>IFERROR(W14/W11,"")</f>
        <v/>
      </c>
      <c r="X15" s="23">
        <f>IFERROR(X14/X11,"")</f>
        <v/>
      </c>
      <c r="Y15" s="23">
        <f>IFERROR(Y14/Y11,"")</f>
        <v/>
      </c>
      <c r="Z15" s="23">
        <f>IFERROR(Z14/Z11,"")</f>
        <v/>
      </c>
      <c r="AA15" s="23">
        <f>IFERROR(AA14/AA11,"")</f>
        <v/>
      </c>
      <c r="AB15" s="19" t="n"/>
      <c r="AC15" s="23" t="n"/>
      <c r="AD15" s="23" t="n"/>
      <c r="AE15" s="23" t="n"/>
      <c r="AF15" s="23">
        <f>IFERROR(AF14/AF11,"")</f>
        <v/>
      </c>
      <c r="AG15" s="23">
        <f>IFERROR(AG14/AG11,"")</f>
        <v/>
      </c>
      <c r="AH15" s="23">
        <f>IFERROR(AH14/AH11,"")</f>
        <v/>
      </c>
      <c r="AI15" s="23">
        <f>IFERROR(AI14/AI11,"")</f>
        <v/>
      </c>
      <c r="AJ15" s="23">
        <f>IFERROR(AJ14/AJ11,"")</f>
        <v/>
      </c>
    </row>
    <row r="16">
      <c r="A16" s="20" t="inlineStr">
        <is>
          <t>Total Revenue</t>
        </is>
      </c>
      <c r="B16" s="21" t="inlineStr">
        <is>
          <t>Rs Mn</t>
        </is>
      </c>
      <c r="C16" s="22" t="inlineStr">
        <is>
          <t>One Nykaa Highlights / Financial Performance</t>
        </is>
      </c>
      <c r="D16" s="65" t="n">
        <v>8169.91</v>
      </c>
      <c r="E16" s="65" t="n">
        <v>8852.639999999999</v>
      </c>
      <c r="F16" s="65" t="n">
        <v>10983.6</v>
      </c>
      <c r="G16" s="65" t="n">
        <v>9733.200000000001</v>
      </c>
      <c r="H16" s="65" t="n">
        <v>11484.21</v>
      </c>
      <c r="I16" s="65" t="n">
        <v>12308.29</v>
      </c>
      <c r="J16" s="65" t="n">
        <v>14628.26</v>
      </c>
      <c r="K16" s="65" t="n">
        <v>13017.24</v>
      </c>
      <c r="L16" s="65" t="n">
        <v>14218.24</v>
      </c>
      <c r="M16" s="65" t="n">
        <v>15070.24</v>
      </c>
      <c r="N16" s="65" t="n">
        <v>17887.98</v>
      </c>
      <c r="O16" s="65" t="n">
        <v>16679.8</v>
      </c>
      <c r="P16" s="65" t="n">
        <v>17461.1</v>
      </c>
      <c r="Q16" s="65" t="n">
        <v>18747.4</v>
      </c>
      <c r="R16" s="65" t="n">
        <v>22672.1</v>
      </c>
      <c r="S16" s="65" t="n">
        <v>20617.6</v>
      </c>
      <c r="T16" s="65" t="n">
        <v>21549.4</v>
      </c>
      <c r="U16" s="65" t="n">
        <v>23459.8</v>
      </c>
      <c r="V16" s="65" t="n">
        <v>28732.6</v>
      </c>
      <c r="W16" s="65" t="n">
        <v>26480</v>
      </c>
      <c r="X16" s="65" t="n"/>
      <c r="Y16" s="65" t="n"/>
      <c r="Z16" s="65" t="n"/>
      <c r="AA16" s="65" t="n"/>
      <c r="AB16" s="19" t="n"/>
      <c r="AC16" s="66" t="n"/>
      <c r="AD16" s="66" t="n"/>
      <c r="AE16" s="66" t="n"/>
      <c r="AF16" s="66">
        <f>IF(COUNT(D16:G16)=0,"",SUM(D16:G16))</f>
        <v/>
      </c>
      <c r="AG16" s="66">
        <f>IF(COUNT(H16:K16)=0,"",SUM(H16:K16))</f>
        <v/>
      </c>
      <c r="AH16" s="66">
        <f>IF(COUNT(L16:O16)=0,"",SUM(L16:O16))</f>
        <v/>
      </c>
      <c r="AI16" s="66">
        <f>IF(COUNT(P16:S16)=0,"",SUM(P16:S16))</f>
        <v/>
      </c>
      <c r="AJ16" s="66">
        <f>IF(COUNT(T16:W16)=0,"",SUM(T16:W16))</f>
        <v/>
      </c>
    </row>
    <row r="17">
      <c r="A17" s="20" t="inlineStr">
        <is>
          <t xml:space="preserve">  YoY growth</t>
        </is>
      </c>
      <c r="B17" s="21" t="inlineStr">
        <is>
          <t>%</t>
        </is>
      </c>
      <c r="C17" s="22" t="n"/>
      <c r="D17" s="64" t="n"/>
      <c r="E17" s="64" t="n"/>
      <c r="F17" s="64" t="n"/>
      <c r="G17" s="64" t="n"/>
      <c r="H17" s="23">
        <f>IFERROR(H16/D16-1,"")</f>
        <v/>
      </c>
      <c r="I17" s="23">
        <f>IFERROR(I16/E16-1,"")</f>
        <v/>
      </c>
      <c r="J17" s="23">
        <f>IFERROR(J16/F16-1,"")</f>
        <v/>
      </c>
      <c r="K17" s="23">
        <f>IFERROR(K16/G16-1,"")</f>
        <v/>
      </c>
      <c r="L17" s="23">
        <f>IFERROR(L16/H16-1,"")</f>
        <v/>
      </c>
      <c r="M17" s="23">
        <f>IFERROR(M16/I16-1,"")</f>
        <v/>
      </c>
      <c r="N17" s="23">
        <f>IFERROR(N16/J16-1,"")</f>
        <v/>
      </c>
      <c r="O17" s="23">
        <f>IFERROR(O16/K16-1,"")</f>
        <v/>
      </c>
      <c r="P17" s="23">
        <f>IFERROR(P16/L16-1,"")</f>
        <v/>
      </c>
      <c r="Q17" s="23">
        <f>IFERROR(Q16/M16-1,"")</f>
        <v/>
      </c>
      <c r="R17" s="23">
        <f>IFERROR(R16/N16-1,"")</f>
        <v/>
      </c>
      <c r="S17" s="23">
        <f>IFERROR(S16/O16-1,"")</f>
        <v/>
      </c>
      <c r="T17" s="23">
        <f>IFERROR(T16/P16-1,"")</f>
        <v/>
      </c>
      <c r="U17" s="23">
        <f>IFERROR(U16/Q16-1,"")</f>
        <v/>
      </c>
      <c r="V17" s="23">
        <f>IFERROR(V16/R16-1,"")</f>
        <v/>
      </c>
      <c r="W17" s="23">
        <f>IFERROR(W16/S16-1,"")</f>
        <v/>
      </c>
      <c r="X17" s="23">
        <f>IFERROR(X16/T16-1,"")</f>
        <v/>
      </c>
      <c r="Y17" s="23">
        <f>IFERROR(Y16/U16-1,"")</f>
        <v/>
      </c>
      <c r="Z17" s="23">
        <f>IFERROR(Z16/V16-1,"")</f>
        <v/>
      </c>
      <c r="AA17" s="23">
        <f>IFERROR(AA16/W16-1,"")</f>
        <v/>
      </c>
      <c r="AB17" s="19" t="n"/>
      <c r="AC17" s="64" t="n"/>
      <c r="AD17" s="64" t="n"/>
      <c r="AE17" s="64" t="n"/>
      <c r="AF17" s="23">
        <f>IFERROR(AF16/AE16-1,"")</f>
        <v/>
      </c>
      <c r="AG17" s="23">
        <f>IFERROR(AG16/AF16-1,"")</f>
        <v/>
      </c>
      <c r="AH17" s="23">
        <f>IFERROR(AH16/AG16-1,"")</f>
        <v/>
      </c>
      <c r="AI17" s="23">
        <f>IFERROR(AI16/AH16-1,"")</f>
        <v/>
      </c>
      <c r="AJ17" s="23">
        <f>IFERROR(AJ16/AI16-1,"")</f>
        <v/>
      </c>
    </row>
    <row r="18">
      <c r="A18" s="20" t="inlineStr">
        <is>
          <t xml:space="preserve">  Revenue / NSV</t>
        </is>
      </c>
      <c r="B18" s="21" t="inlineStr">
        <is>
          <t>%</t>
        </is>
      </c>
      <c r="C18" s="22" t="n"/>
      <c r="D18" s="23">
        <f>IFERROR(D16/D14,"")</f>
        <v/>
      </c>
      <c r="E18" s="23">
        <f>IFERROR(E16/E14,"")</f>
        <v/>
      </c>
      <c r="F18" s="23">
        <f>IFERROR(F16/F14,"")</f>
        <v/>
      </c>
      <c r="G18" s="23">
        <f>IFERROR(G16/G14,"")</f>
        <v/>
      </c>
      <c r="H18" s="23">
        <f>IFERROR(H16/H14,"")</f>
        <v/>
      </c>
      <c r="I18" s="23">
        <f>IFERROR(I16/I14,"")</f>
        <v/>
      </c>
      <c r="J18" s="23">
        <f>IFERROR(J16/J14,"")</f>
        <v/>
      </c>
      <c r="K18" s="23">
        <f>IFERROR(K16/K14,"")</f>
        <v/>
      </c>
      <c r="L18" s="23">
        <f>IFERROR(L16/L14,"")</f>
        <v/>
      </c>
      <c r="M18" s="23">
        <f>IFERROR(M16/M14,"")</f>
        <v/>
      </c>
      <c r="N18" s="23">
        <f>IFERROR(N16/N14,"")</f>
        <v/>
      </c>
      <c r="O18" s="23">
        <f>IFERROR(O16/O14,"")</f>
        <v/>
      </c>
      <c r="P18" s="23">
        <f>IFERROR(P16/P14,"")</f>
        <v/>
      </c>
      <c r="Q18" s="23">
        <f>IFERROR(Q16/Q14,"")</f>
        <v/>
      </c>
      <c r="R18" s="23">
        <f>IFERROR(R16/R14,"")</f>
        <v/>
      </c>
      <c r="S18" s="23">
        <f>IFERROR(S16/S14,"")</f>
        <v/>
      </c>
      <c r="T18" s="23">
        <f>IFERROR(T16/T14,"")</f>
        <v/>
      </c>
      <c r="U18" s="23">
        <f>IFERROR(U16/U14,"")</f>
        <v/>
      </c>
      <c r="V18" s="23">
        <f>IFERROR(V16/V14,"")</f>
        <v/>
      </c>
      <c r="W18" s="23">
        <f>IFERROR(W16/W14,"")</f>
        <v/>
      </c>
      <c r="X18" s="23">
        <f>IFERROR(X16/X14,"")</f>
        <v/>
      </c>
      <c r="Y18" s="23">
        <f>IFERROR(Y16/Y14,"")</f>
        <v/>
      </c>
      <c r="Z18" s="23">
        <f>IFERROR(Z16/Z14,"")</f>
        <v/>
      </c>
      <c r="AA18" s="23">
        <f>IFERROR(AA16/AA14,"")</f>
        <v/>
      </c>
      <c r="AB18" s="19" t="n"/>
      <c r="AC18" s="23" t="n"/>
      <c r="AD18" s="23" t="n"/>
      <c r="AE18" s="23" t="n"/>
      <c r="AF18" s="23">
        <f>IFERROR(AF16/AF14,"")</f>
        <v/>
      </c>
      <c r="AG18" s="23">
        <f>IFERROR(AG16/AG14,"")</f>
        <v/>
      </c>
      <c r="AH18" s="23">
        <f>IFERROR(AH16/AH14,"")</f>
        <v/>
      </c>
      <c r="AI18" s="23">
        <f>IFERROR(AI16/AI14,"")</f>
        <v/>
      </c>
      <c r="AJ18" s="23">
        <f>IFERROR(AJ16/AJ14,"")</f>
        <v/>
      </c>
    </row>
    <row r="19">
      <c r="A19" s="20" t="inlineStr">
        <is>
          <t>Gross profit</t>
        </is>
      </c>
      <c r="B19" s="21" t="inlineStr">
        <is>
          <t>Rs Mn</t>
        </is>
      </c>
      <c r="C19" s="22" t="inlineStr">
        <is>
          <t>Financial Performance (Total column)</t>
        </is>
      </c>
      <c r="D19" s="65" t="n">
        <v>3316.59</v>
      </c>
      <c r="E19" s="65" t="n">
        <v>3782.42</v>
      </c>
      <c r="F19" s="65" t="n">
        <v>5087.58</v>
      </c>
      <c r="G19" s="65" t="n">
        <v>4252.61</v>
      </c>
      <c r="H19" s="65" t="n">
        <v>5098.79</v>
      </c>
      <c r="I19" s="65" t="n">
        <v>5577.38</v>
      </c>
      <c r="J19" s="65" t="n">
        <v>6346.7</v>
      </c>
      <c r="K19" s="65" t="n">
        <v>5758.32</v>
      </c>
      <c r="L19" s="65" t="n">
        <v>6186.25</v>
      </c>
      <c r="M19" s="65" t="n">
        <v>6496.24</v>
      </c>
      <c r="N19" s="65" t="n">
        <v>7607.48</v>
      </c>
      <c r="O19" s="65" t="n">
        <v>7102.43</v>
      </c>
      <c r="P19" s="65" t="n">
        <v>7559.8</v>
      </c>
      <c r="Q19" s="65" t="n">
        <v>8210.200000000001</v>
      </c>
      <c r="R19" s="65" t="n">
        <v>9911.4</v>
      </c>
      <c r="S19" s="65" t="n">
        <v>9090.200000000001</v>
      </c>
      <c r="T19" s="65" t="n">
        <v>9615.1</v>
      </c>
      <c r="U19" s="65" t="n">
        <v>10535.4</v>
      </c>
      <c r="V19" s="65" t="n">
        <v>12974.8</v>
      </c>
      <c r="W19" s="65" t="n">
        <v>12030</v>
      </c>
      <c r="X19" s="65" t="n"/>
      <c r="Y19" s="65" t="n"/>
      <c r="Z19" s="65" t="n"/>
      <c r="AA19" s="65" t="n"/>
      <c r="AB19" s="19" t="n"/>
      <c r="AC19" s="66" t="n"/>
      <c r="AD19" s="66" t="n"/>
      <c r="AE19" s="66" t="n"/>
      <c r="AF19" s="66">
        <f>IF(COUNT(D19:G19)=0,"",SUM(D19:G19))</f>
        <v/>
      </c>
      <c r="AG19" s="66">
        <f>IF(COUNT(H19:K19)=0,"",SUM(H19:K19))</f>
        <v/>
      </c>
      <c r="AH19" s="66">
        <f>IF(COUNT(L19:O19)=0,"",SUM(L19:O19))</f>
        <v/>
      </c>
      <c r="AI19" s="66">
        <f>IF(COUNT(P19:S19)=0,"",SUM(P19:S19))</f>
        <v/>
      </c>
      <c r="AJ19" s="66">
        <f>IF(COUNT(T19:W19)=0,"",SUM(T19:W19))</f>
        <v/>
      </c>
    </row>
    <row r="20">
      <c r="A20" s="20" t="inlineStr">
        <is>
          <t xml:space="preserve">  Gross margin (% of NSV)</t>
        </is>
      </c>
      <c r="B20" s="21" t="inlineStr">
        <is>
          <t>%</t>
        </is>
      </c>
      <c r="C20" s="22" t="n"/>
      <c r="D20" s="23">
        <f>IFERROR(D19/D14,"")</f>
        <v/>
      </c>
      <c r="E20" s="23">
        <f>IFERROR(E19/E14,"")</f>
        <v/>
      </c>
      <c r="F20" s="23">
        <f>IFERROR(F19/F14,"")</f>
        <v/>
      </c>
      <c r="G20" s="23">
        <f>IFERROR(G19/G14,"")</f>
        <v/>
      </c>
      <c r="H20" s="23">
        <f>IFERROR(H19/H14,"")</f>
        <v/>
      </c>
      <c r="I20" s="23">
        <f>IFERROR(I19/I14,"")</f>
        <v/>
      </c>
      <c r="J20" s="23">
        <f>IFERROR(J19/J14,"")</f>
        <v/>
      </c>
      <c r="K20" s="23">
        <f>IFERROR(K19/K14,"")</f>
        <v/>
      </c>
      <c r="L20" s="23">
        <f>IFERROR(L19/L14,"")</f>
        <v/>
      </c>
      <c r="M20" s="23">
        <f>IFERROR(M19/M14,"")</f>
        <v/>
      </c>
      <c r="N20" s="23">
        <f>IFERROR(N19/N14,"")</f>
        <v/>
      </c>
      <c r="O20" s="23">
        <f>IFERROR(O19/O14,"")</f>
        <v/>
      </c>
      <c r="P20" s="23">
        <f>IFERROR(P19/P14,"")</f>
        <v/>
      </c>
      <c r="Q20" s="23">
        <f>IFERROR(Q19/Q14,"")</f>
        <v/>
      </c>
      <c r="R20" s="23">
        <f>IFERROR(R19/R14,"")</f>
        <v/>
      </c>
      <c r="S20" s="23">
        <f>IFERROR(S19/S14,"")</f>
        <v/>
      </c>
      <c r="T20" s="23">
        <f>IFERROR(T19/T14,"")</f>
        <v/>
      </c>
      <c r="U20" s="23">
        <f>IFERROR(U19/U14,"")</f>
        <v/>
      </c>
      <c r="V20" s="23">
        <f>IFERROR(V19/V14,"")</f>
        <v/>
      </c>
      <c r="W20" s="23">
        <f>IFERROR(W19/W14,"")</f>
        <v/>
      </c>
      <c r="X20" s="23">
        <f>IFERROR(X19/X14,"")</f>
        <v/>
      </c>
      <c r="Y20" s="23">
        <f>IFERROR(Y19/Y14,"")</f>
        <v/>
      </c>
      <c r="Z20" s="23">
        <f>IFERROR(Z19/Z14,"")</f>
        <v/>
      </c>
      <c r="AA20" s="23">
        <f>IFERROR(AA19/AA14,"")</f>
        <v/>
      </c>
      <c r="AB20" s="19" t="n"/>
      <c r="AC20" s="23" t="n"/>
      <c r="AD20" s="23" t="n"/>
      <c r="AE20" s="23" t="n"/>
      <c r="AF20" s="23">
        <f>IFERROR(AF19/AF14,"")</f>
        <v/>
      </c>
      <c r="AG20" s="23">
        <f>IFERROR(AG19/AG14,"")</f>
        <v/>
      </c>
      <c r="AH20" s="23">
        <f>IFERROR(AH19/AH14,"")</f>
        <v/>
      </c>
      <c r="AI20" s="23">
        <f>IFERROR(AI19/AI14,"")</f>
        <v/>
      </c>
      <c r="AJ20" s="23">
        <f>IFERROR(AJ19/AJ14,"")</f>
        <v/>
      </c>
    </row>
    <row r="21">
      <c r="A21" s="20" t="inlineStr">
        <is>
          <t>Fulfilment cost</t>
        </is>
      </c>
      <c r="B21" s="21" t="inlineStr">
        <is>
          <t>Rs Mn</t>
        </is>
      </c>
      <c r="C21" s="22" t="inlineStr">
        <is>
          <t>Financial Performance (Total column)</t>
        </is>
      </c>
      <c r="D21" s="65" t="n">
        <v>934</v>
      </c>
      <c r="E21" s="65" t="n">
        <v>910</v>
      </c>
      <c r="F21" s="65" t="n">
        <v>1162</v>
      </c>
      <c r="G21" s="65" t="n">
        <v>949</v>
      </c>
      <c r="H21" s="65" t="n">
        <v>1294</v>
      </c>
      <c r="I21" s="65" t="n">
        <v>1454</v>
      </c>
      <c r="J21" s="65" t="n">
        <v>1288</v>
      </c>
      <c r="K21" s="65" t="n">
        <v>1286</v>
      </c>
      <c r="L21" s="65" t="n">
        <v>1357</v>
      </c>
      <c r="M21" s="65" t="n">
        <v>1459</v>
      </c>
      <c r="N21" s="65" t="n">
        <v>1718</v>
      </c>
      <c r="O21" s="65" t="n">
        <v>1550</v>
      </c>
      <c r="P21" s="65" t="n">
        <v>1667</v>
      </c>
      <c r="Q21" s="65" t="n">
        <v>1748</v>
      </c>
      <c r="R21" s="65" t="n">
        <v>2090</v>
      </c>
      <c r="S21" s="65" t="n">
        <v>1920</v>
      </c>
      <c r="T21" s="65" t="n">
        <v>2030</v>
      </c>
      <c r="U21" s="65" t="n">
        <v>2270</v>
      </c>
      <c r="V21" s="65" t="n">
        <v>2690</v>
      </c>
      <c r="W21" s="65" t="n">
        <v>2600</v>
      </c>
      <c r="X21" s="65" t="n"/>
      <c r="Y21" s="65" t="n"/>
      <c r="Z21" s="65" t="n"/>
      <c r="AA21" s="65" t="n"/>
      <c r="AB21" s="19" t="n"/>
      <c r="AC21" s="66" t="n"/>
      <c r="AD21" s="66" t="n"/>
      <c r="AE21" s="66" t="n"/>
      <c r="AF21" s="66">
        <f>IF(COUNT(D21:G21)=0,"",SUM(D21:G21))</f>
        <v/>
      </c>
      <c r="AG21" s="66">
        <f>IF(COUNT(H21:K21)=0,"",SUM(H21:K21))</f>
        <v/>
      </c>
      <c r="AH21" s="66">
        <f>IF(COUNT(L21:O21)=0,"",SUM(L21:O21))</f>
        <v/>
      </c>
      <c r="AI21" s="66">
        <f>IF(COUNT(P21:S21)=0,"",SUM(P21:S21))</f>
        <v/>
      </c>
      <c r="AJ21" s="66">
        <f>IF(COUNT(T21:W21)=0,"",SUM(T21:W21))</f>
        <v/>
      </c>
    </row>
    <row r="22">
      <c r="A22" s="20" t="inlineStr">
        <is>
          <t>Marketing &amp; S&amp;D expense (combined)</t>
        </is>
      </c>
      <c r="B22" s="21" t="inlineStr">
        <is>
          <t>Rs Mn</t>
        </is>
      </c>
      <c r="C22" s="22" t="inlineStr">
        <is>
          <t>Financial Performance (Total column)</t>
        </is>
      </c>
      <c r="D22" s="65" t="n">
        <v>1099</v>
      </c>
      <c r="E22" s="65" t="n">
        <v>1521</v>
      </c>
      <c r="F22" s="65" t="n">
        <v>1846</v>
      </c>
      <c r="G22" s="65" t="n">
        <v>1561</v>
      </c>
      <c r="H22" s="65" t="n">
        <v>1524</v>
      </c>
      <c r="I22" s="65" t="n">
        <v>1635</v>
      </c>
      <c r="J22" s="65" t="n">
        <v>1982</v>
      </c>
      <c r="K22" s="65" t="n">
        <v>1670</v>
      </c>
      <c r="L22" s="65" t="n">
        <v>1919</v>
      </c>
      <c r="M22" s="65" t="n">
        <v>2036</v>
      </c>
      <c r="N22" s="65" t="n">
        <v>2558</v>
      </c>
      <c r="O22" s="65" t="n">
        <v>2361</v>
      </c>
      <c r="P22" s="65" t="n">
        <v>2483</v>
      </c>
      <c r="Q22" s="65" t="n">
        <v>2767</v>
      </c>
      <c r="R22" s="65" t="n">
        <v>3620</v>
      </c>
      <c r="S22" s="65" t="n">
        <v>3160</v>
      </c>
      <c r="T22" s="65" t="n">
        <v>3180</v>
      </c>
      <c r="U22" s="65" t="n">
        <v>3560</v>
      </c>
      <c r="V22" s="65" t="n">
        <v>4380</v>
      </c>
      <c r="W22" s="65" t="n">
        <v>3740</v>
      </c>
      <c r="X22" s="65" t="n"/>
      <c r="Y22" s="65" t="n"/>
      <c r="Z22" s="65" t="n"/>
      <c r="AA22" s="65" t="n"/>
      <c r="AB22" s="19" t="n"/>
      <c r="AC22" s="66" t="n"/>
      <c r="AD22" s="66" t="n"/>
      <c r="AE22" s="66" t="n"/>
      <c r="AF22" s="66">
        <f>IF(COUNT(D22:G22)=0,"",SUM(D22:G22))</f>
        <v/>
      </c>
      <c r="AG22" s="66">
        <f>IF(COUNT(H22:K22)=0,"",SUM(H22:K22))</f>
        <v/>
      </c>
      <c r="AH22" s="66">
        <f>IF(COUNT(L22:O22)=0,"",SUM(L22:O22))</f>
        <v/>
      </c>
      <c r="AI22" s="66">
        <f>IF(COUNT(P22:S22)=0,"",SUM(P22:S22))</f>
        <v/>
      </c>
      <c r="AJ22" s="66">
        <f>IF(COUNT(T22:W22)=0,"",SUM(T22:W22))</f>
        <v/>
      </c>
    </row>
    <row r="23">
      <c r="A23" s="20" t="inlineStr">
        <is>
          <t>Contribution profit</t>
        </is>
      </c>
      <c r="B23" s="21" t="inlineStr">
        <is>
          <t>Rs Mn</t>
        </is>
      </c>
      <c r="C23" s="22" t="n"/>
      <c r="D23" s="66">
        <f>IF(OR(ISBLANK(D19),ISBLANK(D21),ISBLANK(D22)),"",IFERROR(D19-D21-D22,""))</f>
        <v/>
      </c>
      <c r="E23" s="66">
        <f>IF(OR(ISBLANK(E19),ISBLANK(E21),ISBLANK(E22)),"",IFERROR(E19-E21-E22,""))</f>
        <v/>
      </c>
      <c r="F23" s="66">
        <f>IF(OR(ISBLANK(F19),ISBLANK(F21),ISBLANK(F22)),"",IFERROR(F19-F21-F22,""))</f>
        <v/>
      </c>
      <c r="G23" s="66">
        <f>IF(OR(ISBLANK(G19),ISBLANK(G21),ISBLANK(G22)),"",IFERROR(G19-G21-G22,""))</f>
        <v/>
      </c>
      <c r="H23" s="66">
        <f>IF(OR(ISBLANK(H19),ISBLANK(H21),ISBLANK(H22)),"",IFERROR(H19-H21-H22,""))</f>
        <v/>
      </c>
      <c r="I23" s="66">
        <f>IF(OR(ISBLANK(I19),ISBLANK(I21),ISBLANK(I22)),"",IFERROR(I19-I21-I22,""))</f>
        <v/>
      </c>
      <c r="J23" s="66">
        <f>IF(OR(ISBLANK(J19),ISBLANK(J21),ISBLANK(J22)),"",IFERROR(J19-J21-J22,""))</f>
        <v/>
      </c>
      <c r="K23" s="66">
        <f>IF(OR(ISBLANK(K19),ISBLANK(K21),ISBLANK(K22)),"",IFERROR(K19-K21-K22,""))</f>
        <v/>
      </c>
      <c r="L23" s="66">
        <f>IF(OR(ISBLANK(L19),ISBLANK(L21),ISBLANK(L22)),"",IFERROR(L19-L21-L22,""))</f>
        <v/>
      </c>
      <c r="M23" s="66">
        <f>IF(OR(ISBLANK(M19),ISBLANK(M21),ISBLANK(M22)),"",IFERROR(M19-M21-M22,""))</f>
        <v/>
      </c>
      <c r="N23" s="66">
        <f>IF(OR(ISBLANK(N19),ISBLANK(N21),ISBLANK(N22)),"",IFERROR(N19-N21-N22,""))</f>
        <v/>
      </c>
      <c r="O23" s="66">
        <f>IF(OR(ISBLANK(O19),ISBLANK(O21),ISBLANK(O22)),"",IFERROR(O19-O21-O22,""))</f>
        <v/>
      </c>
      <c r="P23" s="66">
        <f>IF(OR(ISBLANK(P19),ISBLANK(P21),ISBLANK(P22)),"",IFERROR(P19-P21-P22,""))</f>
        <v/>
      </c>
      <c r="Q23" s="66">
        <f>IF(OR(ISBLANK(Q19),ISBLANK(Q21),ISBLANK(Q22)),"",IFERROR(Q19-Q21-Q22,""))</f>
        <v/>
      </c>
      <c r="R23" s="66">
        <f>IF(OR(ISBLANK(R19),ISBLANK(R21),ISBLANK(R22)),"",IFERROR(R19-R21-R22,""))</f>
        <v/>
      </c>
      <c r="S23" s="66">
        <f>IF(OR(ISBLANK(S19),ISBLANK(S21),ISBLANK(S22)),"",IFERROR(S19-S21-S22,""))</f>
        <v/>
      </c>
      <c r="T23" s="66">
        <f>IF(OR(ISBLANK(T19),ISBLANK(T21),ISBLANK(T22)),"",IFERROR(T19-T21-T22,""))</f>
        <v/>
      </c>
      <c r="U23" s="66">
        <f>IF(OR(ISBLANK(U19),ISBLANK(U21),ISBLANK(U22)),"",IFERROR(U19-U21-U22,""))</f>
        <v/>
      </c>
      <c r="V23" s="66">
        <f>IF(OR(ISBLANK(V19),ISBLANK(V21),ISBLANK(V22)),"",IFERROR(V19-V21-V22,""))</f>
        <v/>
      </c>
      <c r="W23" s="66">
        <f>IF(OR(ISBLANK(W19),ISBLANK(W21),ISBLANK(W22)),"",IFERROR(W19-W21-W22,""))</f>
        <v/>
      </c>
      <c r="X23" s="66">
        <f>IF(OR(ISBLANK(X19),ISBLANK(X21),ISBLANK(X22)),"",IFERROR(X19-X21-X22,""))</f>
        <v/>
      </c>
      <c r="Y23" s="66">
        <f>IF(OR(ISBLANK(Y19),ISBLANK(Y21),ISBLANK(Y22)),"",IFERROR(Y19-Y21-Y22,""))</f>
        <v/>
      </c>
      <c r="Z23" s="66">
        <f>IF(OR(ISBLANK(Z19),ISBLANK(Z21),ISBLANK(Z22)),"",IFERROR(Z19-Z21-Z22,""))</f>
        <v/>
      </c>
      <c r="AA23" s="66">
        <f>IF(OR(ISBLANK(AA19),ISBLANK(AA21),ISBLANK(AA22)),"",IFERROR(AA19-AA21-AA22,""))</f>
        <v/>
      </c>
      <c r="AB23" s="19" t="n"/>
      <c r="AC23" s="66" t="n"/>
      <c r="AD23" s="66" t="n"/>
      <c r="AE23" s="66" t="n"/>
      <c r="AF23" s="66">
        <f>IF(OR(ISBLANK(AF19),ISBLANK(AF21),ISBLANK(AF22)),"",IFERROR(AF19-AF21-AF22,""))</f>
        <v/>
      </c>
      <c r="AG23" s="66">
        <f>IF(OR(ISBLANK(AG19),ISBLANK(AG21),ISBLANK(AG22)),"",IFERROR(AG19-AG21-AG22,""))</f>
        <v/>
      </c>
      <c r="AH23" s="66">
        <f>IF(OR(ISBLANK(AH19),ISBLANK(AH21),ISBLANK(AH22)),"",IFERROR(AH19-AH21-AH22,""))</f>
        <v/>
      </c>
      <c r="AI23" s="66">
        <f>IF(OR(ISBLANK(AI19),ISBLANK(AI21),ISBLANK(AI22)),"",IFERROR(AI19-AI21-AI22,""))</f>
        <v/>
      </c>
      <c r="AJ23" s="66">
        <f>IF(OR(ISBLANK(AJ19),ISBLANK(AJ21),ISBLANK(AJ22)),"",IFERROR(AJ19-AJ21-AJ22,""))</f>
        <v/>
      </c>
    </row>
    <row r="24">
      <c r="A24" s="20" t="inlineStr">
        <is>
          <t xml:space="preserve">  Contribution margin (% of NSV)</t>
        </is>
      </c>
      <c r="B24" s="21" t="inlineStr">
        <is>
          <t>%</t>
        </is>
      </c>
      <c r="C24" s="22" t="n"/>
      <c r="D24" s="23">
        <f>IFERROR(D23/D14,"")</f>
        <v/>
      </c>
      <c r="E24" s="23">
        <f>IFERROR(E23/E14,"")</f>
        <v/>
      </c>
      <c r="F24" s="23">
        <f>IFERROR(F23/F14,"")</f>
        <v/>
      </c>
      <c r="G24" s="23">
        <f>IFERROR(G23/G14,"")</f>
        <v/>
      </c>
      <c r="H24" s="23">
        <f>IFERROR(H23/H14,"")</f>
        <v/>
      </c>
      <c r="I24" s="23">
        <f>IFERROR(I23/I14,"")</f>
        <v/>
      </c>
      <c r="J24" s="23">
        <f>IFERROR(J23/J14,"")</f>
        <v/>
      </c>
      <c r="K24" s="23">
        <f>IFERROR(K23/K14,"")</f>
        <v/>
      </c>
      <c r="L24" s="23">
        <f>IFERROR(L23/L14,"")</f>
        <v/>
      </c>
      <c r="M24" s="23">
        <f>IFERROR(M23/M14,"")</f>
        <v/>
      </c>
      <c r="N24" s="23">
        <f>IFERROR(N23/N14,"")</f>
        <v/>
      </c>
      <c r="O24" s="23">
        <f>IFERROR(O23/O14,"")</f>
        <v/>
      </c>
      <c r="P24" s="23">
        <f>IFERROR(P23/P14,"")</f>
        <v/>
      </c>
      <c r="Q24" s="23">
        <f>IFERROR(Q23/Q14,"")</f>
        <v/>
      </c>
      <c r="R24" s="23">
        <f>IFERROR(R23/R14,"")</f>
        <v/>
      </c>
      <c r="S24" s="23">
        <f>IFERROR(S23/S14,"")</f>
        <v/>
      </c>
      <c r="T24" s="23">
        <f>IFERROR(T23/T14,"")</f>
        <v/>
      </c>
      <c r="U24" s="23">
        <f>IFERROR(U23/U14,"")</f>
        <v/>
      </c>
      <c r="V24" s="23">
        <f>IFERROR(V23/V14,"")</f>
        <v/>
      </c>
      <c r="W24" s="23">
        <f>IFERROR(W23/W14,"")</f>
        <v/>
      </c>
      <c r="X24" s="23">
        <f>IFERROR(X23/X14,"")</f>
        <v/>
      </c>
      <c r="Y24" s="23">
        <f>IFERROR(Y23/Y14,"")</f>
        <v/>
      </c>
      <c r="Z24" s="23">
        <f>IFERROR(Z23/Z14,"")</f>
        <v/>
      </c>
      <c r="AA24" s="23">
        <f>IFERROR(AA23/AA14,"")</f>
        <v/>
      </c>
      <c r="AB24" s="19" t="n"/>
      <c r="AC24" s="23" t="n"/>
      <c r="AD24" s="23" t="n"/>
      <c r="AE24" s="23" t="n"/>
      <c r="AF24" s="23">
        <f>IFERROR(AF23/AF14,"")</f>
        <v/>
      </c>
      <c r="AG24" s="23">
        <f>IFERROR(AG23/AG14,"")</f>
        <v/>
      </c>
      <c r="AH24" s="23">
        <f>IFERROR(AH23/AH14,"")</f>
        <v/>
      </c>
      <c r="AI24" s="23">
        <f>IFERROR(AI23/AI14,"")</f>
        <v/>
      </c>
      <c r="AJ24" s="23">
        <f>IFERROR(AJ23/AJ14,"")</f>
        <v/>
      </c>
    </row>
    <row r="25">
      <c r="A25" s="20" t="inlineStr">
        <is>
          <t>Other expenses (G&amp;A + employee)</t>
        </is>
      </c>
      <c r="B25" s="21" t="inlineStr">
        <is>
          <t>Rs Mn</t>
        </is>
      </c>
      <c r="C25" s="22" t="inlineStr">
        <is>
          <t>Financial Performance (Total column)</t>
        </is>
      </c>
      <c r="D25" s="65" t="n">
        <v>1014.15</v>
      </c>
      <c r="E25" s="65" t="n">
        <v>1063.18</v>
      </c>
      <c r="F25" s="65" t="n">
        <v>1735.81</v>
      </c>
      <c r="G25" s="65" t="n">
        <v>1357</v>
      </c>
      <c r="H25" s="65" t="n">
        <v>1820.27</v>
      </c>
      <c r="I25" s="65" t="n">
        <v>1877.01</v>
      </c>
      <c r="J25" s="65" t="n">
        <v>2295.1</v>
      </c>
      <c r="K25" s="65" t="n">
        <v>2095.38</v>
      </c>
      <c r="L25" s="65" t="n">
        <v>2175.59</v>
      </c>
      <c r="M25" s="65" t="n">
        <v>2194.95</v>
      </c>
      <c r="N25" s="65" t="n">
        <v>2343.74</v>
      </c>
      <c r="O25" s="65" t="n">
        <v>2258.61</v>
      </c>
      <c r="P25" s="65" t="n">
        <v>2448.6</v>
      </c>
      <c r="Q25" s="65" t="n">
        <v>2658.6</v>
      </c>
      <c r="R25" s="65" t="n">
        <v>2793.6</v>
      </c>
      <c r="S25" s="65" t="n">
        <v>2676.7</v>
      </c>
      <c r="T25" s="65" t="n">
        <v>2898.3</v>
      </c>
      <c r="U25" s="65" t="n">
        <v>2995.9</v>
      </c>
      <c r="V25" s="65" t="n">
        <v>3387.2</v>
      </c>
      <c r="W25" s="65" t="n">
        <v>3470</v>
      </c>
      <c r="X25" s="65" t="n"/>
      <c r="Y25" s="65" t="n"/>
      <c r="Z25" s="65" t="n"/>
      <c r="AA25" s="65" t="n"/>
      <c r="AB25" s="19" t="n"/>
      <c r="AC25" s="66" t="n"/>
      <c r="AD25" s="66" t="n"/>
      <c r="AE25" s="66" t="n"/>
      <c r="AF25" s="66">
        <f>IF(COUNT(D25:G25)=0,"",SUM(D25:G25))</f>
        <v/>
      </c>
      <c r="AG25" s="66">
        <f>IF(COUNT(H25:K25)=0,"",SUM(H25:K25))</f>
        <v/>
      </c>
      <c r="AH25" s="66">
        <f>IF(COUNT(L25:O25)=0,"",SUM(L25:O25))</f>
        <v/>
      </c>
      <c r="AI25" s="66">
        <f>IF(COUNT(P25:S25)=0,"",SUM(P25:S25))</f>
        <v/>
      </c>
      <c r="AJ25" s="66">
        <f>IF(COUNT(T25:W25)=0,"",SUM(T25:W25))</f>
        <v/>
      </c>
    </row>
    <row r="26">
      <c r="A26" s="20" t="inlineStr">
        <is>
          <t>EBITDA</t>
        </is>
      </c>
      <c r="B26" s="21" t="inlineStr">
        <is>
          <t>Rs Mn</t>
        </is>
      </c>
      <c r="C26" s="22" t="n"/>
      <c r="D26" s="66">
        <f>IF(OR(ISBLANK(D23),ISBLANK(D25)),"",IFERROR(D23-D25,""))</f>
        <v/>
      </c>
      <c r="E26" s="66">
        <f>IF(OR(ISBLANK(E23),ISBLANK(E25)),"",IFERROR(E23-E25,""))</f>
        <v/>
      </c>
      <c r="F26" s="66">
        <f>IF(OR(ISBLANK(F23),ISBLANK(F25)),"",IFERROR(F23-F25,""))</f>
        <v/>
      </c>
      <c r="G26" s="66">
        <f>IF(OR(ISBLANK(G23),ISBLANK(G25)),"",IFERROR(G23-G25,""))</f>
        <v/>
      </c>
      <c r="H26" s="66">
        <f>IF(OR(ISBLANK(H23),ISBLANK(H25)),"",IFERROR(H23-H25,""))</f>
        <v/>
      </c>
      <c r="I26" s="66">
        <f>IF(OR(ISBLANK(I23),ISBLANK(I25)),"",IFERROR(I23-I25,""))</f>
        <v/>
      </c>
      <c r="J26" s="66">
        <f>IF(OR(ISBLANK(J23),ISBLANK(J25)),"",IFERROR(J23-J25,""))</f>
        <v/>
      </c>
      <c r="K26" s="66">
        <f>IF(OR(ISBLANK(K23),ISBLANK(K25)),"",IFERROR(K23-K25,""))</f>
        <v/>
      </c>
      <c r="L26" s="66">
        <f>IF(OR(ISBLANK(L23),ISBLANK(L25)),"",IFERROR(L23-L25,""))</f>
        <v/>
      </c>
      <c r="M26" s="66">
        <f>IF(OR(ISBLANK(M23),ISBLANK(M25)),"",IFERROR(M23-M25,""))</f>
        <v/>
      </c>
      <c r="N26" s="66">
        <f>IF(OR(ISBLANK(N23),ISBLANK(N25)),"",IFERROR(N23-N25,""))</f>
        <v/>
      </c>
      <c r="O26" s="66">
        <f>IF(OR(ISBLANK(O23),ISBLANK(O25)),"",IFERROR(O23-O25,""))</f>
        <v/>
      </c>
      <c r="P26" s="66">
        <f>IF(OR(ISBLANK(P23),ISBLANK(P25)),"",IFERROR(P23-P25,""))</f>
        <v/>
      </c>
      <c r="Q26" s="66">
        <f>IF(OR(ISBLANK(Q23),ISBLANK(Q25)),"",IFERROR(Q23-Q25,""))</f>
        <v/>
      </c>
      <c r="R26" s="66">
        <f>IF(OR(ISBLANK(R23),ISBLANK(R25)),"",IFERROR(R23-R25,""))</f>
        <v/>
      </c>
      <c r="S26" s="66">
        <f>IF(OR(ISBLANK(S23),ISBLANK(S25)),"",IFERROR(S23-S25,""))</f>
        <v/>
      </c>
      <c r="T26" s="66">
        <f>IF(OR(ISBLANK(T23),ISBLANK(T25)),"",IFERROR(T23-T25,""))</f>
        <v/>
      </c>
      <c r="U26" s="66">
        <f>IF(OR(ISBLANK(U23),ISBLANK(U25)),"",IFERROR(U23-U25,""))</f>
        <v/>
      </c>
      <c r="V26" s="66">
        <f>IF(OR(ISBLANK(V23),ISBLANK(V25)),"",IFERROR(V23-V25,""))</f>
        <v/>
      </c>
      <c r="W26" s="66">
        <f>IF(OR(ISBLANK(W23),ISBLANK(W25)),"",IFERROR(W23-W25,""))</f>
        <v/>
      </c>
      <c r="X26" s="66">
        <f>IF(OR(ISBLANK(X23),ISBLANK(X25)),"",IFERROR(X23-X25,""))</f>
        <v/>
      </c>
      <c r="Y26" s="66">
        <f>IF(OR(ISBLANK(Y23),ISBLANK(Y25)),"",IFERROR(Y23-Y25,""))</f>
        <v/>
      </c>
      <c r="Z26" s="66">
        <f>IF(OR(ISBLANK(Z23),ISBLANK(Z25)),"",IFERROR(Z23-Z25,""))</f>
        <v/>
      </c>
      <c r="AA26" s="66">
        <f>IF(OR(ISBLANK(AA23),ISBLANK(AA25)),"",IFERROR(AA23-AA25,""))</f>
        <v/>
      </c>
      <c r="AB26" s="19" t="n"/>
      <c r="AC26" s="66" t="n"/>
      <c r="AD26" s="66" t="n"/>
      <c r="AE26" s="66" t="n"/>
      <c r="AF26" s="66">
        <f>IF(OR(ISBLANK(AF23),ISBLANK(AF25)),"",IFERROR(AF23-AF25,""))</f>
        <v/>
      </c>
      <c r="AG26" s="66">
        <f>IF(OR(ISBLANK(AG23),ISBLANK(AG25)),"",IFERROR(AG23-AG25,""))</f>
        <v/>
      </c>
      <c r="AH26" s="66">
        <f>IF(OR(ISBLANK(AH23),ISBLANK(AH25)),"",IFERROR(AH23-AH25,""))</f>
        <v/>
      </c>
      <c r="AI26" s="66">
        <f>IF(OR(ISBLANK(AI23),ISBLANK(AI25)),"",IFERROR(AI23-AI25,""))</f>
        <v/>
      </c>
      <c r="AJ26" s="66">
        <f>IF(OR(ISBLANK(AJ23),ISBLANK(AJ25)),"",IFERROR(AJ23-AJ25,""))</f>
        <v/>
      </c>
    </row>
    <row r="27">
      <c r="A27" s="20" t="inlineStr">
        <is>
          <t xml:space="preserve">  EBITDA margin (% of NSV)</t>
        </is>
      </c>
      <c r="B27" s="21" t="inlineStr">
        <is>
          <t>%</t>
        </is>
      </c>
      <c r="C27" s="22" t="n"/>
      <c r="D27" s="23">
        <f>IFERROR(D26/D14,"")</f>
        <v/>
      </c>
      <c r="E27" s="23">
        <f>IFERROR(E26/E14,"")</f>
        <v/>
      </c>
      <c r="F27" s="23">
        <f>IFERROR(F26/F14,"")</f>
        <v/>
      </c>
      <c r="G27" s="23">
        <f>IFERROR(G26/G14,"")</f>
        <v/>
      </c>
      <c r="H27" s="23">
        <f>IFERROR(H26/H14,"")</f>
        <v/>
      </c>
      <c r="I27" s="23">
        <f>IFERROR(I26/I14,"")</f>
        <v/>
      </c>
      <c r="J27" s="23">
        <f>IFERROR(J26/J14,"")</f>
        <v/>
      </c>
      <c r="K27" s="23">
        <f>IFERROR(K26/K14,"")</f>
        <v/>
      </c>
      <c r="L27" s="23">
        <f>IFERROR(L26/L14,"")</f>
        <v/>
      </c>
      <c r="M27" s="23">
        <f>IFERROR(M26/M14,"")</f>
        <v/>
      </c>
      <c r="N27" s="23">
        <f>IFERROR(N26/N14,"")</f>
        <v/>
      </c>
      <c r="O27" s="23">
        <f>IFERROR(O26/O14,"")</f>
        <v/>
      </c>
      <c r="P27" s="23">
        <f>IFERROR(P26/P14,"")</f>
        <v/>
      </c>
      <c r="Q27" s="23">
        <f>IFERROR(Q26/Q14,"")</f>
        <v/>
      </c>
      <c r="R27" s="23">
        <f>IFERROR(R26/R14,"")</f>
        <v/>
      </c>
      <c r="S27" s="23">
        <f>IFERROR(S26/S14,"")</f>
        <v/>
      </c>
      <c r="T27" s="23">
        <f>IFERROR(T26/T14,"")</f>
        <v/>
      </c>
      <c r="U27" s="23">
        <f>IFERROR(U26/U14,"")</f>
        <v/>
      </c>
      <c r="V27" s="23">
        <f>IFERROR(V26/V14,"")</f>
        <v/>
      </c>
      <c r="W27" s="23">
        <f>IFERROR(W26/W14,"")</f>
        <v/>
      </c>
      <c r="X27" s="23">
        <f>IFERROR(X26/X14,"")</f>
        <v/>
      </c>
      <c r="Y27" s="23">
        <f>IFERROR(Y26/Y14,"")</f>
        <v/>
      </c>
      <c r="Z27" s="23">
        <f>IFERROR(Z26/Z14,"")</f>
        <v/>
      </c>
      <c r="AA27" s="23">
        <f>IFERROR(AA26/AA14,"")</f>
        <v/>
      </c>
      <c r="AB27" s="19" t="n"/>
      <c r="AC27" s="23" t="n"/>
      <c r="AD27" s="23" t="n"/>
      <c r="AE27" s="23" t="n"/>
      <c r="AF27" s="23">
        <f>IFERROR(AF26/AF14,"")</f>
        <v/>
      </c>
      <c r="AG27" s="23">
        <f>IFERROR(AG26/AG14,"")</f>
        <v/>
      </c>
      <c r="AH27" s="23">
        <f>IFERROR(AH26/AH14,"")</f>
        <v/>
      </c>
      <c r="AI27" s="23">
        <f>IFERROR(AI26/AI14,"")</f>
        <v/>
      </c>
      <c r="AJ27" s="23">
        <f>IFERROR(AJ26/AJ14,"")</f>
        <v/>
      </c>
    </row>
    <row r="28">
      <c r="AB28" s="19" t="n"/>
    </row>
    <row r="29">
      <c r="A29" s="5" t="inlineStr">
        <is>
          <t>Beauty (incl. SuperStore) - Omnichannel Retail</t>
        </is>
      </c>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44" t="n"/>
      <c r="AC29" s="5" t="n"/>
      <c r="AD29" s="5" t="n"/>
      <c r="AE29" s="5" t="n"/>
      <c r="AF29" s="5" t="n"/>
      <c r="AG29" s="5" t="n"/>
      <c r="AH29" s="5" t="n"/>
      <c r="AI29" s="5" t="n"/>
      <c r="AJ29" s="5" t="n"/>
    </row>
    <row r="30">
      <c r="A30" s="17" t="inlineStr">
        <is>
          <t>Definition: BPC (online + offline) + Superstore by Nykaa + Nykaa Man Grooming + House of Nykaa owned brands</t>
        </is>
      </c>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45" t="n"/>
      <c r="AC30" s="17" t="n"/>
      <c r="AD30" s="17" t="n"/>
      <c r="AE30" s="17" t="n"/>
      <c r="AF30" s="17" t="n"/>
      <c r="AG30" s="17" t="n"/>
      <c r="AH30" s="17" t="n"/>
      <c r="AI30" s="17" t="n"/>
      <c r="AJ30" s="17" t="n"/>
    </row>
    <row r="31">
      <c r="A31" s="20" t="inlineStr">
        <is>
          <t>Number of visits</t>
        </is>
      </c>
      <c r="B31" s="21" t="inlineStr">
        <is>
          <t>mn</t>
        </is>
      </c>
      <c r="C31" s="22" t="inlineStr">
        <is>
          <t>Beauty Omnichannel Retail</t>
        </is>
      </c>
      <c r="D31" s="63" t="n">
        <v>205</v>
      </c>
      <c r="E31" s="63" t="n">
        <v>211</v>
      </c>
      <c r="F31" s="63" t="n">
        <v>221</v>
      </c>
      <c r="G31" s="63" t="n">
        <v>204</v>
      </c>
      <c r="H31" s="63" t="n">
        <v>222</v>
      </c>
      <c r="I31" s="63" t="n">
        <v>234</v>
      </c>
      <c r="J31" s="63" t="n">
        <v>250</v>
      </c>
      <c r="K31" s="63" t="n">
        <v>231</v>
      </c>
      <c r="L31" s="63" t="n">
        <v>269</v>
      </c>
      <c r="M31" s="63" t="n">
        <v>287</v>
      </c>
      <c r="N31" s="63" t="n">
        <v>311</v>
      </c>
      <c r="O31" s="63" t="n">
        <v>303</v>
      </c>
      <c r="P31" s="63" t="n">
        <v>330</v>
      </c>
      <c r="Q31" s="63" t="n">
        <v>357</v>
      </c>
      <c r="R31" s="63" t="n">
        <v>401</v>
      </c>
      <c r="S31" s="63" t="n">
        <v>393</v>
      </c>
      <c r="T31" s="63" t="n">
        <v>411</v>
      </c>
      <c r="U31" s="63" t="n">
        <v>450</v>
      </c>
      <c r="V31" s="63" t="n">
        <v>538</v>
      </c>
      <c r="W31" s="63">
        <f>AJ31-SUM(T31:V31)</f>
        <v/>
      </c>
      <c r="X31" s="63" t="n"/>
      <c r="Y31" s="63" t="n"/>
      <c r="Z31" s="63" t="n"/>
      <c r="AA31" s="63" t="n"/>
      <c r="AB31" s="19" t="n"/>
      <c r="AC31" s="36" t="n"/>
      <c r="AD31" s="36" t="n"/>
      <c r="AE31" s="36" t="n"/>
      <c r="AF31" s="36">
        <f>IF(COUNT(D31:G31)=0,"",SUM(D31:G31))</f>
        <v/>
      </c>
      <c r="AG31" s="36">
        <f>IF(COUNT(H31:K31)=0,"",SUM(H31:K31))</f>
        <v/>
      </c>
      <c r="AH31" s="36">
        <f>IF(COUNT(L31:O31)=0,"",SUM(L31:O31))</f>
        <v/>
      </c>
      <c r="AI31" s="36">
        <f>IF(COUNT(P31:S31)=0,"",SUM(P31:S31))</f>
        <v/>
      </c>
      <c r="AJ31" s="67" t="n">
        <v>1894</v>
      </c>
    </row>
    <row r="32">
      <c r="A32" s="20" t="inlineStr">
        <is>
          <t>Monthly average unique visitors</t>
        </is>
      </c>
      <c r="B32" s="21" t="inlineStr">
        <is>
          <t>mn</t>
        </is>
      </c>
      <c r="C32" s="22" t="inlineStr">
        <is>
          <t>Beauty Omnichannel Retail</t>
        </is>
      </c>
      <c r="D32" s="63" t="n">
        <v>17.3</v>
      </c>
      <c r="E32" s="63" t="n">
        <v>19.4</v>
      </c>
      <c r="F32" s="63" t="n">
        <v>19.8</v>
      </c>
      <c r="G32" s="63" t="n">
        <v>18.5</v>
      </c>
      <c r="H32" s="63" t="n">
        <v>21.8</v>
      </c>
      <c r="I32" s="63" t="n">
        <v>22.1</v>
      </c>
      <c r="J32" s="63" t="n">
        <v>24.2</v>
      </c>
      <c r="K32" s="63" t="n">
        <v>22.5</v>
      </c>
      <c r="L32" s="63" t="n">
        <v>27.3</v>
      </c>
      <c r="M32" s="63" t="n">
        <v>26.8</v>
      </c>
      <c r="N32" s="63" t="n">
        <v>29.6</v>
      </c>
      <c r="O32" s="63" t="n">
        <v>31.9</v>
      </c>
      <c r="P32" s="63" t="n">
        <v>32.6</v>
      </c>
      <c r="Q32" s="63" t="n">
        <v>34.2</v>
      </c>
      <c r="R32" s="63" t="n">
        <v>38.1</v>
      </c>
      <c r="S32" s="63" t="n">
        <v>38</v>
      </c>
      <c r="T32" s="63" t="n">
        <v>38.8</v>
      </c>
      <c r="U32" s="63" t="n">
        <v>41.6</v>
      </c>
      <c r="V32" s="63" t="n">
        <v>50.7</v>
      </c>
      <c r="W32" s="67" t="n"/>
      <c r="X32" s="63" t="n"/>
      <c r="Y32" s="63" t="n"/>
      <c r="Z32" s="63" t="n"/>
      <c r="AA32" s="63" t="n"/>
      <c r="AB32" s="19" t="n"/>
      <c r="AC32" s="36" t="n"/>
      <c r="AD32" s="36" t="n"/>
      <c r="AE32" s="36" t="n"/>
      <c r="AF32" s="36">
        <f>IFERROR(AVERAGE(D32:G32),"")</f>
        <v/>
      </c>
      <c r="AG32" s="36">
        <f>IFERROR(AVERAGE(H32:K32),"")</f>
        <v/>
      </c>
      <c r="AH32" s="67" t="n">
        <v>30.2</v>
      </c>
      <c r="AI32" s="36">
        <f>IFERROR(AVERAGE(P32:S32),"")</f>
        <v/>
      </c>
      <c r="AJ32" s="67" t="n">
        <v>44.7</v>
      </c>
    </row>
    <row r="33">
      <c r="A33" s="20" t="inlineStr">
        <is>
          <t xml:space="preserve">  Conversion - orders/visits</t>
        </is>
      </c>
      <c r="B33" s="21" t="inlineStr">
        <is>
          <t>%</t>
        </is>
      </c>
      <c r="C33" s="22" t="n"/>
      <c r="D33" s="23">
        <f>IFERROR(D37/D31,"")</f>
        <v/>
      </c>
      <c r="E33" s="23">
        <f>IFERROR(E37/E31,"")</f>
        <v/>
      </c>
      <c r="F33" s="23">
        <f>IFERROR(F37/F31,"")</f>
        <v/>
      </c>
      <c r="G33" s="23">
        <f>IFERROR(G37/G31,"")</f>
        <v/>
      </c>
      <c r="H33" s="23">
        <f>IFERROR(H37/H31,"")</f>
        <v/>
      </c>
      <c r="I33" s="23">
        <f>IFERROR(I37/I31,"")</f>
        <v/>
      </c>
      <c r="J33" s="23">
        <f>IFERROR(J37/J31,"")</f>
        <v/>
      </c>
      <c r="K33" s="23">
        <f>IFERROR(K37/K31,"")</f>
        <v/>
      </c>
      <c r="L33" s="23">
        <f>IFERROR(L37/L31,"")</f>
        <v/>
      </c>
      <c r="M33" s="23">
        <f>IFERROR(M37/M31,"")</f>
        <v/>
      </c>
      <c r="N33" s="23">
        <f>IFERROR(N37/N31,"")</f>
        <v/>
      </c>
      <c r="O33" s="23">
        <f>IFERROR(O37/O31,"")</f>
        <v/>
      </c>
      <c r="P33" s="23">
        <f>IFERROR(P37/P31,"")</f>
        <v/>
      </c>
      <c r="Q33" s="23">
        <f>IFERROR(Q37/Q31,"")</f>
        <v/>
      </c>
      <c r="R33" s="23">
        <f>IFERROR(R37/R31,"")</f>
        <v/>
      </c>
      <c r="S33" s="23">
        <f>IFERROR(S37/S31,"")</f>
        <v/>
      </c>
      <c r="T33" s="23">
        <f>IFERROR(T37/T31,"")</f>
        <v/>
      </c>
      <c r="U33" s="23">
        <f>IFERROR(U37/U31,"")</f>
        <v/>
      </c>
      <c r="V33" s="23">
        <f>IFERROR(V37/V31,"")</f>
        <v/>
      </c>
      <c r="W33" s="23">
        <f>IFERROR(W37/W31,"")</f>
        <v/>
      </c>
      <c r="X33" s="23">
        <f>IFERROR(X37/X31,"")</f>
        <v/>
      </c>
      <c r="Y33" s="23">
        <f>IFERROR(Y37/Y31,"")</f>
        <v/>
      </c>
      <c r="Z33" s="23">
        <f>IFERROR(Z37/Z31,"")</f>
        <v/>
      </c>
      <c r="AA33" s="23">
        <f>IFERROR(AA37/AA31,"")</f>
        <v/>
      </c>
      <c r="AB33" s="19" t="n"/>
      <c r="AC33" s="23" t="n"/>
      <c r="AD33" s="23" t="n"/>
      <c r="AE33" s="23" t="n"/>
      <c r="AF33" s="23">
        <f>IFERROR(AF37/AF31,"")</f>
        <v/>
      </c>
      <c r="AG33" s="23">
        <f>IFERROR(AG37/AG31,"")</f>
        <v/>
      </c>
      <c r="AH33" s="23">
        <f>IFERROR(AH37/AH31,"")</f>
        <v/>
      </c>
      <c r="AI33" s="23">
        <f>IFERROR(AI37/AI31,"")</f>
        <v/>
      </c>
      <c r="AJ33" s="23">
        <f>IFERROR(AJ37/AJ31,"")</f>
        <v/>
      </c>
    </row>
    <row r="34">
      <c r="A34" s="20" t="inlineStr">
        <is>
          <t xml:space="preserve">  Conversion - transacting customers/visits</t>
        </is>
      </c>
      <c r="B34" s="21" t="inlineStr">
        <is>
          <t>%</t>
        </is>
      </c>
      <c r="C34" s="22" t="n"/>
      <c r="D34" s="23">
        <f>IFERROR(D35/D31,"")</f>
        <v/>
      </c>
      <c r="E34" s="23">
        <f>IFERROR(E35/E31,"")</f>
        <v/>
      </c>
      <c r="F34" s="23">
        <f>IFERROR(F35/F31,"")</f>
        <v/>
      </c>
      <c r="G34" s="23">
        <f>IFERROR(G35/G31,"")</f>
        <v/>
      </c>
      <c r="H34" s="23">
        <f>IFERROR(H35/H31,"")</f>
        <v/>
      </c>
      <c r="I34" s="23">
        <f>IFERROR(I35/I31,"")</f>
        <v/>
      </c>
      <c r="J34" s="23">
        <f>IFERROR(J35/J31,"")</f>
        <v/>
      </c>
      <c r="K34" s="23">
        <f>IFERROR(K35/K31,"")</f>
        <v/>
      </c>
      <c r="L34" s="23">
        <f>IFERROR(L35/L31,"")</f>
        <v/>
      </c>
      <c r="M34" s="23">
        <f>IFERROR(M35/M31,"")</f>
        <v/>
      </c>
      <c r="N34" s="23">
        <f>IFERROR(N35/N31,"")</f>
        <v/>
      </c>
      <c r="O34" s="23">
        <f>IFERROR(O35/O31,"")</f>
        <v/>
      </c>
      <c r="P34" s="23">
        <f>IFERROR(P35/P31,"")</f>
        <v/>
      </c>
      <c r="Q34" s="23">
        <f>IFERROR(Q35/Q31,"")</f>
        <v/>
      </c>
      <c r="R34" s="23">
        <f>IFERROR(R35/R31,"")</f>
        <v/>
      </c>
      <c r="S34" s="23">
        <f>IFERROR(S35/S31,"")</f>
        <v/>
      </c>
      <c r="T34" s="23">
        <f>IFERROR(T35/T31,"")</f>
        <v/>
      </c>
      <c r="U34" s="23">
        <f>IFERROR(U35/U31,"")</f>
        <v/>
      </c>
      <c r="V34" s="23">
        <f>IFERROR(V35/V31,"")</f>
        <v/>
      </c>
      <c r="W34" s="23">
        <f>IFERROR(W35/W31,"")</f>
        <v/>
      </c>
      <c r="X34" s="23">
        <f>IFERROR(X35/X31,"")</f>
        <v/>
      </c>
      <c r="Y34" s="23">
        <f>IFERROR(Y35/Y31,"")</f>
        <v/>
      </c>
      <c r="Z34" s="23">
        <f>IFERROR(Z35/Z31,"")</f>
        <v/>
      </c>
      <c r="AA34" s="23">
        <f>IFERROR(AA35/AA31,"")</f>
        <v/>
      </c>
      <c r="AB34" s="19" t="n"/>
      <c r="AC34" s="23" t="n"/>
      <c r="AD34" s="23" t="n"/>
      <c r="AE34" s="23" t="n"/>
      <c r="AF34" s="23">
        <f>IFERROR(AF35/AF31,"")</f>
        <v/>
      </c>
      <c r="AG34" s="23">
        <f>IFERROR(AG35/AG31,"")</f>
        <v/>
      </c>
      <c r="AH34" s="23">
        <f>IFERROR(AH35/AH31,"")</f>
        <v/>
      </c>
      <c r="AI34" s="23">
        <f>IFERROR(AI35/AI31,"")</f>
        <v/>
      </c>
      <c r="AJ34" s="23">
        <f>IFERROR(AJ35/AJ31,"")</f>
        <v/>
      </c>
    </row>
    <row r="35">
      <c r="A35" s="20" t="inlineStr">
        <is>
          <t>Annual transacting customers</t>
        </is>
      </c>
      <c r="B35" s="21" t="inlineStr">
        <is>
          <t>mn</t>
        </is>
      </c>
      <c r="C35" s="22" t="inlineStr">
        <is>
          <t>Beauty Omnichannel Retail</t>
        </is>
      </c>
      <c r="D35" s="63" t="n">
        <v>6.5</v>
      </c>
      <c r="E35" s="63" t="n">
        <v>7</v>
      </c>
      <c r="F35" s="63" t="n">
        <v>7.5</v>
      </c>
      <c r="G35" s="63" t="n">
        <v>8</v>
      </c>
      <c r="H35" s="63" t="n">
        <v>8.6</v>
      </c>
      <c r="I35" s="63" t="n">
        <v>9.1</v>
      </c>
      <c r="J35" s="63" t="n">
        <v>9.6</v>
      </c>
      <c r="K35" s="63" t="n">
        <v>10</v>
      </c>
      <c r="L35" s="63" t="n">
        <v>10.9</v>
      </c>
      <c r="M35" s="63" t="n">
        <v>10.7</v>
      </c>
      <c r="N35" s="63" t="n">
        <v>11.7</v>
      </c>
      <c r="O35" s="63" t="n">
        <v>12.4</v>
      </c>
      <c r="P35" s="63" t="n">
        <v>13.1</v>
      </c>
      <c r="Q35" s="63" t="n">
        <v>13.7</v>
      </c>
      <c r="R35" s="63" t="n">
        <v>14.8</v>
      </c>
      <c r="S35" s="63" t="n">
        <v>15.8</v>
      </c>
      <c r="T35" s="63" t="n">
        <v>16.5</v>
      </c>
      <c r="U35" s="63" t="n">
        <v>17.5</v>
      </c>
      <c r="V35" s="63" t="n">
        <v>18.7</v>
      </c>
      <c r="W35" s="63" t="n">
        <v>19.7</v>
      </c>
      <c r="X35" s="63" t="n"/>
      <c r="Y35" s="63" t="n"/>
      <c r="Z35" s="63" t="n"/>
      <c r="AA35" s="63" t="n"/>
      <c r="AB35" s="19" t="n"/>
      <c r="AC35" s="36" t="n"/>
      <c r="AD35" s="36" t="n"/>
      <c r="AE35" s="36" t="n"/>
      <c r="AF35" s="36">
        <f>IF(G35="","",G35)</f>
        <v/>
      </c>
      <c r="AG35" s="36">
        <f>IF(K35="","",K35)</f>
        <v/>
      </c>
      <c r="AH35" s="36">
        <f>IF(O35="","",O35)</f>
        <v/>
      </c>
      <c r="AI35" s="36">
        <f>IF(S35="","",S35)</f>
        <v/>
      </c>
      <c r="AJ35" s="36">
        <f>IF(W35="","",W35)</f>
        <v/>
      </c>
    </row>
    <row r="36">
      <c r="A36" s="20" t="inlineStr">
        <is>
          <t xml:space="preserve">  Average order frequency</t>
        </is>
      </c>
      <c r="B36" s="21" t="inlineStr">
        <is>
          <t>x</t>
        </is>
      </c>
      <c r="C36" s="22" t="n"/>
      <c r="D36" s="68">
        <f>IFERROR(D37*4/D35,"")</f>
        <v/>
      </c>
      <c r="E36" s="68">
        <f>IFERROR(E37*4/E35,"")</f>
        <v/>
      </c>
      <c r="F36" s="68">
        <f>IFERROR(F37*4/F35,"")</f>
        <v/>
      </c>
      <c r="G36" s="68">
        <f>IFERROR(G37*4/G35,"")</f>
        <v/>
      </c>
      <c r="H36" s="68">
        <f>IFERROR(H37*4/H35,"")</f>
        <v/>
      </c>
      <c r="I36" s="68">
        <f>IFERROR(I37*4/I35,"")</f>
        <v/>
      </c>
      <c r="J36" s="68">
        <f>IFERROR(J37*4/J35,"")</f>
        <v/>
      </c>
      <c r="K36" s="68">
        <f>IFERROR(K37*4/K35,"")</f>
        <v/>
      </c>
      <c r="L36" s="68">
        <f>IFERROR(L37*4/L35,"")</f>
        <v/>
      </c>
      <c r="M36" s="68">
        <f>IFERROR(M37*4/M35,"")</f>
        <v/>
      </c>
      <c r="N36" s="68">
        <f>IFERROR(N37*4/N35,"")</f>
        <v/>
      </c>
      <c r="O36" s="68">
        <f>IFERROR(O37*4/O35,"")</f>
        <v/>
      </c>
      <c r="P36" s="68">
        <f>IFERROR(P37*4/P35,"")</f>
        <v/>
      </c>
      <c r="Q36" s="68">
        <f>IFERROR(Q37*4/Q35,"")</f>
        <v/>
      </c>
      <c r="R36" s="68">
        <f>IFERROR(R37*4/R35,"")</f>
        <v/>
      </c>
      <c r="S36" s="68">
        <f>IFERROR(S37*4/S35,"")</f>
        <v/>
      </c>
      <c r="T36" s="68">
        <f>IFERROR(T37*4/T35,"")</f>
        <v/>
      </c>
      <c r="U36" s="68">
        <f>IFERROR(U37*4/U35,"")</f>
        <v/>
      </c>
      <c r="V36" s="68">
        <f>IFERROR(V37*4/V35,"")</f>
        <v/>
      </c>
      <c r="W36" s="68">
        <f>IFERROR(W37*4/W35,"")</f>
        <v/>
      </c>
      <c r="X36" s="68">
        <f>IFERROR(X37*4/X35,"")</f>
        <v/>
      </c>
      <c r="Y36" s="68">
        <f>IFERROR(Y37*4/Y35,"")</f>
        <v/>
      </c>
      <c r="Z36" s="68">
        <f>IFERROR(Z37*4/Z35,"")</f>
        <v/>
      </c>
      <c r="AA36" s="68">
        <f>IFERROR(AA37*4/AA35,"")</f>
        <v/>
      </c>
      <c r="AB36" s="19" t="n"/>
      <c r="AC36" s="68" t="n"/>
      <c r="AD36" s="68" t="n"/>
      <c r="AE36" s="68" t="n"/>
      <c r="AF36" s="68">
        <f>IFERROR(AF37*4/AF35,"")</f>
        <v/>
      </c>
      <c r="AG36" s="68">
        <f>IFERROR(AG37*4/AG35,"")</f>
        <v/>
      </c>
      <c r="AH36" s="68">
        <f>IFERROR(AH37*4/AH35,"")</f>
        <v/>
      </c>
      <c r="AI36" s="68">
        <f>IFERROR(AI37*4/AI35,"")</f>
        <v/>
      </c>
      <c r="AJ36" s="68">
        <f>IFERROR(AJ37*4/AJ35,"")</f>
        <v/>
      </c>
    </row>
    <row r="37">
      <c r="A37" s="20" t="inlineStr">
        <is>
          <t>Number of orders</t>
        </is>
      </c>
      <c r="B37" s="21" t="inlineStr">
        <is>
          <t>mn</t>
        </is>
      </c>
      <c r="C37" s="22" t="inlineStr">
        <is>
          <t>Beauty Omnichannel Retail</t>
        </is>
      </c>
      <c r="D37" s="63" t="n">
        <v>5.8</v>
      </c>
      <c r="E37" s="63" t="n">
        <v>6</v>
      </c>
      <c r="F37" s="63" t="n">
        <v>7.5</v>
      </c>
      <c r="G37" s="63" t="n">
        <v>7.2</v>
      </c>
      <c r="H37" s="63" t="n">
        <v>8.1</v>
      </c>
      <c r="I37" s="63" t="n">
        <v>8.4</v>
      </c>
      <c r="J37" s="63" t="n">
        <v>9.5</v>
      </c>
      <c r="K37" s="63" t="n">
        <v>8.800000000000001</v>
      </c>
      <c r="L37" s="63" t="n">
        <v>9.9</v>
      </c>
      <c r="M37" s="63" t="n">
        <v>10.5</v>
      </c>
      <c r="N37" s="63" t="n">
        <v>11.6</v>
      </c>
      <c r="O37" s="63" t="n">
        <v>11.7</v>
      </c>
      <c r="P37" s="63" t="n">
        <v>12.4</v>
      </c>
      <c r="Q37" s="63" t="n">
        <v>12.9</v>
      </c>
      <c r="R37" s="63" t="n">
        <v>15</v>
      </c>
      <c r="S37" s="63" t="n">
        <v>14.2</v>
      </c>
      <c r="T37" s="63" t="n">
        <v>14.5</v>
      </c>
      <c r="U37" s="63" t="n">
        <v>15.7</v>
      </c>
      <c r="V37" s="63" t="n">
        <v>18.1</v>
      </c>
      <c r="W37" s="63">
        <f>AJ37-SUM(T37:V37)</f>
        <v/>
      </c>
      <c r="X37" s="63" t="n"/>
      <c r="Y37" s="63" t="n"/>
      <c r="Z37" s="63" t="n"/>
      <c r="AA37" s="63" t="n"/>
      <c r="AB37" s="19" t="n"/>
      <c r="AC37" s="36" t="n"/>
      <c r="AD37" s="36" t="n"/>
      <c r="AE37" s="36" t="n"/>
      <c r="AF37" s="36">
        <f>IF(COUNT(D37:G37)=0,"",SUM(D37:G37))</f>
        <v/>
      </c>
      <c r="AG37" s="36">
        <f>IF(COUNT(H37:K37)=0,"",SUM(H37:K37))</f>
        <v/>
      </c>
      <c r="AH37" s="36">
        <f>IF(COUNT(L37:O37)=0,"",SUM(L37:O37))</f>
        <v/>
      </c>
      <c r="AI37" s="36">
        <f>IF(COUNT(P37:S37)=0,"",SUM(P37:S37))</f>
        <v/>
      </c>
      <c r="AJ37" s="67" t="n">
        <v>65.8</v>
      </c>
    </row>
    <row r="38">
      <c r="A38" s="20" t="inlineStr">
        <is>
          <t xml:space="preserve">  Average order value</t>
        </is>
      </c>
      <c r="B38" s="21" t="inlineStr">
        <is>
          <t>Rs</t>
        </is>
      </c>
      <c r="C38" s="22" t="n"/>
      <c r="D38" s="66">
        <f>IFERROR(D39/D37,"")</f>
        <v/>
      </c>
      <c r="E38" s="66">
        <f>IFERROR(E39/E37,"")</f>
        <v/>
      </c>
      <c r="F38" s="66">
        <f>IFERROR(F39/F37,"")</f>
        <v/>
      </c>
      <c r="G38" s="66">
        <f>IFERROR(G39/G37,"")</f>
        <v/>
      </c>
      <c r="H38" s="66">
        <f>IFERROR(H39/H37,"")</f>
        <v/>
      </c>
      <c r="I38" s="66">
        <f>IFERROR(I39/I37,"")</f>
        <v/>
      </c>
      <c r="J38" s="66">
        <f>IFERROR(J39/J37,"")</f>
        <v/>
      </c>
      <c r="K38" s="66">
        <f>IFERROR(K39/K37,"")</f>
        <v/>
      </c>
      <c r="L38" s="66">
        <f>IFERROR(L39/L37,"")</f>
        <v/>
      </c>
      <c r="M38" s="66">
        <f>IFERROR(M39/M37,"")</f>
        <v/>
      </c>
      <c r="N38" s="66">
        <f>IFERROR(N39/N37,"")</f>
        <v/>
      </c>
      <c r="O38" s="66">
        <f>IFERROR(O39/O37,"")</f>
        <v/>
      </c>
      <c r="P38" s="66">
        <f>IFERROR(P39/P37,"")</f>
        <v/>
      </c>
      <c r="Q38" s="66">
        <f>IFERROR(Q39/Q37,"")</f>
        <v/>
      </c>
      <c r="R38" s="66">
        <f>IFERROR(R39/R37,"")</f>
        <v/>
      </c>
      <c r="S38" s="66">
        <f>IFERROR(S39/S37,"")</f>
        <v/>
      </c>
      <c r="T38" s="66">
        <f>IFERROR(T39/T37,"")</f>
        <v/>
      </c>
      <c r="U38" s="66">
        <f>IFERROR(U39/U37,"")</f>
        <v/>
      </c>
      <c r="V38" s="66">
        <f>IFERROR(V39/V37,"")</f>
        <v/>
      </c>
      <c r="W38" s="66">
        <f>IFERROR(W39/W37,"")</f>
        <v/>
      </c>
      <c r="X38" s="66">
        <f>IFERROR(X39/X37,"")</f>
        <v/>
      </c>
      <c r="Y38" s="66">
        <f>IFERROR(Y39/Y37,"")</f>
        <v/>
      </c>
      <c r="Z38" s="66">
        <f>IFERROR(Z39/Z37,"")</f>
        <v/>
      </c>
      <c r="AA38" s="66">
        <f>IFERROR(AA39/AA37,"")</f>
        <v/>
      </c>
      <c r="AB38" s="19" t="n"/>
      <c r="AC38" s="66" t="n"/>
      <c r="AD38" s="66" t="n"/>
      <c r="AE38" s="66" t="n"/>
      <c r="AF38" s="66">
        <f>IFERROR(AF39/AF37,"")</f>
        <v/>
      </c>
      <c r="AG38" s="66">
        <f>IFERROR(AG39/AG37,"")</f>
        <v/>
      </c>
      <c r="AH38" s="66">
        <f>IFERROR(AH39/AH37,"")</f>
        <v/>
      </c>
      <c r="AI38" s="66">
        <f>IFERROR(AI39/AI37,"")</f>
        <v/>
      </c>
      <c r="AJ38" s="66">
        <f>IFERROR(AJ39/AJ37,"")</f>
        <v/>
      </c>
    </row>
    <row r="39">
      <c r="A39" s="20" t="inlineStr">
        <is>
          <t>GMV</t>
        </is>
      </c>
      <c r="B39" s="21" t="inlineStr">
        <is>
          <t>Rs Mn</t>
        </is>
      </c>
      <c r="C39" s="22" t="inlineStr">
        <is>
          <t>Beauty Omnichannel Retail</t>
        </is>
      </c>
      <c r="D39" s="65" t="n"/>
      <c r="E39" s="65" t="n"/>
      <c r="F39" s="65" t="n"/>
      <c r="G39" s="65" t="n"/>
      <c r="H39" s="65" t="n"/>
      <c r="I39" s="65" t="n"/>
      <c r="J39" s="65" t="n"/>
      <c r="K39" s="65" t="n"/>
      <c r="L39" s="65" t="n">
        <v>19908</v>
      </c>
      <c r="M39" s="65" t="n">
        <v>21559</v>
      </c>
      <c r="N39" s="65" t="n">
        <v>25696</v>
      </c>
      <c r="O39" s="65" t="n">
        <v>23390</v>
      </c>
      <c r="P39" s="65" t="n">
        <v>25429</v>
      </c>
      <c r="Q39" s="65" t="n">
        <v>27833</v>
      </c>
      <c r="R39" s="65" t="n">
        <v>33899</v>
      </c>
      <c r="S39" s="65" t="n">
        <v>30580</v>
      </c>
      <c r="T39" s="65" t="n">
        <v>32080</v>
      </c>
      <c r="U39" s="65" t="n">
        <v>35510</v>
      </c>
      <c r="V39" s="65" t="n">
        <v>43020</v>
      </c>
      <c r="W39" s="65" t="n">
        <v>38920</v>
      </c>
      <c r="X39" s="65" t="n"/>
      <c r="Y39" s="65" t="n"/>
      <c r="Z39" s="65" t="n"/>
      <c r="AA39" s="65" t="n"/>
      <c r="AB39" s="19" t="n"/>
      <c r="AC39" s="66" t="n"/>
      <c r="AD39" s="66" t="n"/>
      <c r="AE39" s="66" t="n"/>
      <c r="AF39" s="66">
        <f>IF(COUNT(D39:G39)=0,"",SUM(D39:G39))</f>
        <v/>
      </c>
      <c r="AG39" s="66">
        <f>IF(COUNT(H39:K39)=0,"",SUM(H39:K39))</f>
        <v/>
      </c>
      <c r="AH39" s="66">
        <f>IF(COUNT(L39:O39)=0,"",SUM(L39:O39))</f>
        <v/>
      </c>
      <c r="AI39" s="66">
        <f>IF(COUNT(P39:S39)=0,"",SUM(P39:S39))</f>
        <v/>
      </c>
      <c r="AJ39" s="66">
        <f>IF(COUNT(T39:W39)=0,"",SUM(T39:W39))</f>
        <v/>
      </c>
    </row>
    <row r="40">
      <c r="A40" s="20" t="inlineStr">
        <is>
          <t xml:space="preserve">  YoY growth</t>
        </is>
      </c>
      <c r="B40" s="21" t="inlineStr">
        <is>
          <t>%</t>
        </is>
      </c>
      <c r="C40" s="22" t="n"/>
      <c r="D40" s="64" t="n"/>
      <c r="E40" s="64" t="n"/>
      <c r="F40" s="64" t="n"/>
      <c r="G40" s="64" t="n"/>
      <c r="H40" s="23">
        <f>IFERROR(H39/D39-1,"")</f>
        <v/>
      </c>
      <c r="I40" s="23">
        <f>IFERROR(I39/E39-1,"")</f>
        <v/>
      </c>
      <c r="J40" s="23">
        <f>IFERROR(J39/F39-1,"")</f>
        <v/>
      </c>
      <c r="K40" s="23">
        <f>IFERROR(K39/G39-1,"")</f>
        <v/>
      </c>
      <c r="L40" s="23">
        <f>IFERROR(L39/H39-1,"")</f>
        <v/>
      </c>
      <c r="M40" s="23">
        <f>IFERROR(M39/I39-1,"")</f>
        <v/>
      </c>
      <c r="N40" s="23">
        <f>IFERROR(N39/J39-1,"")</f>
        <v/>
      </c>
      <c r="O40" s="23">
        <f>IFERROR(O39/K39-1,"")</f>
        <v/>
      </c>
      <c r="P40" s="23">
        <f>IFERROR(P39/L39-1,"")</f>
        <v/>
      </c>
      <c r="Q40" s="23">
        <f>IFERROR(Q39/M39-1,"")</f>
        <v/>
      </c>
      <c r="R40" s="23">
        <f>IFERROR(R39/N39-1,"")</f>
        <v/>
      </c>
      <c r="S40" s="23">
        <f>IFERROR(S39/O39-1,"")</f>
        <v/>
      </c>
      <c r="T40" s="23">
        <f>IFERROR(T39/P39-1,"")</f>
        <v/>
      </c>
      <c r="U40" s="23">
        <f>IFERROR(U39/Q39-1,"")</f>
        <v/>
      </c>
      <c r="V40" s="23">
        <f>IFERROR(V39/R39-1,"")</f>
        <v/>
      </c>
      <c r="W40" s="23">
        <f>IFERROR(W39/S39-1,"")</f>
        <v/>
      </c>
      <c r="X40" s="23">
        <f>IFERROR(X39/T39-1,"")</f>
        <v/>
      </c>
      <c r="Y40" s="23">
        <f>IFERROR(Y39/U39-1,"")</f>
        <v/>
      </c>
      <c r="Z40" s="23">
        <f>IFERROR(Z39/V39-1,"")</f>
        <v/>
      </c>
      <c r="AA40" s="23">
        <f>IFERROR(AA39/W39-1,"")</f>
        <v/>
      </c>
      <c r="AB40" s="19" t="n"/>
      <c r="AC40" s="64" t="n"/>
      <c r="AD40" s="64" t="n"/>
      <c r="AE40" s="64" t="n"/>
      <c r="AF40" s="23">
        <f>IFERROR(AF39/AE39-1,"")</f>
        <v/>
      </c>
      <c r="AG40" s="23">
        <f>IFERROR(AG39/AF39-1,"")</f>
        <v/>
      </c>
      <c r="AH40" s="23">
        <f>IFERROR(AH39/AG39-1,"")</f>
        <v/>
      </c>
      <c r="AI40" s="23">
        <f>IFERROR(AI39/AH39-1,"")</f>
        <v/>
      </c>
      <c r="AJ40" s="23">
        <f>IFERROR(AJ39/AI39-1,"")</f>
        <v/>
      </c>
    </row>
    <row r="41">
      <c r="A41" s="20" t="inlineStr">
        <is>
          <t xml:space="preserve">  QoQ growth</t>
        </is>
      </c>
      <c r="B41" s="21" t="inlineStr">
        <is>
          <t>%</t>
        </is>
      </c>
      <c r="C41" s="22" t="n"/>
      <c r="D41" s="64" t="n"/>
      <c r="E41" s="23">
        <f>IFERROR(E39/D39-1,"")</f>
        <v/>
      </c>
      <c r="F41" s="23">
        <f>IFERROR(F39/E39-1,"")</f>
        <v/>
      </c>
      <c r="G41" s="23">
        <f>IFERROR(G39/F39-1,"")</f>
        <v/>
      </c>
      <c r="H41" s="23">
        <f>IFERROR(H39/G39-1,"")</f>
        <v/>
      </c>
      <c r="I41" s="23">
        <f>IFERROR(I39/H39-1,"")</f>
        <v/>
      </c>
      <c r="J41" s="23">
        <f>IFERROR(J39/I39-1,"")</f>
        <v/>
      </c>
      <c r="K41" s="23">
        <f>IFERROR(K39/J39-1,"")</f>
        <v/>
      </c>
      <c r="L41" s="23">
        <f>IFERROR(L39/K39-1,"")</f>
        <v/>
      </c>
      <c r="M41" s="23">
        <f>IFERROR(M39/L39-1,"")</f>
        <v/>
      </c>
      <c r="N41" s="23">
        <f>IFERROR(N39/M39-1,"")</f>
        <v/>
      </c>
      <c r="O41" s="23">
        <f>IFERROR(O39/N39-1,"")</f>
        <v/>
      </c>
      <c r="P41" s="23">
        <f>IFERROR(P39/O39-1,"")</f>
        <v/>
      </c>
      <c r="Q41" s="23">
        <f>IFERROR(Q39/P39-1,"")</f>
        <v/>
      </c>
      <c r="R41" s="23">
        <f>IFERROR(R39/Q39-1,"")</f>
        <v/>
      </c>
      <c r="S41" s="23">
        <f>IFERROR(S39/R39-1,"")</f>
        <v/>
      </c>
      <c r="T41" s="23">
        <f>IFERROR(T39/S39-1,"")</f>
        <v/>
      </c>
      <c r="U41" s="23">
        <f>IFERROR(U39/T39-1,"")</f>
        <v/>
      </c>
      <c r="V41" s="23">
        <f>IFERROR(V39/U39-1,"")</f>
        <v/>
      </c>
      <c r="W41" s="23">
        <f>IFERROR(W39/V39-1,"")</f>
        <v/>
      </c>
      <c r="X41" s="23">
        <f>IFERROR(X39/W39-1,"")</f>
        <v/>
      </c>
      <c r="Y41" s="23">
        <f>IFERROR(Y39/X39-1,"")</f>
        <v/>
      </c>
      <c r="Z41" s="23">
        <f>IFERROR(Z39/Y39-1,"")</f>
        <v/>
      </c>
      <c r="AA41" s="23">
        <f>IFERROR(AA39/Z39-1,"")</f>
        <v/>
      </c>
      <c r="AB41" s="19" t="n"/>
      <c r="AC41" s="64" t="n"/>
      <c r="AD41" s="64" t="n"/>
      <c r="AE41" s="64" t="n"/>
      <c r="AF41" s="64" t="n"/>
      <c r="AG41" s="64" t="n"/>
      <c r="AH41" s="64" t="n"/>
      <c r="AI41" s="64" t="n"/>
      <c r="AJ41" s="64" t="n"/>
    </row>
    <row r="42">
      <c r="A42" s="20" t="inlineStr">
        <is>
          <t>NSV</t>
        </is>
      </c>
      <c r="B42" s="21" t="inlineStr">
        <is>
          <t>Rs Mn</t>
        </is>
      </c>
      <c r="C42" s="22" t="inlineStr">
        <is>
          <t>Beauty Omnichannel Retail</t>
        </is>
      </c>
      <c r="D42" s="65" t="n"/>
      <c r="E42" s="65" t="n"/>
      <c r="F42" s="65" t="n"/>
      <c r="G42" s="65" t="n"/>
      <c r="H42" s="65" t="n"/>
      <c r="I42" s="65" t="n"/>
      <c r="J42" s="65" t="n"/>
      <c r="K42" s="65" t="n"/>
      <c r="L42" s="65" t="n">
        <v>12121</v>
      </c>
      <c r="M42" s="65" t="n">
        <v>12566</v>
      </c>
      <c r="N42" s="65" t="n">
        <v>14954</v>
      </c>
      <c r="O42" s="65" t="n">
        <v>13979</v>
      </c>
      <c r="P42" s="65" t="n">
        <v>14695</v>
      </c>
      <c r="Q42" s="65" t="n">
        <v>15661</v>
      </c>
      <c r="R42" s="65" t="n">
        <v>18817</v>
      </c>
      <c r="S42" s="65" t="n">
        <v>17570</v>
      </c>
      <c r="T42" s="65" t="n">
        <v>18340</v>
      </c>
      <c r="U42" s="65" t="n">
        <v>19810</v>
      </c>
      <c r="V42" s="65" t="n">
        <v>24210</v>
      </c>
      <c r="W42" s="65" t="n">
        <v>22690</v>
      </c>
      <c r="X42" s="65" t="n"/>
      <c r="Y42" s="65" t="n"/>
      <c r="Z42" s="65" t="n"/>
      <c r="AA42" s="65" t="n"/>
      <c r="AB42" s="19" t="n"/>
      <c r="AC42" s="66" t="n"/>
      <c r="AD42" s="66" t="n"/>
      <c r="AE42" s="66" t="n"/>
      <c r="AF42" s="66">
        <f>IF(COUNT(D42:G42)=0,"",SUM(D42:G42))</f>
        <v/>
      </c>
      <c r="AG42" s="66">
        <f>IF(COUNT(H42:K42)=0,"",SUM(H42:K42))</f>
        <v/>
      </c>
      <c r="AH42" s="66">
        <f>IF(COUNT(L42:O42)=0,"",SUM(L42:O42))</f>
        <v/>
      </c>
      <c r="AI42" s="66">
        <f>IF(COUNT(P42:S42)=0,"",SUM(P42:S42))</f>
        <v/>
      </c>
      <c r="AJ42" s="66">
        <f>IF(COUNT(T42:W42)=0,"",SUM(T42:W42))</f>
        <v/>
      </c>
    </row>
    <row r="43">
      <c r="A43" s="20" t="inlineStr">
        <is>
          <t xml:space="preserve">  NSV / GMV</t>
        </is>
      </c>
      <c r="B43" s="21" t="inlineStr">
        <is>
          <t>%</t>
        </is>
      </c>
      <c r="C43" s="22" t="n"/>
      <c r="D43" s="23">
        <f>IFERROR(D42/D39,"")</f>
        <v/>
      </c>
      <c r="E43" s="23">
        <f>IFERROR(E42/E39,"")</f>
        <v/>
      </c>
      <c r="F43" s="23">
        <f>IFERROR(F42/F39,"")</f>
        <v/>
      </c>
      <c r="G43" s="23">
        <f>IFERROR(G42/G39,"")</f>
        <v/>
      </c>
      <c r="H43" s="23">
        <f>IFERROR(H42/H39,"")</f>
        <v/>
      </c>
      <c r="I43" s="23">
        <f>IFERROR(I42/I39,"")</f>
        <v/>
      </c>
      <c r="J43" s="23">
        <f>IFERROR(J42/J39,"")</f>
        <v/>
      </c>
      <c r="K43" s="23">
        <f>IFERROR(K42/K39,"")</f>
        <v/>
      </c>
      <c r="L43" s="23">
        <f>IFERROR(L42/L39,"")</f>
        <v/>
      </c>
      <c r="M43" s="23">
        <f>IFERROR(M42/M39,"")</f>
        <v/>
      </c>
      <c r="N43" s="23">
        <f>IFERROR(N42/N39,"")</f>
        <v/>
      </c>
      <c r="O43" s="23">
        <f>IFERROR(O42/O39,"")</f>
        <v/>
      </c>
      <c r="P43" s="23">
        <f>IFERROR(P42/P39,"")</f>
        <v/>
      </c>
      <c r="Q43" s="23">
        <f>IFERROR(Q42/Q39,"")</f>
        <v/>
      </c>
      <c r="R43" s="23">
        <f>IFERROR(R42/R39,"")</f>
        <v/>
      </c>
      <c r="S43" s="23">
        <f>IFERROR(S42/S39,"")</f>
        <v/>
      </c>
      <c r="T43" s="23">
        <f>IFERROR(T42/T39,"")</f>
        <v/>
      </c>
      <c r="U43" s="23">
        <f>IFERROR(U42/U39,"")</f>
        <v/>
      </c>
      <c r="V43" s="23">
        <f>IFERROR(V42/V39,"")</f>
        <v/>
      </c>
      <c r="W43" s="23">
        <f>IFERROR(W42/W39,"")</f>
        <v/>
      </c>
      <c r="X43" s="23">
        <f>IFERROR(X42/X39,"")</f>
        <v/>
      </c>
      <c r="Y43" s="23">
        <f>IFERROR(Y42/Y39,"")</f>
        <v/>
      </c>
      <c r="Z43" s="23">
        <f>IFERROR(Z42/Z39,"")</f>
        <v/>
      </c>
      <c r="AA43" s="23">
        <f>IFERROR(AA42/AA39,"")</f>
        <v/>
      </c>
      <c r="AB43" s="19" t="n"/>
      <c r="AC43" s="23" t="n"/>
      <c r="AD43" s="23" t="n"/>
      <c r="AE43" s="23" t="n"/>
      <c r="AF43" s="23">
        <f>IFERROR(AF42/AF39,"")</f>
        <v/>
      </c>
      <c r="AG43" s="23">
        <f>IFERROR(AG42/AG39,"")</f>
        <v/>
      </c>
      <c r="AH43" s="23">
        <f>IFERROR(AH42/AH39,"")</f>
        <v/>
      </c>
      <c r="AI43" s="23">
        <f>IFERROR(AI42/AI39,"")</f>
        <v/>
      </c>
      <c r="AJ43" s="23">
        <f>IFERROR(AJ42/AJ39,"")</f>
        <v/>
      </c>
    </row>
    <row r="44">
      <c r="A44" s="20" t="inlineStr">
        <is>
          <t>Revenue</t>
        </is>
      </c>
      <c r="B44" s="21" t="inlineStr">
        <is>
          <t>Rs Mn</t>
        </is>
      </c>
      <c r="C44" s="22" t="inlineStr">
        <is>
          <t>Beauty Omnichannel Retail / Financial Performance</t>
        </is>
      </c>
      <c r="D44" s="65" t="n"/>
      <c r="E44" s="65" t="n"/>
      <c r="F44" s="65" t="n"/>
      <c r="G44" s="65" t="n"/>
      <c r="H44" s="65" t="n"/>
      <c r="I44" s="65" t="n"/>
      <c r="J44" s="65" t="n"/>
      <c r="K44" s="65" t="n"/>
      <c r="L44" s="65" t="n">
        <v>12984</v>
      </c>
      <c r="M44" s="65" t="n"/>
      <c r="N44" s="65" t="n">
        <v>16227</v>
      </c>
      <c r="O44" s="65" t="n">
        <v>15190</v>
      </c>
      <c r="P44" s="65" t="n">
        <v>15935</v>
      </c>
      <c r="Q44" s="65" t="n">
        <v>17029</v>
      </c>
      <c r="R44" s="65" t="n">
        <v>20601</v>
      </c>
      <c r="S44" s="65" t="n">
        <v>18950</v>
      </c>
      <c r="T44" s="65" t="n">
        <v>19750</v>
      </c>
      <c r="U44" s="65" t="n">
        <v>21320</v>
      </c>
      <c r="V44" s="65" t="n">
        <v>26220</v>
      </c>
      <c r="W44" s="65" t="n">
        <v>24100</v>
      </c>
      <c r="X44" s="65" t="n"/>
      <c r="Y44" s="65" t="n"/>
      <c r="Z44" s="65" t="n"/>
      <c r="AA44" s="65" t="n"/>
      <c r="AB44" s="19" t="n"/>
      <c r="AC44" s="66" t="n"/>
      <c r="AD44" s="66" t="n"/>
      <c r="AE44" s="66" t="n"/>
      <c r="AF44" s="66">
        <f>IF(COUNT(D44:G44)=0,"",SUM(D44:G44))</f>
        <v/>
      </c>
      <c r="AG44" s="66">
        <f>IF(COUNT(H44:K44)=0,"",SUM(H44:K44))</f>
        <v/>
      </c>
      <c r="AH44" s="66">
        <f>IF(COUNT(L44:O44)=0,"",SUM(L44:O44))</f>
        <v/>
      </c>
      <c r="AI44" s="66">
        <f>IF(COUNT(P44:S44)=0,"",SUM(P44:S44))</f>
        <v/>
      </c>
      <c r="AJ44" s="66">
        <f>IF(COUNT(T44:W44)=0,"",SUM(T44:W44))</f>
        <v/>
      </c>
    </row>
    <row r="45">
      <c r="A45" s="20" t="inlineStr">
        <is>
          <t xml:space="preserve">  Revenue / NSV</t>
        </is>
      </c>
      <c r="B45" s="21" t="inlineStr">
        <is>
          <t>%</t>
        </is>
      </c>
      <c r="C45" s="22" t="n"/>
      <c r="D45" s="23">
        <f>IFERROR(D44/D42,"")</f>
        <v/>
      </c>
      <c r="E45" s="23">
        <f>IFERROR(E44/E42,"")</f>
        <v/>
      </c>
      <c r="F45" s="23">
        <f>IFERROR(F44/F42,"")</f>
        <v/>
      </c>
      <c r="G45" s="23">
        <f>IFERROR(G44/G42,"")</f>
        <v/>
      </c>
      <c r="H45" s="23">
        <f>IFERROR(H44/H42,"")</f>
        <v/>
      </c>
      <c r="I45" s="23">
        <f>IFERROR(I44/I42,"")</f>
        <v/>
      </c>
      <c r="J45" s="23">
        <f>IFERROR(J44/J42,"")</f>
        <v/>
      </c>
      <c r="K45" s="23">
        <f>IFERROR(K44/K42,"")</f>
        <v/>
      </c>
      <c r="L45" s="23">
        <f>IFERROR(L44/L42,"")</f>
        <v/>
      </c>
      <c r="M45" s="23">
        <f>IFERROR(M44/M42,"")</f>
        <v/>
      </c>
      <c r="N45" s="23">
        <f>IFERROR(N44/N42,"")</f>
        <v/>
      </c>
      <c r="O45" s="23">
        <f>IFERROR(O44/O42,"")</f>
        <v/>
      </c>
      <c r="P45" s="23">
        <f>IFERROR(P44/P42,"")</f>
        <v/>
      </c>
      <c r="Q45" s="23">
        <f>IFERROR(Q44/Q42,"")</f>
        <v/>
      </c>
      <c r="R45" s="23">
        <f>IFERROR(R44/R42,"")</f>
        <v/>
      </c>
      <c r="S45" s="23">
        <f>IFERROR(S44/S42,"")</f>
        <v/>
      </c>
      <c r="T45" s="23">
        <f>IFERROR(T44/T42,"")</f>
        <v/>
      </c>
      <c r="U45" s="23">
        <f>IFERROR(U44/U42,"")</f>
        <v/>
      </c>
      <c r="V45" s="23">
        <f>IFERROR(V44/V42,"")</f>
        <v/>
      </c>
      <c r="W45" s="23">
        <f>IFERROR(W44/W42,"")</f>
        <v/>
      </c>
      <c r="X45" s="23">
        <f>IFERROR(X44/X42,"")</f>
        <v/>
      </c>
      <c r="Y45" s="23">
        <f>IFERROR(Y44/Y42,"")</f>
        <v/>
      </c>
      <c r="Z45" s="23">
        <f>IFERROR(Z44/Z42,"")</f>
        <v/>
      </c>
      <c r="AA45" s="23">
        <f>IFERROR(AA44/AA42,"")</f>
        <v/>
      </c>
      <c r="AB45" s="19" t="n"/>
      <c r="AC45" s="23" t="n"/>
      <c r="AD45" s="23" t="n"/>
      <c r="AE45" s="23" t="n"/>
      <c r="AF45" s="23">
        <f>IFERROR(AF44/AF42,"")</f>
        <v/>
      </c>
      <c r="AG45" s="23">
        <f>IFERROR(AG44/AG42,"")</f>
        <v/>
      </c>
      <c r="AH45" s="23">
        <f>IFERROR(AH44/AH42,"")</f>
        <v/>
      </c>
      <c r="AI45" s="23">
        <f>IFERROR(AI44/AI42,"")</f>
        <v/>
      </c>
      <c r="AJ45" s="23">
        <f>IFERROR(AJ44/AJ42,"")</f>
        <v/>
      </c>
    </row>
    <row r="46">
      <c r="A46" s="20" t="inlineStr">
        <is>
          <t>Gross profit</t>
        </is>
      </c>
      <c r="B46" s="21" t="inlineStr">
        <is>
          <t>Rs Mn</t>
        </is>
      </c>
      <c r="C46" s="22" t="inlineStr">
        <is>
          <t>Financial Performance</t>
        </is>
      </c>
      <c r="D46" s="65" t="n"/>
      <c r="E46" s="65" t="n"/>
      <c r="F46" s="65" t="n"/>
      <c r="G46" s="65" t="n"/>
      <c r="H46" s="65" t="n"/>
      <c r="I46" s="65" t="n"/>
      <c r="J46" s="65" t="n"/>
      <c r="K46" s="65" t="n"/>
      <c r="L46" s="65" t="n">
        <v>5223</v>
      </c>
      <c r="M46" s="65" t="n"/>
      <c r="N46" s="65" t="n">
        <v>6317</v>
      </c>
      <c r="O46" s="65" t="n">
        <v>5950</v>
      </c>
      <c r="P46" s="65" t="n">
        <v>6328</v>
      </c>
      <c r="Q46" s="65" t="n">
        <v>6828</v>
      </c>
      <c r="R46" s="65" t="n">
        <v>8175</v>
      </c>
      <c r="S46" s="65" t="n">
        <v>7790</v>
      </c>
      <c r="T46" s="65" t="n">
        <v>8190</v>
      </c>
      <c r="U46" s="65" t="n">
        <v>8840</v>
      </c>
      <c r="V46" s="65" t="n">
        <v>10850</v>
      </c>
      <c r="W46" s="65" t="n">
        <v>10130</v>
      </c>
      <c r="X46" s="65" t="n"/>
      <c r="Y46" s="65" t="n"/>
      <c r="Z46" s="65" t="n"/>
      <c r="AA46" s="65" t="n"/>
      <c r="AB46" s="19" t="n"/>
      <c r="AC46" s="66" t="n"/>
      <c r="AD46" s="66" t="n"/>
      <c r="AE46" s="66" t="n"/>
      <c r="AF46" s="66">
        <f>IF(COUNT(D46:G46)=0,"",SUM(D46:G46))</f>
        <v/>
      </c>
      <c r="AG46" s="66">
        <f>IF(COUNT(H46:K46)=0,"",SUM(H46:K46))</f>
        <v/>
      </c>
      <c r="AH46" s="66">
        <f>IF(COUNT(L46:O46)=0,"",SUM(L46:O46))</f>
        <v/>
      </c>
      <c r="AI46" s="66">
        <f>IF(COUNT(P46:S46)=0,"",SUM(P46:S46))</f>
        <v/>
      </c>
      <c r="AJ46" s="66">
        <f>IF(COUNT(T46:W46)=0,"",SUM(T46:W46))</f>
        <v/>
      </c>
    </row>
    <row r="47">
      <c r="A47" s="20" t="inlineStr">
        <is>
          <t xml:space="preserve">  Gross margin (% of NSV)</t>
        </is>
      </c>
      <c r="B47" s="21" t="inlineStr">
        <is>
          <t>%</t>
        </is>
      </c>
      <c r="C47" s="22" t="n"/>
      <c r="D47" s="23">
        <f>IFERROR(D46/D42,"")</f>
        <v/>
      </c>
      <c r="E47" s="23">
        <f>IFERROR(E46/E42,"")</f>
        <v/>
      </c>
      <c r="F47" s="23">
        <f>IFERROR(F46/F42,"")</f>
        <v/>
      </c>
      <c r="G47" s="23">
        <f>IFERROR(G46/G42,"")</f>
        <v/>
      </c>
      <c r="H47" s="23">
        <f>IFERROR(H46/H42,"")</f>
        <v/>
      </c>
      <c r="I47" s="23">
        <f>IFERROR(I46/I42,"")</f>
        <v/>
      </c>
      <c r="J47" s="23">
        <f>IFERROR(J46/J42,"")</f>
        <v/>
      </c>
      <c r="K47" s="23">
        <f>IFERROR(K46/K42,"")</f>
        <v/>
      </c>
      <c r="L47" s="23">
        <f>IFERROR(L46/L42,"")</f>
        <v/>
      </c>
      <c r="M47" s="23">
        <f>IFERROR(M46/M42,"")</f>
        <v/>
      </c>
      <c r="N47" s="23">
        <f>IFERROR(N46/N42,"")</f>
        <v/>
      </c>
      <c r="O47" s="23">
        <f>IFERROR(O46/O42,"")</f>
        <v/>
      </c>
      <c r="P47" s="23">
        <f>IFERROR(P46/P42,"")</f>
        <v/>
      </c>
      <c r="Q47" s="23">
        <f>IFERROR(Q46/Q42,"")</f>
        <v/>
      </c>
      <c r="R47" s="23">
        <f>IFERROR(R46/R42,"")</f>
        <v/>
      </c>
      <c r="S47" s="23">
        <f>IFERROR(S46/S42,"")</f>
        <v/>
      </c>
      <c r="T47" s="23">
        <f>IFERROR(T46/T42,"")</f>
        <v/>
      </c>
      <c r="U47" s="23">
        <f>IFERROR(U46/U42,"")</f>
        <v/>
      </c>
      <c r="V47" s="23">
        <f>IFERROR(V46/V42,"")</f>
        <v/>
      </c>
      <c r="W47" s="23">
        <f>IFERROR(W46/W42,"")</f>
        <v/>
      </c>
      <c r="X47" s="23">
        <f>IFERROR(X46/X42,"")</f>
        <v/>
      </c>
      <c r="Y47" s="23">
        <f>IFERROR(Y46/Y42,"")</f>
        <v/>
      </c>
      <c r="Z47" s="23">
        <f>IFERROR(Z46/Z42,"")</f>
        <v/>
      </c>
      <c r="AA47" s="23">
        <f>IFERROR(AA46/AA42,"")</f>
        <v/>
      </c>
      <c r="AB47" s="19" t="n"/>
      <c r="AC47" s="23" t="n"/>
      <c r="AD47" s="23" t="n"/>
      <c r="AE47" s="23" t="n"/>
      <c r="AF47" s="23">
        <f>IFERROR(AF46/AF42,"")</f>
        <v/>
      </c>
      <c r="AG47" s="23">
        <f>IFERROR(AG46/AG42,"")</f>
        <v/>
      </c>
      <c r="AH47" s="23">
        <f>IFERROR(AH46/AH42,"")</f>
        <v/>
      </c>
      <c r="AI47" s="23">
        <f>IFERROR(AI46/AI42,"")</f>
        <v/>
      </c>
      <c r="AJ47" s="23">
        <f>IFERROR(AJ46/AJ42,"")</f>
        <v/>
      </c>
    </row>
    <row r="48">
      <c r="A48" s="20" t="inlineStr">
        <is>
          <t>Fulfilment cost</t>
        </is>
      </c>
      <c r="B48" s="21" t="inlineStr">
        <is>
          <t>Rs Mn</t>
        </is>
      </c>
      <c r="C48" s="22" t="inlineStr">
        <is>
          <t>Financial Performance</t>
        </is>
      </c>
      <c r="D48" s="65" t="n"/>
      <c r="E48" s="65" t="n"/>
      <c r="F48" s="65" t="n"/>
      <c r="G48" s="65" t="n"/>
      <c r="H48" s="65" t="n"/>
      <c r="I48" s="65" t="n"/>
      <c r="J48" s="65" t="n"/>
      <c r="K48" s="65" t="n"/>
      <c r="L48" s="65" t="n">
        <v>1114</v>
      </c>
      <c r="M48" s="65" t="n"/>
      <c r="N48" s="65" t="n">
        <v>1396</v>
      </c>
      <c r="O48" s="65" t="n">
        <v>1280</v>
      </c>
      <c r="P48" s="65" t="n">
        <v>1417</v>
      </c>
      <c r="Q48" s="65" t="n">
        <v>1488</v>
      </c>
      <c r="R48" s="65" t="n">
        <v>1749</v>
      </c>
      <c r="S48" s="65" t="n">
        <v>1630</v>
      </c>
      <c r="T48" s="65" t="n">
        <v>1700</v>
      </c>
      <c r="U48" s="65" t="n">
        <v>1870</v>
      </c>
      <c r="V48" s="65" t="n">
        <v>2220</v>
      </c>
      <c r="W48" s="65" t="n">
        <v>2150</v>
      </c>
      <c r="X48" s="65" t="n"/>
      <c r="Y48" s="65" t="n"/>
      <c r="Z48" s="65" t="n"/>
      <c r="AA48" s="65" t="n"/>
      <c r="AB48" s="19" t="n"/>
      <c r="AC48" s="66" t="n"/>
      <c r="AD48" s="66" t="n"/>
      <c r="AE48" s="66" t="n"/>
      <c r="AF48" s="66">
        <f>IF(COUNT(D48:G48)=0,"",SUM(D48:G48))</f>
        <v/>
      </c>
      <c r="AG48" s="66">
        <f>IF(COUNT(H48:K48)=0,"",SUM(H48:K48))</f>
        <v/>
      </c>
      <c r="AH48" s="66">
        <f>IF(COUNT(L48:O48)=0,"",SUM(L48:O48))</f>
        <v/>
      </c>
      <c r="AI48" s="66">
        <f>IF(COUNT(P48:S48)=0,"",SUM(P48:S48))</f>
        <v/>
      </c>
      <c r="AJ48" s="66">
        <f>IF(COUNT(T48:W48)=0,"",SUM(T48:W48))</f>
        <v/>
      </c>
    </row>
    <row r="49">
      <c r="A49" s="20" t="inlineStr">
        <is>
          <t>Marketing expenses</t>
        </is>
      </c>
      <c r="B49" s="21" t="inlineStr">
        <is>
          <t>Rs Mn</t>
        </is>
      </c>
      <c r="C49" s="22" t="inlineStr">
        <is>
          <t>Financial Performance</t>
        </is>
      </c>
      <c r="D49" s="65" t="n"/>
      <c r="E49" s="65" t="n"/>
      <c r="F49" s="65" t="n"/>
      <c r="G49" s="65" t="n"/>
      <c r="H49" s="65" t="n"/>
      <c r="I49" s="65" t="n"/>
      <c r="J49" s="65" t="n"/>
      <c r="K49" s="65" t="n"/>
      <c r="L49" s="65" t="n">
        <v>971</v>
      </c>
      <c r="M49" s="65" t="n"/>
      <c r="N49" s="65" t="n">
        <v>1414</v>
      </c>
      <c r="O49" s="65" t="n">
        <v>1210</v>
      </c>
      <c r="P49" s="65" t="n">
        <v>1268</v>
      </c>
      <c r="Q49" s="65" t="n">
        <v>1462</v>
      </c>
      <c r="R49" s="65" t="n">
        <v>1897</v>
      </c>
      <c r="S49" s="65" t="n">
        <v>1570</v>
      </c>
      <c r="T49" s="65" t="n">
        <v>2340</v>
      </c>
      <c r="U49" s="65" t="n">
        <v>2600</v>
      </c>
      <c r="V49" s="65" t="n">
        <v>3190</v>
      </c>
      <c r="W49" s="65" t="n">
        <v>2780</v>
      </c>
      <c r="X49" s="65" t="n"/>
      <c r="Y49" s="65" t="n"/>
      <c r="Z49" s="65" t="n"/>
      <c r="AA49" s="65" t="n"/>
      <c r="AB49" s="19" t="n"/>
      <c r="AC49" s="66" t="n"/>
      <c r="AD49" s="66" t="n"/>
      <c r="AE49" s="66" t="n"/>
      <c r="AF49" s="66">
        <f>IF(COUNT(D49:G49)=0,"",SUM(D49:G49))</f>
        <v/>
      </c>
      <c r="AG49" s="66">
        <f>IF(COUNT(H49:K49)=0,"",SUM(H49:K49))</f>
        <v/>
      </c>
      <c r="AH49" s="66">
        <f>IF(COUNT(L49:O49)=0,"",SUM(L49:O49))</f>
        <v/>
      </c>
      <c r="AI49" s="66">
        <f>IF(COUNT(P49:S49)=0,"",SUM(P49:S49))</f>
        <v/>
      </c>
      <c r="AJ49" s="66">
        <f>IF(COUNT(T49:W49)=0,"",SUM(T49:W49))</f>
        <v/>
      </c>
    </row>
    <row r="50">
      <c r="A50" s="20" t="inlineStr">
        <is>
          <t>Selling &amp; distribution expense</t>
        </is>
      </c>
      <c r="B50" s="21" t="inlineStr">
        <is>
          <t>Rs Mn</t>
        </is>
      </c>
      <c r="C50" s="22" t="inlineStr">
        <is>
          <t>Financial Performance</t>
        </is>
      </c>
      <c r="D50" s="65" t="n"/>
      <c r="E50" s="65" t="n"/>
      <c r="F50" s="65" t="n"/>
      <c r="G50" s="65" t="n"/>
      <c r="H50" s="65" t="n"/>
      <c r="I50" s="65" t="n"/>
      <c r="J50" s="65" t="n"/>
      <c r="K50" s="65" t="n"/>
      <c r="L50" s="65" t="n">
        <v>285</v>
      </c>
      <c r="M50" s="65" t="n"/>
      <c r="N50" s="65" t="n">
        <v>385</v>
      </c>
      <c r="O50" s="65" t="n">
        <v>400</v>
      </c>
      <c r="P50" s="65" t="n">
        <v>413</v>
      </c>
      <c r="Q50" s="65" t="n">
        <v>439</v>
      </c>
      <c r="R50" s="65" t="n">
        <v>532</v>
      </c>
      <c r="S50" s="65" t="n">
        <v>550</v>
      </c>
      <c r="T50" s="65" t="n">
        <v>0</v>
      </c>
      <c r="U50" s="65" t="n">
        <v>0</v>
      </c>
      <c r="V50" s="65" t="n">
        <v>0</v>
      </c>
      <c r="W50" s="65" t="n">
        <v>0</v>
      </c>
      <c r="X50" s="65" t="n"/>
      <c r="Y50" s="65" t="n"/>
      <c r="Z50" s="65" t="n"/>
      <c r="AA50" s="65" t="n"/>
      <c r="AB50" s="19" t="n"/>
      <c r="AC50" s="66" t="n"/>
      <c r="AD50" s="66" t="n"/>
      <c r="AE50" s="66" t="n"/>
      <c r="AF50" s="66">
        <f>IF(COUNT(D50:G50)=0,"",SUM(D50:G50))</f>
        <v/>
      </c>
      <c r="AG50" s="66">
        <f>IF(COUNT(H50:K50)=0,"",SUM(H50:K50))</f>
        <v/>
      </c>
      <c r="AH50" s="66">
        <f>IF(COUNT(L50:O50)=0,"",SUM(L50:O50))</f>
        <v/>
      </c>
      <c r="AI50" s="66">
        <f>IF(COUNT(P50:S50)=0,"",SUM(P50:S50))</f>
        <v/>
      </c>
      <c r="AJ50" s="66">
        <f>IF(COUNT(T50:W50)=0,"",SUM(T50:W50))</f>
        <v/>
      </c>
    </row>
    <row r="51">
      <c r="A51" s="20" t="inlineStr">
        <is>
          <t>Contribution profit</t>
        </is>
      </c>
      <c r="B51" s="21" t="inlineStr">
        <is>
          <t>Rs Mn</t>
        </is>
      </c>
      <c r="C51" s="22" t="n"/>
      <c r="D51" s="66">
        <f>IF(OR(ISBLANK(D46),ISBLANK(D48),ISBLANK(D49),ISBLANK(D50)),"",IFERROR(D46-D48-D49-D50,""))</f>
        <v/>
      </c>
      <c r="E51" s="66">
        <f>IF(OR(ISBLANK(E46),ISBLANK(E48),ISBLANK(E49),ISBLANK(E50)),"",IFERROR(E46-E48-E49-E50,""))</f>
        <v/>
      </c>
      <c r="F51" s="66">
        <f>IF(OR(ISBLANK(F46),ISBLANK(F48),ISBLANK(F49),ISBLANK(F50)),"",IFERROR(F46-F48-F49-F50,""))</f>
        <v/>
      </c>
      <c r="G51" s="66">
        <f>IF(OR(ISBLANK(G46),ISBLANK(G48),ISBLANK(G49),ISBLANK(G50)),"",IFERROR(G46-G48-G49-G50,""))</f>
        <v/>
      </c>
      <c r="H51" s="66">
        <f>IF(OR(ISBLANK(H46),ISBLANK(H48),ISBLANK(H49),ISBLANK(H50)),"",IFERROR(H46-H48-H49-H50,""))</f>
        <v/>
      </c>
      <c r="I51" s="66">
        <f>IF(OR(ISBLANK(I46),ISBLANK(I48),ISBLANK(I49),ISBLANK(I50)),"",IFERROR(I46-I48-I49-I50,""))</f>
        <v/>
      </c>
      <c r="J51" s="66">
        <f>IF(OR(ISBLANK(J46),ISBLANK(J48),ISBLANK(J49),ISBLANK(J50)),"",IFERROR(J46-J48-J49-J50,""))</f>
        <v/>
      </c>
      <c r="K51" s="66">
        <f>IF(OR(ISBLANK(K46),ISBLANK(K48),ISBLANK(K49),ISBLANK(K50)),"",IFERROR(K46-K48-K49-K50,""))</f>
        <v/>
      </c>
      <c r="L51" s="66">
        <f>IF(OR(ISBLANK(L46),ISBLANK(L48),ISBLANK(L49),ISBLANK(L50)),"",IFERROR(L46-L48-L49-L50,""))</f>
        <v/>
      </c>
      <c r="M51" s="66">
        <f>IF(OR(ISBLANK(M46),ISBLANK(M48),ISBLANK(M49),ISBLANK(M50)),"",IFERROR(M46-M48-M49-M50,""))</f>
        <v/>
      </c>
      <c r="N51" s="66">
        <f>IF(OR(ISBLANK(N46),ISBLANK(N48),ISBLANK(N49),ISBLANK(N50)),"",IFERROR(N46-N48-N49-N50,""))</f>
        <v/>
      </c>
      <c r="O51" s="66">
        <f>IF(OR(ISBLANK(O46),ISBLANK(O48),ISBLANK(O49),ISBLANK(O50)),"",IFERROR(O46-O48-O49-O50,""))</f>
        <v/>
      </c>
      <c r="P51" s="66">
        <f>IF(OR(ISBLANK(P46),ISBLANK(P48),ISBLANK(P49),ISBLANK(P50)),"",IFERROR(P46-P48-P49-P50,""))</f>
        <v/>
      </c>
      <c r="Q51" s="66">
        <f>IF(OR(ISBLANK(Q46),ISBLANK(Q48),ISBLANK(Q49),ISBLANK(Q50)),"",IFERROR(Q46-Q48-Q49-Q50,""))</f>
        <v/>
      </c>
      <c r="R51" s="66">
        <f>IF(OR(ISBLANK(R46),ISBLANK(R48),ISBLANK(R49),ISBLANK(R50)),"",IFERROR(R46-R48-R49-R50,""))</f>
        <v/>
      </c>
      <c r="S51" s="66">
        <f>IF(OR(ISBLANK(S46),ISBLANK(S48),ISBLANK(S49),ISBLANK(S50)),"",IFERROR(S46-S48-S49-S50,""))</f>
        <v/>
      </c>
      <c r="T51" s="66">
        <f>IF(OR(ISBLANK(T46),ISBLANK(T48),ISBLANK(T49),ISBLANK(T50)),"",IFERROR(T46-T48-T49-T50,""))</f>
        <v/>
      </c>
      <c r="U51" s="66">
        <f>IF(OR(ISBLANK(U46),ISBLANK(U48),ISBLANK(U49),ISBLANK(U50)),"",IFERROR(U46-U48-U49-U50,""))</f>
        <v/>
      </c>
      <c r="V51" s="66">
        <f>IF(OR(ISBLANK(V46),ISBLANK(V48),ISBLANK(V49),ISBLANK(V50)),"",IFERROR(V46-V48-V49-V50,""))</f>
        <v/>
      </c>
      <c r="W51" s="66">
        <f>IF(OR(ISBLANK(W46),ISBLANK(W48),ISBLANK(W49),ISBLANK(W50)),"",IFERROR(W46-W48-W49-W50,""))</f>
        <v/>
      </c>
      <c r="X51" s="66">
        <f>IF(OR(ISBLANK(X46),ISBLANK(X48),ISBLANK(X49),ISBLANK(X50)),"",IFERROR(X46-X48-X49-X50,""))</f>
        <v/>
      </c>
      <c r="Y51" s="66">
        <f>IF(OR(ISBLANK(Y46),ISBLANK(Y48),ISBLANK(Y49),ISBLANK(Y50)),"",IFERROR(Y46-Y48-Y49-Y50,""))</f>
        <v/>
      </c>
      <c r="Z51" s="66">
        <f>IF(OR(ISBLANK(Z46),ISBLANK(Z48),ISBLANK(Z49),ISBLANK(Z50)),"",IFERROR(Z46-Z48-Z49-Z50,""))</f>
        <v/>
      </c>
      <c r="AA51" s="66">
        <f>IF(OR(ISBLANK(AA46),ISBLANK(AA48),ISBLANK(AA49),ISBLANK(AA50)),"",IFERROR(AA46-AA48-AA49-AA50,""))</f>
        <v/>
      </c>
      <c r="AB51" s="19" t="n"/>
      <c r="AC51" s="66" t="n"/>
      <c r="AD51" s="66" t="n"/>
      <c r="AE51" s="66" t="n"/>
      <c r="AF51" s="66">
        <f>IF(OR(ISBLANK(AF46),ISBLANK(AF48),ISBLANK(AF49),ISBLANK(AF50)),"",IFERROR(AF46-AF48-AF49-AF50,""))</f>
        <v/>
      </c>
      <c r="AG51" s="66">
        <f>IF(OR(ISBLANK(AG46),ISBLANK(AG48),ISBLANK(AG49),ISBLANK(AG50)),"",IFERROR(AG46-AG48-AG49-AG50,""))</f>
        <v/>
      </c>
      <c r="AH51" s="66">
        <f>IF(OR(ISBLANK(AH46),ISBLANK(AH48),ISBLANK(AH49),ISBLANK(AH50)),"",IFERROR(AH46-AH48-AH49-AH50,""))</f>
        <v/>
      </c>
      <c r="AI51" s="66">
        <f>IF(OR(ISBLANK(AI46),ISBLANK(AI48),ISBLANK(AI49),ISBLANK(AI50)),"",IFERROR(AI46-AI48-AI49-AI50,""))</f>
        <v/>
      </c>
      <c r="AJ51" s="66">
        <f>IF(OR(ISBLANK(AJ46),ISBLANK(AJ48),ISBLANK(AJ49),ISBLANK(AJ50)),"",IFERROR(AJ46-AJ48-AJ49-AJ50,""))</f>
        <v/>
      </c>
    </row>
    <row r="52">
      <c r="A52" s="20" t="inlineStr">
        <is>
          <t xml:space="preserve">  Contribution margin (% of NSV)</t>
        </is>
      </c>
      <c r="B52" s="21" t="inlineStr">
        <is>
          <t>%</t>
        </is>
      </c>
      <c r="C52" s="22" t="n"/>
      <c r="D52" s="23">
        <f>IFERROR(D51/D42,"")</f>
        <v/>
      </c>
      <c r="E52" s="23">
        <f>IFERROR(E51/E42,"")</f>
        <v/>
      </c>
      <c r="F52" s="23">
        <f>IFERROR(F51/F42,"")</f>
        <v/>
      </c>
      <c r="G52" s="23">
        <f>IFERROR(G51/G42,"")</f>
        <v/>
      </c>
      <c r="H52" s="23">
        <f>IFERROR(H51/H42,"")</f>
        <v/>
      </c>
      <c r="I52" s="23">
        <f>IFERROR(I51/I42,"")</f>
        <v/>
      </c>
      <c r="J52" s="23">
        <f>IFERROR(J51/J42,"")</f>
        <v/>
      </c>
      <c r="K52" s="23">
        <f>IFERROR(K51/K42,"")</f>
        <v/>
      </c>
      <c r="L52" s="23">
        <f>IFERROR(L51/L42,"")</f>
        <v/>
      </c>
      <c r="M52" s="23">
        <f>IFERROR(M51/M42,"")</f>
        <v/>
      </c>
      <c r="N52" s="23">
        <f>IFERROR(N51/N42,"")</f>
        <v/>
      </c>
      <c r="O52" s="23">
        <f>IFERROR(O51/O42,"")</f>
        <v/>
      </c>
      <c r="P52" s="23">
        <f>IFERROR(P51/P42,"")</f>
        <v/>
      </c>
      <c r="Q52" s="23">
        <f>IFERROR(Q51/Q42,"")</f>
        <v/>
      </c>
      <c r="R52" s="23">
        <f>IFERROR(R51/R42,"")</f>
        <v/>
      </c>
      <c r="S52" s="23">
        <f>IFERROR(S51/S42,"")</f>
        <v/>
      </c>
      <c r="T52" s="23">
        <f>IFERROR(T51/T42,"")</f>
        <v/>
      </c>
      <c r="U52" s="23">
        <f>IFERROR(U51/U42,"")</f>
        <v/>
      </c>
      <c r="V52" s="23">
        <f>IFERROR(V51/V42,"")</f>
        <v/>
      </c>
      <c r="W52" s="23">
        <f>IFERROR(W51/W42,"")</f>
        <v/>
      </c>
      <c r="X52" s="23">
        <f>IFERROR(X51/X42,"")</f>
        <v/>
      </c>
      <c r="Y52" s="23">
        <f>IFERROR(Y51/Y42,"")</f>
        <v/>
      </c>
      <c r="Z52" s="23">
        <f>IFERROR(Z51/Z42,"")</f>
        <v/>
      </c>
      <c r="AA52" s="23">
        <f>IFERROR(AA51/AA42,"")</f>
        <v/>
      </c>
      <c r="AB52" s="19" t="n"/>
      <c r="AC52" s="23" t="n"/>
      <c r="AD52" s="23" t="n"/>
      <c r="AE52" s="23" t="n"/>
      <c r="AF52" s="23">
        <f>IFERROR(AF51/AF42,"")</f>
        <v/>
      </c>
      <c r="AG52" s="23">
        <f>IFERROR(AG51/AG42,"")</f>
        <v/>
      </c>
      <c r="AH52" s="23">
        <f>IFERROR(AH51/AH42,"")</f>
        <v/>
      </c>
      <c r="AI52" s="23">
        <f>IFERROR(AI51/AI42,"")</f>
        <v/>
      </c>
      <c r="AJ52" s="23">
        <f>IFERROR(AJ51/AJ42,"")</f>
        <v/>
      </c>
    </row>
    <row r="53">
      <c r="A53" s="20" t="inlineStr">
        <is>
          <t>Other expenses (G&amp;A + employee)</t>
        </is>
      </c>
      <c r="B53" s="21" t="inlineStr">
        <is>
          <t>Rs Mn</t>
        </is>
      </c>
      <c r="C53" s="22" t="inlineStr">
        <is>
          <t>Financial Performance</t>
        </is>
      </c>
      <c r="D53" s="65" t="n"/>
      <c r="E53" s="65" t="n"/>
      <c r="F53" s="65" t="n"/>
      <c r="G53" s="65" t="n"/>
      <c r="H53" s="65" t="n"/>
      <c r="I53" s="65" t="n"/>
      <c r="J53" s="65" t="n"/>
      <c r="K53" s="65" t="n"/>
      <c r="L53" s="65" t="n">
        <v>1800</v>
      </c>
      <c r="M53" s="65" t="n"/>
      <c r="N53" s="65" t="n">
        <v>1890</v>
      </c>
      <c r="O53" s="65" t="n">
        <v>1790</v>
      </c>
      <c r="P53" s="65" t="n">
        <v>1975</v>
      </c>
      <c r="Q53" s="65" t="n">
        <v>2095</v>
      </c>
      <c r="R53" s="65" t="n">
        <v>2345</v>
      </c>
      <c r="S53" s="65" t="n">
        <v>2360</v>
      </c>
      <c r="T53" s="65" t="n">
        <v>2500</v>
      </c>
      <c r="U53" s="65" t="n">
        <v>2590</v>
      </c>
      <c r="V53" s="65" t="n">
        <v>2990</v>
      </c>
      <c r="W53" s="65" t="n">
        <v>2870</v>
      </c>
      <c r="X53" s="65" t="n"/>
      <c r="Y53" s="65" t="n"/>
      <c r="Z53" s="65" t="n"/>
      <c r="AA53" s="65" t="n"/>
      <c r="AB53" s="19" t="n"/>
      <c r="AC53" s="66" t="n"/>
      <c r="AD53" s="66" t="n"/>
      <c r="AE53" s="66" t="n"/>
      <c r="AF53" s="66">
        <f>IF(COUNT(D53:G53)=0,"",SUM(D53:G53))</f>
        <v/>
      </c>
      <c r="AG53" s="66">
        <f>IF(COUNT(H53:K53)=0,"",SUM(H53:K53))</f>
        <v/>
      </c>
      <c r="AH53" s="66">
        <f>IF(COUNT(L53:O53)=0,"",SUM(L53:O53))</f>
        <v/>
      </c>
      <c r="AI53" s="66">
        <f>IF(COUNT(P53:S53)=0,"",SUM(P53:S53))</f>
        <v/>
      </c>
      <c r="AJ53" s="66">
        <f>IF(COUNT(T53:W53)=0,"",SUM(T53:W53))</f>
        <v/>
      </c>
    </row>
    <row r="54">
      <c r="A54" s="20" t="inlineStr">
        <is>
          <t>EBITDA</t>
        </is>
      </c>
      <c r="B54" s="21" t="inlineStr">
        <is>
          <t>Rs Mn</t>
        </is>
      </c>
      <c r="C54" s="22" t="n"/>
      <c r="D54" s="66">
        <f>IF(OR(ISBLANK(D51),ISBLANK(D53)),"",IFERROR(D51-D53,""))</f>
        <v/>
      </c>
      <c r="E54" s="66">
        <f>IF(OR(ISBLANK(E51),ISBLANK(E53)),"",IFERROR(E51-E53,""))</f>
        <v/>
      </c>
      <c r="F54" s="66">
        <f>IF(OR(ISBLANK(F51),ISBLANK(F53)),"",IFERROR(F51-F53,""))</f>
        <v/>
      </c>
      <c r="G54" s="66">
        <f>IF(OR(ISBLANK(G51),ISBLANK(G53)),"",IFERROR(G51-G53,""))</f>
        <v/>
      </c>
      <c r="H54" s="66">
        <f>IF(OR(ISBLANK(H51),ISBLANK(H53)),"",IFERROR(H51-H53,""))</f>
        <v/>
      </c>
      <c r="I54" s="66">
        <f>IF(OR(ISBLANK(I51),ISBLANK(I53)),"",IFERROR(I51-I53,""))</f>
        <v/>
      </c>
      <c r="J54" s="66">
        <f>IF(OR(ISBLANK(J51),ISBLANK(J53)),"",IFERROR(J51-J53,""))</f>
        <v/>
      </c>
      <c r="K54" s="66">
        <f>IF(OR(ISBLANK(K51),ISBLANK(K53)),"",IFERROR(K51-K53,""))</f>
        <v/>
      </c>
      <c r="L54" s="66">
        <f>IF(OR(ISBLANK(L51),ISBLANK(L53)),"",IFERROR(L51-L53,""))</f>
        <v/>
      </c>
      <c r="M54" s="66">
        <f>IF(OR(ISBLANK(M51),ISBLANK(M53)),"",IFERROR(M51-M53,""))</f>
        <v/>
      </c>
      <c r="N54" s="66">
        <f>IF(OR(ISBLANK(N51),ISBLANK(N53)),"",IFERROR(N51-N53,""))</f>
        <v/>
      </c>
      <c r="O54" s="66">
        <f>IF(OR(ISBLANK(O51),ISBLANK(O53)),"",IFERROR(O51-O53,""))</f>
        <v/>
      </c>
      <c r="P54" s="66">
        <f>IF(OR(ISBLANK(P51),ISBLANK(P53)),"",IFERROR(P51-P53,""))</f>
        <v/>
      </c>
      <c r="Q54" s="66">
        <f>IF(OR(ISBLANK(Q51),ISBLANK(Q53)),"",IFERROR(Q51-Q53,""))</f>
        <v/>
      </c>
      <c r="R54" s="66">
        <f>IF(OR(ISBLANK(R51),ISBLANK(R53)),"",IFERROR(R51-R53,""))</f>
        <v/>
      </c>
      <c r="S54" s="66">
        <f>IF(OR(ISBLANK(S51),ISBLANK(S53)),"",IFERROR(S51-S53,""))</f>
        <v/>
      </c>
      <c r="T54" s="66">
        <f>IF(OR(ISBLANK(T51),ISBLANK(T53)),"",IFERROR(T51-T53,""))</f>
        <v/>
      </c>
      <c r="U54" s="66">
        <f>IF(OR(ISBLANK(U51),ISBLANK(U53)),"",IFERROR(U51-U53,""))</f>
        <v/>
      </c>
      <c r="V54" s="66">
        <f>IF(OR(ISBLANK(V51),ISBLANK(V53)),"",IFERROR(V51-V53,""))</f>
        <v/>
      </c>
      <c r="W54" s="66">
        <f>IF(OR(ISBLANK(W51),ISBLANK(W53)),"",IFERROR(W51-W53,""))</f>
        <v/>
      </c>
      <c r="X54" s="66">
        <f>IF(OR(ISBLANK(X51),ISBLANK(X53)),"",IFERROR(X51-X53,""))</f>
        <v/>
      </c>
      <c r="Y54" s="66">
        <f>IF(OR(ISBLANK(Y51),ISBLANK(Y53)),"",IFERROR(Y51-Y53,""))</f>
        <v/>
      </c>
      <c r="Z54" s="66">
        <f>IF(OR(ISBLANK(Z51),ISBLANK(Z53)),"",IFERROR(Z51-Z53,""))</f>
        <v/>
      </c>
      <c r="AA54" s="66">
        <f>IF(OR(ISBLANK(AA51),ISBLANK(AA53)),"",IFERROR(AA51-AA53,""))</f>
        <v/>
      </c>
      <c r="AB54" s="19" t="n"/>
      <c r="AC54" s="66" t="n"/>
      <c r="AD54" s="66" t="n"/>
      <c r="AE54" s="66" t="n"/>
      <c r="AF54" s="66">
        <f>IF(OR(ISBLANK(AF51),ISBLANK(AF53)),"",IFERROR(AF51-AF53,""))</f>
        <v/>
      </c>
      <c r="AG54" s="66">
        <f>IF(OR(ISBLANK(AG51),ISBLANK(AG53)),"",IFERROR(AG51-AG53,""))</f>
        <v/>
      </c>
      <c r="AH54" s="66">
        <f>IF(OR(ISBLANK(AH51),ISBLANK(AH53)),"",IFERROR(AH51-AH53,""))</f>
        <v/>
      </c>
      <c r="AI54" s="66">
        <f>IF(OR(ISBLANK(AI51),ISBLANK(AI53)),"",IFERROR(AI51-AI53,""))</f>
        <v/>
      </c>
      <c r="AJ54" s="66">
        <f>IF(OR(ISBLANK(AJ51),ISBLANK(AJ53)),"",IFERROR(AJ51-AJ53,""))</f>
        <v/>
      </c>
    </row>
    <row r="55">
      <c r="A55" s="20" t="inlineStr">
        <is>
          <t xml:space="preserve">  EBITDA margin (% of NSV)</t>
        </is>
      </c>
      <c r="B55" s="21" t="inlineStr">
        <is>
          <t>%</t>
        </is>
      </c>
      <c r="C55" s="22" t="n"/>
      <c r="D55" s="23">
        <f>IFERROR(D54/D42,"")</f>
        <v/>
      </c>
      <c r="E55" s="23">
        <f>IFERROR(E54/E42,"")</f>
        <v/>
      </c>
      <c r="F55" s="23">
        <f>IFERROR(F54/F42,"")</f>
        <v/>
      </c>
      <c r="G55" s="23">
        <f>IFERROR(G54/G42,"")</f>
        <v/>
      </c>
      <c r="H55" s="23">
        <f>IFERROR(H54/H42,"")</f>
        <v/>
      </c>
      <c r="I55" s="23">
        <f>IFERROR(I54/I42,"")</f>
        <v/>
      </c>
      <c r="J55" s="23">
        <f>IFERROR(J54/J42,"")</f>
        <v/>
      </c>
      <c r="K55" s="23">
        <f>IFERROR(K54/K42,"")</f>
        <v/>
      </c>
      <c r="L55" s="23">
        <f>IFERROR(L54/L42,"")</f>
        <v/>
      </c>
      <c r="M55" s="23">
        <f>IFERROR(M54/M42,"")</f>
        <v/>
      </c>
      <c r="N55" s="23">
        <f>IFERROR(N54/N42,"")</f>
        <v/>
      </c>
      <c r="O55" s="23">
        <f>IFERROR(O54/O42,"")</f>
        <v/>
      </c>
      <c r="P55" s="23">
        <f>IFERROR(P54/P42,"")</f>
        <v/>
      </c>
      <c r="Q55" s="23">
        <f>IFERROR(Q54/Q42,"")</f>
        <v/>
      </c>
      <c r="R55" s="23">
        <f>IFERROR(R54/R42,"")</f>
        <v/>
      </c>
      <c r="S55" s="23">
        <f>IFERROR(S54/S42,"")</f>
        <v/>
      </c>
      <c r="T55" s="23">
        <f>IFERROR(T54/T42,"")</f>
        <v/>
      </c>
      <c r="U55" s="23">
        <f>IFERROR(U54/U42,"")</f>
        <v/>
      </c>
      <c r="V55" s="23">
        <f>IFERROR(V54/V42,"")</f>
        <v/>
      </c>
      <c r="W55" s="23">
        <f>IFERROR(W54/W42,"")</f>
        <v/>
      </c>
      <c r="X55" s="23">
        <f>IFERROR(X54/X42,"")</f>
        <v/>
      </c>
      <c r="Y55" s="23">
        <f>IFERROR(Y54/Y42,"")</f>
        <v/>
      </c>
      <c r="Z55" s="23">
        <f>IFERROR(Z54/Z42,"")</f>
        <v/>
      </c>
      <c r="AA55" s="23">
        <f>IFERROR(AA54/AA42,"")</f>
        <v/>
      </c>
      <c r="AB55" s="19" t="n"/>
      <c r="AC55" s="23" t="n"/>
      <c r="AD55" s="23" t="n"/>
      <c r="AE55" s="23" t="n"/>
      <c r="AF55" s="23">
        <f>IFERROR(AF54/AF42,"")</f>
        <v/>
      </c>
      <c r="AG55" s="23">
        <f>IFERROR(AG54/AG42,"")</f>
        <v/>
      </c>
      <c r="AH55" s="23">
        <f>IFERROR(AH54/AH42,"")</f>
        <v/>
      </c>
      <c r="AI55" s="23">
        <f>IFERROR(AI54/AI42,"")</f>
        <v/>
      </c>
      <c r="AJ55" s="23">
        <f>IFERROR(AJ54/AJ42,"")</f>
        <v/>
      </c>
    </row>
    <row r="56">
      <c r="AB56" s="19" t="n"/>
    </row>
    <row r="57">
      <c r="A57" s="20" t="inlineStr">
        <is>
          <t>BPC / Luxe store count</t>
        </is>
      </c>
      <c r="B57" s="21" t="inlineStr">
        <is>
          <t>#</t>
        </is>
      </c>
      <c r="C57" s="22" t="inlineStr">
        <is>
          <t>Beauty Omnichannel Retail</t>
        </is>
      </c>
      <c r="D57" s="69" t="n"/>
      <c r="E57" s="69" t="n">
        <v>84</v>
      </c>
      <c r="F57" s="69" t="n"/>
      <c r="G57" s="69" t="n">
        <v>104</v>
      </c>
      <c r="H57" s="69" t="n"/>
      <c r="I57" s="69" t="n">
        <v>124</v>
      </c>
      <c r="J57" s="69" t="n">
        <v>141</v>
      </c>
      <c r="K57" s="69" t="n">
        <v>145</v>
      </c>
      <c r="L57" s="69" t="n"/>
      <c r="M57" s="69" t="n"/>
      <c r="N57" s="69" t="n"/>
      <c r="O57" s="69" t="n">
        <v>187</v>
      </c>
      <c r="P57" s="69" t="n"/>
      <c r="Q57" s="69" t="n"/>
      <c r="R57" s="69" t="n">
        <v>221</v>
      </c>
      <c r="S57" s="69" t="n"/>
      <c r="T57" s="69" t="n"/>
      <c r="U57" s="69" t="n"/>
      <c r="V57" s="69" t="n"/>
      <c r="W57" s="69" t="n"/>
      <c r="X57" s="69" t="n"/>
      <c r="Y57" s="69" t="n"/>
      <c r="Z57" s="69" t="n"/>
      <c r="AA57" s="69" t="n"/>
      <c r="AB57" s="19" t="n"/>
      <c r="AC57" s="41" t="n"/>
      <c r="AD57" s="41" t="n"/>
      <c r="AE57" s="41" t="n"/>
      <c r="AF57" s="41">
        <f>IF(G57="","",G57)</f>
        <v/>
      </c>
      <c r="AG57" s="41">
        <f>IF(K57="","",K57)</f>
        <v/>
      </c>
      <c r="AH57" s="41">
        <f>IF(O57="","",O57)</f>
        <v/>
      </c>
      <c r="AI57" s="41">
        <f>IF(S57="","",S57)</f>
        <v/>
      </c>
      <c r="AJ57" s="41">
        <f>IF(W57="","",W57)</f>
        <v/>
      </c>
    </row>
    <row r="58">
      <c r="A58" s="20" t="inlineStr">
        <is>
          <t>Number of cities (retail)</t>
        </is>
      </c>
      <c r="B58" s="21" t="inlineStr">
        <is>
          <t>#</t>
        </is>
      </c>
      <c r="C58" s="22" t="inlineStr">
        <is>
          <t>Beauty Omnichannel Retail</t>
        </is>
      </c>
      <c r="D58" s="69" t="n">
        <v>39</v>
      </c>
      <c r="E58" s="69" t="n">
        <v>41</v>
      </c>
      <c r="F58" s="69" t="n">
        <v>45</v>
      </c>
      <c r="G58" s="69" t="n">
        <v>49</v>
      </c>
      <c r="H58" s="69" t="n">
        <v>52</v>
      </c>
      <c r="I58" s="69" t="n">
        <v>53</v>
      </c>
      <c r="J58" s="69" t="n">
        <v>56</v>
      </c>
      <c r="K58" s="69" t="n">
        <v>60</v>
      </c>
      <c r="L58" s="69" t="n"/>
      <c r="M58" s="69" t="n">
        <v>61</v>
      </c>
      <c r="N58" s="69" t="n"/>
      <c r="O58" s="69" t="n"/>
      <c r="P58" s="69" t="n"/>
      <c r="Q58" s="69" t="n">
        <v>72</v>
      </c>
      <c r="R58" s="69" t="n">
        <v>73</v>
      </c>
      <c r="S58" s="69" t="n">
        <v>79</v>
      </c>
      <c r="T58" s="69" t="n"/>
      <c r="U58" s="69" t="n">
        <v>90</v>
      </c>
      <c r="V58" s="69" t="n"/>
      <c r="W58" s="69" t="n"/>
      <c r="X58" s="69" t="n"/>
      <c r="Y58" s="69" t="n"/>
      <c r="Z58" s="69" t="n"/>
      <c r="AA58" s="69" t="n"/>
      <c r="AB58" s="19" t="n"/>
      <c r="AC58" s="41" t="n"/>
      <c r="AD58" s="41" t="n"/>
      <c r="AE58" s="41" t="n"/>
      <c r="AF58" s="41">
        <f>IF(G58="","",G58)</f>
        <v/>
      </c>
      <c r="AG58" s="41">
        <f>IF(K58="","",K58)</f>
        <v/>
      </c>
      <c r="AH58" s="41">
        <f>IF(O58="","",O58)</f>
        <v/>
      </c>
      <c r="AI58" s="41">
        <f>IF(S58="","",S58)</f>
        <v/>
      </c>
      <c r="AJ58" s="41">
        <f>IF(W58="","",W58)</f>
        <v/>
      </c>
    </row>
    <row r="59">
      <c r="A59" s="20" t="inlineStr">
        <is>
          <t>Total retail space</t>
        </is>
      </c>
      <c r="B59" s="21" t="inlineStr">
        <is>
          <t>sq ft</t>
        </is>
      </c>
      <c r="C59" s="22" t="inlineStr">
        <is>
          <t>Beauty Omnichannel Retail</t>
        </is>
      </c>
      <c r="D59" s="28" t="n"/>
      <c r="E59" s="28" t="n">
        <v>0.07000000000000001</v>
      </c>
      <c r="F59" s="28" t="n"/>
      <c r="G59" s="28" t="n">
        <v>0.1</v>
      </c>
      <c r="H59" s="28" t="n"/>
      <c r="I59" s="28" t="n">
        <v>0.12</v>
      </c>
      <c r="J59" s="28" t="n">
        <v>0.14</v>
      </c>
      <c r="K59" s="28" t="n"/>
      <c r="L59" s="28" t="n"/>
      <c r="M59" s="28" t="n"/>
      <c r="N59" s="28" t="n"/>
      <c r="O59" s="28" t="n">
        <v>0.17</v>
      </c>
      <c r="P59" s="28" t="n"/>
      <c r="Q59" s="28" t="n"/>
      <c r="R59" s="28" t="n">
        <v>0.21</v>
      </c>
      <c r="S59" s="28" t="n"/>
      <c r="T59" s="28" t="n"/>
      <c r="U59" s="28" t="n"/>
      <c r="V59" s="28" t="n"/>
      <c r="W59" s="28" t="n"/>
      <c r="X59" s="28" t="n"/>
      <c r="Y59" s="28" t="n"/>
      <c r="Z59" s="28" t="n"/>
      <c r="AA59" s="28" t="n"/>
      <c r="AB59" s="19" t="n"/>
      <c r="AC59" s="30" t="n"/>
      <c r="AD59" s="30" t="n"/>
      <c r="AE59" s="30" t="n"/>
      <c r="AF59" s="30">
        <f>IF(G59="","",G59)</f>
        <v/>
      </c>
      <c r="AG59" s="30">
        <f>IF(K59="","",K59)</f>
        <v/>
      </c>
      <c r="AH59" s="30">
        <f>IF(O59="","",O59)</f>
        <v/>
      </c>
      <c r="AI59" s="30">
        <f>IF(S59="","",S59)</f>
        <v/>
      </c>
      <c r="AJ59" s="30">
        <f>IF(W59="","",W59)</f>
        <v/>
      </c>
    </row>
    <row r="60">
      <c r="A60" s="20" t="inlineStr">
        <is>
          <t>BPC app downloads (cumulative)</t>
        </is>
      </c>
      <c r="B60" s="21" t="inlineStr">
        <is>
          <t>mn</t>
        </is>
      </c>
      <c r="C60" s="22" t="inlineStr">
        <is>
          <t>Beauty Omnichannel Retail</t>
        </is>
      </c>
      <c r="D60" s="63" t="n"/>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AA60" s="63" t="n"/>
      <c r="AB60" s="19" t="n"/>
      <c r="AC60" s="36" t="n"/>
      <c r="AD60" s="36" t="n"/>
      <c r="AE60" s="36" t="n"/>
      <c r="AF60" s="36">
        <f>IF(G60="","",G60)</f>
        <v/>
      </c>
      <c r="AG60" s="36">
        <f>IF(K60="","",K60)</f>
        <v/>
      </c>
      <c r="AH60" s="36">
        <f>IF(O60="","",O60)</f>
        <v/>
      </c>
      <c r="AI60" s="36">
        <f>IF(S60="","",S60)</f>
        <v/>
      </c>
      <c r="AJ60" s="36">
        <f>IF(W60="","",W60)</f>
        <v/>
      </c>
    </row>
    <row r="61">
      <c r="AB61" s="19" t="n"/>
    </row>
    <row r="62">
      <c r="A62" s="9" t="inlineStr">
        <is>
          <t>House of Nykaa (owned brands portfolio)</t>
        </is>
      </c>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46" t="n"/>
      <c r="AC62" s="9" t="n"/>
      <c r="AD62" s="9" t="n"/>
      <c r="AE62" s="9" t="n"/>
      <c r="AF62" s="9" t="n"/>
      <c r="AG62" s="9" t="n"/>
      <c r="AH62" s="9" t="n"/>
      <c r="AI62" s="9" t="n"/>
      <c r="AJ62" s="9" t="n"/>
    </row>
    <row r="63">
      <c r="A63" s="20" t="inlineStr">
        <is>
          <t>House of Nykaa - Beauty brands GMV</t>
        </is>
      </c>
      <c r="B63" s="21" t="inlineStr">
        <is>
          <t>Rs Mn</t>
        </is>
      </c>
      <c r="C63" s="22" t="inlineStr">
        <is>
          <t>House of Nykaa</t>
        </is>
      </c>
      <c r="D63" s="65" t="n">
        <v>851</v>
      </c>
      <c r="E63" s="65" t="n">
        <v>1202</v>
      </c>
      <c r="F63" s="65" t="n">
        <v>1746</v>
      </c>
      <c r="G63" s="65" t="n">
        <v>1779</v>
      </c>
      <c r="H63" s="65" t="n">
        <v>1663</v>
      </c>
      <c r="I63" s="65" t="n">
        <v>1966</v>
      </c>
      <c r="J63" s="65" t="n">
        <v>2247</v>
      </c>
      <c r="K63" s="65" t="n">
        <v>2013</v>
      </c>
      <c r="L63" s="65" t="n">
        <v>2310</v>
      </c>
      <c r="M63" s="65" t="n">
        <v>2438</v>
      </c>
      <c r="N63" s="65" t="n">
        <v>3152</v>
      </c>
      <c r="O63" s="65" t="n">
        <v>3054</v>
      </c>
      <c r="P63" s="65" t="n">
        <v>3406</v>
      </c>
      <c r="Q63" s="65" t="n">
        <v>3602</v>
      </c>
      <c r="R63" s="65" t="n">
        <v>4686</v>
      </c>
      <c r="S63" s="65" t="n">
        <v>5260</v>
      </c>
      <c r="T63" s="65" t="n">
        <v>5780</v>
      </c>
      <c r="U63" s="65" t="n">
        <v>6270</v>
      </c>
      <c r="V63" s="65" t="n">
        <v>7750</v>
      </c>
      <c r="W63" s="65" t="n"/>
      <c r="X63" s="65" t="n"/>
      <c r="Y63" s="65" t="n"/>
      <c r="Z63" s="65" t="n"/>
      <c r="AA63" s="65" t="n"/>
      <c r="AB63" s="19" t="n"/>
      <c r="AC63" s="66" t="n"/>
      <c r="AD63" s="66" t="n"/>
      <c r="AE63" s="66" t="n"/>
      <c r="AF63" s="66">
        <f>IF(COUNT(D63:G63)=0,"",SUM(D63:G63))</f>
        <v/>
      </c>
      <c r="AG63" s="66">
        <f>IF(COUNT(H63:K63)=0,"",SUM(H63:K63))</f>
        <v/>
      </c>
      <c r="AH63" s="66">
        <f>IF(COUNT(L63:O63)=0,"",SUM(L63:O63))</f>
        <v/>
      </c>
      <c r="AI63" s="66">
        <f>IF(COUNT(P63:S63)=0,"",SUM(P63:S63))</f>
        <v/>
      </c>
      <c r="AJ63" s="66">
        <f>IF(COUNT(T63:W63)=0,"",SUM(T63:W63))</f>
        <v/>
      </c>
    </row>
    <row r="64">
      <c r="A64" s="20" t="inlineStr">
        <is>
          <t xml:space="preserve">  of which: Dot &amp; Key GMV</t>
        </is>
      </c>
      <c r="B64" s="21" t="inlineStr">
        <is>
          <t>Rs Mn</t>
        </is>
      </c>
      <c r="C64" s="22" t="inlineStr">
        <is>
          <t>House of Nykaa</t>
        </is>
      </c>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c r="AA64" s="65" t="n"/>
      <c r="AB64" s="19" t="n"/>
      <c r="AC64" s="66" t="n"/>
      <c r="AD64" s="66" t="n"/>
      <c r="AE64" s="66" t="n"/>
      <c r="AF64" s="66">
        <f>IF(COUNT(D64:G64)=0,"",SUM(D64:G64))</f>
        <v/>
      </c>
      <c r="AG64" s="66">
        <f>IF(COUNT(H64:K64)=0,"",SUM(H64:K64))</f>
        <v/>
      </c>
      <c r="AH64" s="66">
        <f>IF(COUNT(L64:O64)=0,"",SUM(L64:O64))</f>
        <v/>
      </c>
      <c r="AI64" s="66">
        <f>IF(COUNT(P64:S64)=0,"",SUM(P64:S64))</f>
        <v/>
      </c>
      <c r="AJ64" s="66">
        <f>IF(COUNT(T64:W64)=0,"",SUM(T64:W64))</f>
        <v/>
      </c>
    </row>
    <row r="65">
      <c r="A65" s="20" t="inlineStr">
        <is>
          <t xml:space="preserve">  of which: Kay Beauty GMV</t>
        </is>
      </c>
      <c r="B65" s="21" t="inlineStr">
        <is>
          <t>Rs Mn</t>
        </is>
      </c>
      <c r="C65" s="22" t="inlineStr">
        <is>
          <t>House of Nykaa</t>
        </is>
      </c>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c r="AA65" s="65" t="n"/>
      <c r="AB65" s="19" t="n"/>
      <c r="AC65" s="66" t="n"/>
      <c r="AD65" s="66" t="n"/>
      <c r="AE65" s="66" t="n"/>
      <c r="AF65" s="66">
        <f>IF(COUNT(D65:G65)=0,"",SUM(D65:G65))</f>
        <v/>
      </c>
      <c r="AG65" s="66">
        <f>IF(COUNT(H65:K65)=0,"",SUM(H65:K65))</f>
        <v/>
      </c>
      <c r="AH65" s="66">
        <f>IF(COUNT(L65:O65)=0,"",SUM(L65:O65))</f>
        <v/>
      </c>
      <c r="AI65" s="66">
        <f>IF(COUNT(P65:S65)=0,"",SUM(P65:S65))</f>
        <v/>
      </c>
      <c r="AJ65" s="66">
        <f>IF(COUNT(T65:W65)=0,"",SUM(T65:W65))</f>
        <v/>
      </c>
    </row>
    <row r="66">
      <c r="A66" s="20" t="inlineStr">
        <is>
          <t>House of Nykaa - Fashion brands GMV</t>
        </is>
      </c>
      <c r="B66" s="21" t="inlineStr">
        <is>
          <t>Rs Mn</t>
        </is>
      </c>
      <c r="C66" s="22" t="inlineStr">
        <is>
          <t>House of Nykaa</t>
        </is>
      </c>
      <c r="D66" s="65" t="n">
        <v>210</v>
      </c>
      <c r="E66" s="65" t="n">
        <v>290</v>
      </c>
      <c r="F66" s="65" t="n">
        <v>406</v>
      </c>
      <c r="G66" s="65" t="n"/>
      <c r="H66" s="65" t="n">
        <v>706</v>
      </c>
      <c r="I66" s="65" t="n">
        <v>780</v>
      </c>
      <c r="J66" s="65" t="n">
        <v>902</v>
      </c>
      <c r="K66" s="65" t="n"/>
      <c r="L66" s="65" t="n">
        <v>916</v>
      </c>
      <c r="M66" s="65" t="n">
        <v>989</v>
      </c>
      <c r="N66" s="65" t="n">
        <v>1174</v>
      </c>
      <c r="O66" s="65" t="n"/>
      <c r="P66" s="65" t="n">
        <v>903</v>
      </c>
      <c r="Q66" s="65" t="n">
        <v>1090</v>
      </c>
      <c r="R66" s="65" t="n">
        <v>1200</v>
      </c>
      <c r="S66" s="65" t="n">
        <v>1120</v>
      </c>
      <c r="T66" s="65" t="n">
        <v>970</v>
      </c>
      <c r="U66" s="65" t="n">
        <v>950</v>
      </c>
      <c r="V66" s="65" t="n"/>
      <c r="W66" s="65" t="n"/>
      <c r="X66" s="65" t="n"/>
      <c r="Y66" s="65" t="n"/>
      <c r="Z66" s="65" t="n"/>
      <c r="AA66" s="65" t="n"/>
      <c r="AB66" s="19" t="n"/>
      <c r="AC66" s="66" t="n"/>
      <c r="AD66" s="66" t="n"/>
      <c r="AE66" s="66" t="n"/>
      <c r="AF66" s="66">
        <f>IF(COUNT(D66:G66)=0,"",SUM(D66:G66))</f>
        <v/>
      </c>
      <c r="AG66" s="66">
        <f>IF(COUNT(H66:K66)=0,"",SUM(H66:K66))</f>
        <v/>
      </c>
      <c r="AH66" s="66">
        <f>IF(COUNT(L66:O66)=0,"",SUM(L66:O66))</f>
        <v/>
      </c>
      <c r="AI66" s="66">
        <f>IF(COUNT(P66:S66)=0,"",SUM(P66:S66))</f>
        <v/>
      </c>
      <c r="AJ66" s="66">
        <f>IF(COUNT(T66:W66)=0,"",SUM(T66:W66))</f>
        <v/>
      </c>
    </row>
    <row r="67">
      <c r="A67" s="20" t="inlineStr">
        <is>
          <t>House of Nykaa - Total owned-brand GMV</t>
        </is>
      </c>
      <c r="B67" s="21" t="inlineStr">
        <is>
          <t>Rs Mn</t>
        </is>
      </c>
      <c r="C67" s="22" t="n"/>
      <c r="D67" s="66">
        <f>IFERROR(D63+D66,"")</f>
        <v/>
      </c>
      <c r="E67" s="66">
        <f>IFERROR(E63+E66,"")</f>
        <v/>
      </c>
      <c r="F67" s="66">
        <f>IFERROR(F63+F66,"")</f>
        <v/>
      </c>
      <c r="G67" s="66">
        <f>IFERROR(G63+G66,"")</f>
        <v/>
      </c>
      <c r="H67" s="66">
        <f>IFERROR(H63+H66,"")</f>
        <v/>
      </c>
      <c r="I67" s="66">
        <f>IFERROR(I63+I66,"")</f>
        <v/>
      </c>
      <c r="J67" s="66">
        <f>IFERROR(J63+J66,"")</f>
        <v/>
      </c>
      <c r="K67" s="66">
        <f>IFERROR(K63+K66,"")</f>
        <v/>
      </c>
      <c r="L67" s="66">
        <f>IFERROR(L63+L66,"")</f>
        <v/>
      </c>
      <c r="M67" s="66">
        <f>IFERROR(M63+M66,"")</f>
        <v/>
      </c>
      <c r="N67" s="66">
        <f>IFERROR(N63+N66,"")</f>
        <v/>
      </c>
      <c r="O67" s="66">
        <f>IFERROR(O63+O66,"")</f>
        <v/>
      </c>
      <c r="P67" s="66">
        <f>IFERROR(P63+P66,"")</f>
        <v/>
      </c>
      <c r="Q67" s="66">
        <f>IFERROR(Q63+Q66,"")</f>
        <v/>
      </c>
      <c r="R67" s="66">
        <f>IFERROR(R63+R66,"")</f>
        <v/>
      </c>
      <c r="S67" s="66">
        <f>IFERROR(S63+S66,"")</f>
        <v/>
      </c>
      <c r="T67" s="66">
        <f>IFERROR(T63+T66,"")</f>
        <v/>
      </c>
      <c r="U67" s="66">
        <f>IFERROR(U63+U66,"")</f>
        <v/>
      </c>
      <c r="V67" s="66">
        <f>IFERROR(V63+V66,"")</f>
        <v/>
      </c>
      <c r="W67" s="66">
        <f>IFERROR(W63+W66,"")</f>
        <v/>
      </c>
      <c r="X67" s="66">
        <f>IFERROR(X63+X66,"")</f>
        <v/>
      </c>
      <c r="Y67" s="66">
        <f>IFERROR(Y63+Y66,"")</f>
        <v/>
      </c>
      <c r="Z67" s="66">
        <f>IFERROR(Z63+Z66,"")</f>
        <v/>
      </c>
      <c r="AA67" s="66">
        <f>IFERROR(AA63+AA66,"")</f>
        <v/>
      </c>
      <c r="AB67" s="19" t="n"/>
      <c r="AC67" s="66" t="n"/>
      <c r="AD67" s="66" t="n"/>
      <c r="AE67" s="66" t="n"/>
      <c r="AF67" s="66">
        <f>IFERROR(AF63+AF66,"")</f>
        <v/>
      </c>
      <c r="AG67" s="66">
        <f>IFERROR(AG63+AG66,"")</f>
        <v/>
      </c>
      <c r="AH67" s="66">
        <f>IFERROR(AH63+AH66,"")</f>
        <v/>
      </c>
      <c r="AI67" s="66">
        <f>IFERROR(AI63+AI66,"")</f>
        <v/>
      </c>
      <c r="AJ67" s="66">
        <f>IFERROR(AJ63+AJ66,"")</f>
        <v/>
      </c>
    </row>
    <row r="68">
      <c r="A68" s="20" t="inlineStr">
        <is>
          <t xml:space="preserve">  Share of total company GMV</t>
        </is>
      </c>
      <c r="B68" s="21" t="inlineStr">
        <is>
          <t>%</t>
        </is>
      </c>
      <c r="C68" s="22" t="n"/>
      <c r="D68" s="23">
        <f>IFERROR(D67/D11,"")</f>
        <v/>
      </c>
      <c r="E68" s="23">
        <f>IFERROR(E67/E11,"")</f>
        <v/>
      </c>
      <c r="F68" s="23">
        <f>IFERROR(F67/F11,"")</f>
        <v/>
      </c>
      <c r="G68" s="23">
        <f>IFERROR(G67/G11,"")</f>
        <v/>
      </c>
      <c r="H68" s="23">
        <f>IFERROR(H67/H11,"")</f>
        <v/>
      </c>
      <c r="I68" s="23">
        <f>IFERROR(I67/I11,"")</f>
        <v/>
      </c>
      <c r="J68" s="23">
        <f>IFERROR(J67/J11,"")</f>
        <v/>
      </c>
      <c r="K68" s="23">
        <f>IFERROR(K67/K11,"")</f>
        <v/>
      </c>
      <c r="L68" s="23">
        <f>IFERROR(L67/L11,"")</f>
        <v/>
      </c>
      <c r="M68" s="23">
        <f>IFERROR(M67/M11,"")</f>
        <v/>
      </c>
      <c r="N68" s="23">
        <f>IFERROR(N67/N11,"")</f>
        <v/>
      </c>
      <c r="O68" s="23">
        <f>IFERROR(O67/O11,"")</f>
        <v/>
      </c>
      <c r="P68" s="23">
        <f>IFERROR(P67/P11,"")</f>
        <v/>
      </c>
      <c r="Q68" s="23">
        <f>IFERROR(Q67/Q11,"")</f>
        <v/>
      </c>
      <c r="R68" s="23">
        <f>IFERROR(R67/R11,"")</f>
        <v/>
      </c>
      <c r="S68" s="23">
        <f>IFERROR(S67/S11,"")</f>
        <v/>
      </c>
      <c r="T68" s="23">
        <f>IFERROR(T67/T11,"")</f>
        <v/>
      </c>
      <c r="U68" s="23">
        <f>IFERROR(U67/U11,"")</f>
        <v/>
      </c>
      <c r="V68" s="23">
        <f>IFERROR(V67/V11,"")</f>
        <v/>
      </c>
      <c r="W68" s="23">
        <f>IFERROR(W67/W11,"")</f>
        <v/>
      </c>
      <c r="X68" s="23">
        <f>IFERROR(X67/X11,"")</f>
        <v/>
      </c>
      <c r="Y68" s="23">
        <f>IFERROR(Y67/Y11,"")</f>
        <v/>
      </c>
      <c r="Z68" s="23">
        <f>IFERROR(Z67/Z11,"")</f>
        <v/>
      </c>
      <c r="AA68" s="23">
        <f>IFERROR(AA67/AA11,"")</f>
        <v/>
      </c>
      <c r="AB68" s="19" t="n"/>
      <c r="AC68" s="23" t="n"/>
      <c r="AD68" s="23" t="n"/>
      <c r="AE68" s="23" t="n"/>
      <c r="AF68" s="23">
        <f>IFERROR(AF67/AF11,"")</f>
        <v/>
      </c>
      <c r="AG68" s="23">
        <f>IFERROR(AG67/AG11,"")</f>
        <v/>
      </c>
      <c r="AH68" s="23">
        <f>IFERROR(AH67/AH11,"")</f>
        <v/>
      </c>
      <c r="AI68" s="23">
        <f>IFERROR(AI67/AI11,"")</f>
        <v/>
      </c>
      <c r="AJ68" s="23">
        <f>IFERROR(AJ67/AJ11,"")</f>
        <v/>
      </c>
    </row>
    <row r="69">
      <c r="A69" s="20" t="inlineStr">
        <is>
          <t>Number of owned brands (House of Nykaa)</t>
        </is>
      </c>
      <c r="B69" s="21" t="inlineStr">
        <is>
          <t>#</t>
        </is>
      </c>
      <c r="C69" s="22" t="inlineStr">
        <is>
          <t>House of Nykaa</t>
        </is>
      </c>
      <c r="D69" s="69" t="n">
        <v>7</v>
      </c>
      <c r="E69" s="69" t="n">
        <v>8</v>
      </c>
      <c r="F69" s="69" t="n">
        <v>9</v>
      </c>
      <c r="G69" s="69" t="n">
        <v>10</v>
      </c>
      <c r="H69" s="69" t="n">
        <v>10</v>
      </c>
      <c r="I69" s="69" t="n">
        <v>10</v>
      </c>
      <c r="J69" s="69" t="n">
        <v>10</v>
      </c>
      <c r="K69" s="69" t="n">
        <v>12</v>
      </c>
      <c r="L69" s="69" t="n">
        <v>13</v>
      </c>
      <c r="M69" s="69" t="n"/>
      <c r="N69" s="69" t="n"/>
      <c r="O69" s="69" t="n"/>
      <c r="P69" s="69" t="n"/>
      <c r="Q69" s="69" t="n"/>
      <c r="R69" s="69" t="n"/>
      <c r="S69" s="69" t="n"/>
      <c r="T69" s="69" t="n"/>
      <c r="U69" s="69" t="n"/>
      <c r="V69" s="69" t="n"/>
      <c r="W69" s="69" t="n"/>
      <c r="X69" s="69" t="n"/>
      <c r="Y69" s="69" t="n"/>
      <c r="Z69" s="69" t="n"/>
      <c r="AA69" s="69" t="n"/>
      <c r="AB69" s="19" t="n"/>
      <c r="AC69" s="41" t="n"/>
      <c r="AD69" s="41" t="n"/>
      <c r="AE69" s="41" t="n"/>
      <c r="AF69" s="41">
        <f>IF(G69="","",G69)</f>
        <v/>
      </c>
      <c r="AG69" s="41">
        <f>IF(K69="","",K69)</f>
        <v/>
      </c>
      <c r="AH69" s="41">
        <f>IF(O69="","",O69)</f>
        <v/>
      </c>
      <c r="AI69" s="41">
        <f>IF(S69="","",S69)</f>
        <v/>
      </c>
      <c r="AJ69" s="41">
        <f>IF(W69="","",W69)</f>
        <v/>
      </c>
    </row>
    <row r="70">
      <c r="AB70" s="19" t="n"/>
    </row>
    <row r="71">
      <c r="A71" s="5" t="inlineStr">
        <is>
          <t>eB2B: Superstore by Nykaa</t>
        </is>
      </c>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44" t="n"/>
      <c r="AC71" s="5" t="n"/>
      <c r="AD71" s="5" t="n"/>
      <c r="AE71" s="5" t="n"/>
      <c r="AF71" s="5" t="n"/>
      <c r="AG71" s="5" t="n"/>
      <c r="AH71" s="5" t="n"/>
      <c r="AI71" s="5" t="n"/>
      <c r="AJ71" s="5" t="n"/>
    </row>
    <row r="72">
      <c r="A72" s="17" t="inlineStr">
        <is>
          <t>B2B distribution platform selling to offline beauty retailers. Cost breakdown not separately disclosed as of this build -- Nykaa has so far only given qualitative bps commentary; revisit once/if a full P&amp;L split is disclosed.</t>
        </is>
      </c>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45" t="n"/>
      <c r="AC72" s="17" t="n"/>
      <c r="AD72" s="17" t="n"/>
      <c r="AE72" s="17" t="n"/>
      <c r="AF72" s="17" t="n"/>
      <c r="AG72" s="17" t="n"/>
      <c r="AH72" s="17" t="n"/>
      <c r="AI72" s="17" t="n"/>
      <c r="AJ72" s="17" t="n"/>
    </row>
    <row r="73">
      <c r="A73" s="20" t="inlineStr">
        <is>
          <t>GMV</t>
        </is>
      </c>
      <c r="B73" s="21" t="inlineStr">
        <is>
          <t>Rs Mn</t>
        </is>
      </c>
      <c r="C73" s="22" t="inlineStr">
        <is>
          <t>eB2B: Superstore by Nykaa</t>
        </is>
      </c>
      <c r="D73" s="65" t="n"/>
      <c r="E73" s="65" t="n"/>
      <c r="F73" s="65" t="n"/>
      <c r="G73" s="65" t="n">
        <v>214</v>
      </c>
      <c r="H73" s="65" t="n"/>
      <c r="I73" s="65" t="n"/>
      <c r="J73" s="65" t="n">
        <v>1012</v>
      </c>
      <c r="K73" s="65" t="n"/>
      <c r="L73" s="65" t="n"/>
      <c r="M73" s="65" t="n"/>
      <c r="N73" s="65" t="n">
        <v>1700</v>
      </c>
      <c r="O73" s="65" t="n"/>
      <c r="P73" s="65" t="n"/>
      <c r="Q73" s="65" t="n"/>
      <c r="R73" s="65" t="n">
        <v>2597</v>
      </c>
      <c r="S73" s="65" t="n"/>
      <c r="T73" s="65" t="n"/>
      <c r="U73" s="65" t="n"/>
      <c r="V73" s="65" t="n"/>
      <c r="W73" s="65" t="n"/>
      <c r="X73" s="65" t="n"/>
      <c r="Y73" s="65" t="n"/>
      <c r="Z73" s="65" t="n"/>
      <c r="AA73" s="65" t="n"/>
      <c r="AB73" s="19" t="n"/>
      <c r="AC73" s="66" t="n"/>
      <c r="AD73" s="66" t="n"/>
      <c r="AE73" s="66" t="n"/>
      <c r="AF73" s="66">
        <f>IF(COUNT(D73:G73)=0,"",SUM(D73:G73))</f>
        <v/>
      </c>
      <c r="AG73" s="66">
        <f>IF(COUNT(H73:K73)=0,"",SUM(H73:K73))</f>
        <v/>
      </c>
      <c r="AH73" s="66">
        <f>IF(COUNT(L73:O73)=0,"",SUM(L73:O73))</f>
        <v/>
      </c>
      <c r="AI73" s="66">
        <f>IF(COUNT(P73:S73)=0,"",SUM(P73:S73))</f>
        <v/>
      </c>
      <c r="AJ73" s="66">
        <f>IF(COUNT(T73:W73)=0,"",SUM(T73:W73))</f>
        <v/>
      </c>
    </row>
    <row r="74">
      <c r="A74" s="20" t="inlineStr">
        <is>
          <t xml:space="preserve">  YoY growth</t>
        </is>
      </c>
      <c r="B74" s="21" t="inlineStr">
        <is>
          <t>%</t>
        </is>
      </c>
      <c r="C74" s="22" t="n"/>
      <c r="D74" s="64" t="n"/>
      <c r="E74" s="64" t="n"/>
      <c r="F74" s="64" t="n"/>
      <c r="G74" s="64" t="n"/>
      <c r="H74" s="23">
        <f>IFERROR(H73/D73-1,"")</f>
        <v/>
      </c>
      <c r="I74" s="23">
        <f>IFERROR(I73/E73-1,"")</f>
        <v/>
      </c>
      <c r="J74" s="23">
        <f>IFERROR(J73/F73-1,"")</f>
        <v/>
      </c>
      <c r="K74" s="23">
        <f>IFERROR(K73/G73-1,"")</f>
        <v/>
      </c>
      <c r="L74" s="23">
        <f>IFERROR(L73/H73-1,"")</f>
        <v/>
      </c>
      <c r="M74" s="23">
        <f>IFERROR(M73/I73-1,"")</f>
        <v/>
      </c>
      <c r="N74" s="23">
        <f>IFERROR(N73/J73-1,"")</f>
        <v/>
      </c>
      <c r="O74" s="23">
        <f>IFERROR(O73/K73-1,"")</f>
        <v/>
      </c>
      <c r="P74" s="23">
        <f>IFERROR(P73/L73-1,"")</f>
        <v/>
      </c>
      <c r="Q74" s="23">
        <f>IFERROR(Q73/M73-1,"")</f>
        <v/>
      </c>
      <c r="R74" s="23">
        <f>IFERROR(R73/N73-1,"")</f>
        <v/>
      </c>
      <c r="S74" s="23">
        <f>IFERROR(S73/O73-1,"")</f>
        <v/>
      </c>
      <c r="T74" s="23">
        <f>IFERROR(T73/P73-1,"")</f>
        <v/>
      </c>
      <c r="U74" s="23">
        <f>IFERROR(U73/Q73-1,"")</f>
        <v/>
      </c>
      <c r="V74" s="23">
        <f>IFERROR(V73/R73-1,"")</f>
        <v/>
      </c>
      <c r="W74" s="23">
        <f>IFERROR(W73/S73-1,"")</f>
        <v/>
      </c>
      <c r="X74" s="23">
        <f>IFERROR(X73/T73-1,"")</f>
        <v/>
      </c>
      <c r="Y74" s="23">
        <f>IFERROR(Y73/U73-1,"")</f>
        <v/>
      </c>
      <c r="Z74" s="23">
        <f>IFERROR(Z73/V73-1,"")</f>
        <v/>
      </c>
      <c r="AA74" s="23">
        <f>IFERROR(AA73/W73-1,"")</f>
        <v/>
      </c>
      <c r="AB74" s="19" t="n"/>
      <c r="AC74" s="64" t="n"/>
      <c r="AD74" s="64" t="n"/>
      <c r="AE74" s="64" t="n"/>
      <c r="AF74" s="23">
        <f>IFERROR(AF73/AE73-1,"")</f>
        <v/>
      </c>
      <c r="AG74" s="23">
        <f>IFERROR(AG73/AF73-1,"")</f>
        <v/>
      </c>
      <c r="AH74" s="23">
        <f>IFERROR(AH73/AG73-1,"")</f>
        <v/>
      </c>
      <c r="AI74" s="23">
        <f>IFERROR(AI73/AH73-1,"")</f>
        <v/>
      </c>
      <c r="AJ74" s="23">
        <f>IFERROR(AJ73/AI73-1,"")</f>
        <v/>
      </c>
    </row>
    <row r="75">
      <c r="A75" s="20" t="inlineStr">
        <is>
          <t>NSV</t>
        </is>
      </c>
      <c r="B75" s="21" t="inlineStr">
        <is>
          <t>Rs Mn</t>
        </is>
      </c>
      <c r="C75" s="22" t="inlineStr">
        <is>
          <t>eB2B: Superstore by Nykaa</t>
        </is>
      </c>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c r="AA75" s="65" t="n"/>
      <c r="AB75" s="19" t="n"/>
      <c r="AC75" s="66" t="n"/>
      <c r="AD75" s="66" t="n"/>
      <c r="AE75" s="66" t="n"/>
      <c r="AF75" s="66">
        <f>IF(COUNT(D75:G75)=0,"",SUM(D75:G75))</f>
        <v/>
      </c>
      <c r="AG75" s="66">
        <f>IF(COUNT(H75:K75)=0,"",SUM(H75:K75))</f>
        <v/>
      </c>
      <c r="AH75" s="66">
        <f>IF(COUNT(L75:O75)=0,"",SUM(L75:O75))</f>
        <v/>
      </c>
      <c r="AI75" s="66">
        <f>IF(COUNT(P75:S75)=0,"",SUM(P75:S75))</f>
        <v/>
      </c>
      <c r="AJ75" s="66">
        <f>IF(COUNT(T75:W75)=0,"",SUM(T75:W75))</f>
        <v/>
      </c>
    </row>
    <row r="76">
      <c r="A76" s="20" t="inlineStr">
        <is>
          <t xml:space="preserve">  Contribution to Beauty GMV</t>
        </is>
      </c>
      <c r="B76" s="21" t="inlineStr">
        <is>
          <t>%</t>
        </is>
      </c>
      <c r="C76" s="22" t="n"/>
      <c r="D76" s="23">
        <f>IFERROR(D73/D39,"")</f>
        <v/>
      </c>
      <c r="E76" s="23">
        <f>IFERROR(E73/E39,"")</f>
        <v/>
      </c>
      <c r="F76" s="23">
        <f>IFERROR(F73/F39,"")</f>
        <v/>
      </c>
      <c r="G76" s="23">
        <f>IFERROR(G73/G39,"")</f>
        <v/>
      </c>
      <c r="H76" s="23">
        <f>IFERROR(H73/H39,"")</f>
        <v/>
      </c>
      <c r="I76" s="23">
        <f>IFERROR(I73/I39,"")</f>
        <v/>
      </c>
      <c r="J76" s="23">
        <f>IFERROR(J73/J39,"")</f>
        <v/>
      </c>
      <c r="K76" s="23">
        <f>IFERROR(K73/K39,"")</f>
        <v/>
      </c>
      <c r="L76" s="23">
        <f>IFERROR(L73/L39,"")</f>
        <v/>
      </c>
      <c r="M76" s="23">
        <f>IFERROR(M73/M39,"")</f>
        <v/>
      </c>
      <c r="N76" s="23">
        <f>IFERROR(N73/N39,"")</f>
        <v/>
      </c>
      <c r="O76" s="23">
        <f>IFERROR(O73/O39,"")</f>
        <v/>
      </c>
      <c r="P76" s="23">
        <f>IFERROR(P73/P39,"")</f>
        <v/>
      </c>
      <c r="Q76" s="23">
        <f>IFERROR(Q73/Q39,"")</f>
        <v/>
      </c>
      <c r="R76" s="23">
        <f>IFERROR(R73/R39,"")</f>
        <v/>
      </c>
      <c r="S76" s="23">
        <f>IFERROR(S73/S39,"")</f>
        <v/>
      </c>
      <c r="T76" s="23">
        <f>IFERROR(T73/T39,"")</f>
        <v/>
      </c>
      <c r="U76" s="23">
        <f>IFERROR(U73/U39,"")</f>
        <v/>
      </c>
      <c r="V76" s="23">
        <f>IFERROR(V73/V39,"")</f>
        <v/>
      </c>
      <c r="W76" s="23">
        <f>IFERROR(W73/W39,"")</f>
        <v/>
      </c>
      <c r="X76" s="23">
        <f>IFERROR(X73/X39,"")</f>
        <v/>
      </c>
      <c r="Y76" s="23">
        <f>IFERROR(Y73/Y39,"")</f>
        <v/>
      </c>
      <c r="Z76" s="23">
        <f>IFERROR(Z73/Z39,"")</f>
        <v/>
      </c>
      <c r="AA76" s="23">
        <f>IFERROR(AA73/AA39,"")</f>
        <v/>
      </c>
      <c r="AB76" s="19" t="n"/>
      <c r="AC76" s="23" t="n"/>
      <c r="AD76" s="23" t="n"/>
      <c r="AE76" s="23" t="n"/>
      <c r="AF76" s="23">
        <f>IFERROR(AF73/AF39,"")</f>
        <v/>
      </c>
      <c r="AG76" s="23">
        <f>IFERROR(AG73/AG39,"")</f>
        <v/>
      </c>
      <c r="AH76" s="23">
        <f>IFERROR(AH73/AH39,"")</f>
        <v/>
      </c>
      <c r="AI76" s="23">
        <f>IFERROR(AI73/AI39,"")</f>
        <v/>
      </c>
      <c r="AJ76" s="23">
        <f>IFERROR(AJ73/AJ39,"")</f>
        <v/>
      </c>
    </row>
    <row r="77">
      <c r="A77" s="9" t="inlineStr">
        <is>
          <t xml:space="preserve">  Beauty (ex-SuperStore) -- derived, not directly disclosed since 4Q24</t>
        </is>
      </c>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46" t="n"/>
      <c r="AC77" s="9" t="n"/>
      <c r="AD77" s="9" t="n"/>
      <c r="AE77" s="9" t="n"/>
      <c r="AF77" s="9" t="n"/>
      <c r="AG77" s="9" t="n"/>
      <c r="AH77" s="9" t="n"/>
      <c r="AI77" s="9" t="n"/>
      <c r="AJ77" s="9" t="n"/>
    </row>
    <row r="78">
      <c r="A78" s="20" t="inlineStr">
        <is>
          <t xml:space="preserve">  Beauty (ex-SuperStore) GMV</t>
        </is>
      </c>
      <c r="B78" s="21" t="inlineStr">
        <is>
          <t>Rs Mn</t>
        </is>
      </c>
      <c r="C78" s="22" t="n"/>
      <c r="D78" s="66">
        <f>IF(OR(ISBLANK(D39),ISBLANK(D73)),"",IFERROR(D39-D73,""))</f>
        <v/>
      </c>
      <c r="E78" s="66">
        <f>IF(OR(ISBLANK(E39),ISBLANK(E73)),"",IFERROR(E39-E73,""))</f>
        <v/>
      </c>
      <c r="F78" s="66">
        <f>IF(OR(ISBLANK(F39),ISBLANK(F73)),"",IFERROR(F39-F73,""))</f>
        <v/>
      </c>
      <c r="G78" s="66">
        <f>IF(OR(ISBLANK(G39),ISBLANK(G73)),"",IFERROR(G39-G73,""))</f>
        <v/>
      </c>
      <c r="H78" s="66">
        <f>IF(OR(ISBLANK(H39),ISBLANK(H73)),"",IFERROR(H39-H73,""))</f>
        <v/>
      </c>
      <c r="I78" s="66">
        <f>IF(OR(ISBLANK(I39),ISBLANK(I73)),"",IFERROR(I39-I73,""))</f>
        <v/>
      </c>
      <c r="J78" s="66">
        <f>IF(OR(ISBLANK(J39),ISBLANK(J73)),"",IFERROR(J39-J73,""))</f>
        <v/>
      </c>
      <c r="K78" s="66">
        <f>IF(OR(ISBLANK(K39),ISBLANK(K73)),"",IFERROR(K39-K73,""))</f>
        <v/>
      </c>
      <c r="L78" s="66">
        <f>IF(OR(ISBLANK(L39),ISBLANK(L73)),"",IFERROR(L39-L73,""))</f>
        <v/>
      </c>
      <c r="M78" s="66">
        <f>IF(OR(ISBLANK(M39),ISBLANK(M73)),"",IFERROR(M39-M73,""))</f>
        <v/>
      </c>
      <c r="N78" s="66">
        <f>IF(OR(ISBLANK(N39),ISBLANK(N73)),"",IFERROR(N39-N73,""))</f>
        <v/>
      </c>
      <c r="O78" s="66">
        <f>IF(OR(ISBLANK(O39),ISBLANK(O73)),"",IFERROR(O39-O73,""))</f>
        <v/>
      </c>
      <c r="P78" s="66">
        <f>IF(OR(ISBLANK(P39),ISBLANK(P73)),"",IFERROR(P39-P73,""))</f>
        <v/>
      </c>
      <c r="Q78" s="66">
        <f>IF(OR(ISBLANK(Q39),ISBLANK(Q73)),"",IFERROR(Q39-Q73,""))</f>
        <v/>
      </c>
      <c r="R78" s="66">
        <f>IF(OR(ISBLANK(R39),ISBLANK(R73)),"",IFERROR(R39-R73,""))</f>
        <v/>
      </c>
      <c r="S78" s="66">
        <f>IF(OR(ISBLANK(S39),ISBLANK(S73)),"",IFERROR(S39-S73,""))</f>
        <v/>
      </c>
      <c r="T78" s="66">
        <f>IF(OR(ISBLANK(T39),ISBLANK(T73)),"",IFERROR(T39-T73,""))</f>
        <v/>
      </c>
      <c r="U78" s="66">
        <f>IF(OR(ISBLANK(U39),ISBLANK(U73)),"",IFERROR(U39-U73,""))</f>
        <v/>
      </c>
      <c r="V78" s="66">
        <f>IF(OR(ISBLANK(V39),ISBLANK(V73)),"",IFERROR(V39-V73,""))</f>
        <v/>
      </c>
      <c r="W78" s="66">
        <f>IF(OR(ISBLANK(W39),ISBLANK(W73)),"",IFERROR(W39-W73,""))</f>
        <v/>
      </c>
      <c r="X78" s="66">
        <f>IF(OR(ISBLANK(X39),ISBLANK(X73)),"",IFERROR(X39-X73,""))</f>
        <v/>
      </c>
      <c r="Y78" s="66">
        <f>IF(OR(ISBLANK(Y39),ISBLANK(Y73)),"",IFERROR(Y39-Y73,""))</f>
        <v/>
      </c>
      <c r="Z78" s="66">
        <f>IF(OR(ISBLANK(Z39),ISBLANK(Z73)),"",IFERROR(Z39-Z73,""))</f>
        <v/>
      </c>
      <c r="AA78" s="66">
        <f>IF(OR(ISBLANK(AA39),ISBLANK(AA73)),"",IFERROR(AA39-AA73,""))</f>
        <v/>
      </c>
      <c r="AB78" s="19" t="n"/>
      <c r="AC78" s="66" t="n"/>
      <c r="AD78" s="66" t="n"/>
      <c r="AE78" s="66" t="n"/>
      <c r="AF78" s="66">
        <f>IF(OR(ISBLANK(AF39),ISBLANK(AF73)),"",IFERROR(AF39-AF73,""))</f>
        <v/>
      </c>
      <c r="AG78" s="66">
        <f>IF(OR(ISBLANK(AG39),ISBLANK(AG73)),"",IFERROR(AG39-AG73,""))</f>
        <v/>
      </c>
      <c r="AH78" s="66">
        <f>IF(OR(ISBLANK(AH39),ISBLANK(AH73)),"",IFERROR(AH39-AH73,""))</f>
        <v/>
      </c>
      <c r="AI78" s="66">
        <f>IF(OR(ISBLANK(AI39),ISBLANK(AI73)),"",IFERROR(AI39-AI73,""))</f>
        <v/>
      </c>
      <c r="AJ78" s="66">
        <f>IF(OR(ISBLANK(AJ39),ISBLANK(AJ73)),"",IFERROR(AJ39-AJ73,""))</f>
        <v/>
      </c>
    </row>
    <row r="79">
      <c r="A79" s="20" t="inlineStr">
        <is>
          <t xml:space="preserve">  Beauty (ex-SuperStore) NSV</t>
        </is>
      </c>
      <c r="B79" s="21" t="inlineStr">
        <is>
          <t>Rs Mn</t>
        </is>
      </c>
      <c r="C79" s="22" t="n"/>
      <c r="D79" s="66">
        <f>IF(OR(ISBLANK(D42),ISBLANK(D75)),"",IFERROR(D42-D75,""))</f>
        <v/>
      </c>
      <c r="E79" s="66">
        <f>IF(OR(ISBLANK(E42),ISBLANK(E75)),"",IFERROR(E42-E75,""))</f>
        <v/>
      </c>
      <c r="F79" s="66">
        <f>IF(OR(ISBLANK(F42),ISBLANK(F75)),"",IFERROR(F42-F75,""))</f>
        <v/>
      </c>
      <c r="G79" s="66">
        <f>IF(OR(ISBLANK(G42),ISBLANK(G75)),"",IFERROR(G42-G75,""))</f>
        <v/>
      </c>
      <c r="H79" s="66">
        <f>IF(OR(ISBLANK(H42),ISBLANK(H75)),"",IFERROR(H42-H75,""))</f>
        <v/>
      </c>
      <c r="I79" s="66">
        <f>IF(OR(ISBLANK(I42),ISBLANK(I75)),"",IFERROR(I42-I75,""))</f>
        <v/>
      </c>
      <c r="J79" s="66">
        <f>IF(OR(ISBLANK(J42),ISBLANK(J75)),"",IFERROR(J42-J75,""))</f>
        <v/>
      </c>
      <c r="K79" s="66">
        <f>IF(OR(ISBLANK(K42),ISBLANK(K75)),"",IFERROR(K42-K75,""))</f>
        <v/>
      </c>
      <c r="L79" s="66">
        <f>IF(OR(ISBLANK(L42),ISBLANK(L75)),"",IFERROR(L42-L75,""))</f>
        <v/>
      </c>
      <c r="M79" s="66">
        <f>IF(OR(ISBLANK(M42),ISBLANK(M75)),"",IFERROR(M42-M75,""))</f>
        <v/>
      </c>
      <c r="N79" s="66">
        <f>IF(OR(ISBLANK(N42),ISBLANK(N75)),"",IFERROR(N42-N75,""))</f>
        <v/>
      </c>
      <c r="O79" s="66">
        <f>IF(OR(ISBLANK(O42),ISBLANK(O75)),"",IFERROR(O42-O75,""))</f>
        <v/>
      </c>
      <c r="P79" s="66">
        <f>IF(OR(ISBLANK(P42),ISBLANK(P75)),"",IFERROR(P42-P75,""))</f>
        <v/>
      </c>
      <c r="Q79" s="66">
        <f>IF(OR(ISBLANK(Q42),ISBLANK(Q75)),"",IFERROR(Q42-Q75,""))</f>
        <v/>
      </c>
      <c r="R79" s="66">
        <f>IF(OR(ISBLANK(R42),ISBLANK(R75)),"",IFERROR(R42-R75,""))</f>
        <v/>
      </c>
      <c r="S79" s="66">
        <f>IF(OR(ISBLANK(S42),ISBLANK(S75)),"",IFERROR(S42-S75,""))</f>
        <v/>
      </c>
      <c r="T79" s="66">
        <f>IF(OR(ISBLANK(T42),ISBLANK(T75)),"",IFERROR(T42-T75,""))</f>
        <v/>
      </c>
      <c r="U79" s="66">
        <f>IF(OR(ISBLANK(U42),ISBLANK(U75)),"",IFERROR(U42-U75,""))</f>
        <v/>
      </c>
      <c r="V79" s="66">
        <f>IF(OR(ISBLANK(V42),ISBLANK(V75)),"",IFERROR(V42-V75,""))</f>
        <v/>
      </c>
      <c r="W79" s="66">
        <f>IF(OR(ISBLANK(W42),ISBLANK(W75)),"",IFERROR(W42-W75,""))</f>
        <v/>
      </c>
      <c r="X79" s="66">
        <f>IF(OR(ISBLANK(X42),ISBLANK(X75)),"",IFERROR(X42-X75,""))</f>
        <v/>
      </c>
      <c r="Y79" s="66">
        <f>IF(OR(ISBLANK(Y42),ISBLANK(Y75)),"",IFERROR(Y42-Y75,""))</f>
        <v/>
      </c>
      <c r="Z79" s="66">
        <f>IF(OR(ISBLANK(Z42),ISBLANK(Z75)),"",IFERROR(Z42-Z75,""))</f>
        <v/>
      </c>
      <c r="AA79" s="66">
        <f>IF(OR(ISBLANK(AA42),ISBLANK(AA75)),"",IFERROR(AA42-AA75,""))</f>
        <v/>
      </c>
      <c r="AB79" s="19" t="n"/>
      <c r="AC79" s="66" t="n"/>
      <c r="AD79" s="66" t="n"/>
      <c r="AE79" s="66" t="n"/>
      <c r="AF79" s="66">
        <f>IF(OR(ISBLANK(AF42),ISBLANK(AF75)),"",IFERROR(AF42-AF75,""))</f>
        <v/>
      </c>
      <c r="AG79" s="66">
        <f>IF(OR(ISBLANK(AG42),ISBLANK(AG75)),"",IFERROR(AG42-AG75,""))</f>
        <v/>
      </c>
      <c r="AH79" s="66">
        <f>IF(OR(ISBLANK(AH42),ISBLANK(AH75)),"",IFERROR(AH42-AH75,""))</f>
        <v/>
      </c>
      <c r="AI79" s="66">
        <f>IF(OR(ISBLANK(AI42),ISBLANK(AI75)),"",IFERROR(AI42-AI75,""))</f>
        <v/>
      </c>
      <c r="AJ79" s="66">
        <f>IF(OR(ISBLANK(AJ42),ISBLANK(AJ75)),"",IFERROR(AJ42-AJ75,""))</f>
        <v/>
      </c>
    </row>
    <row r="80">
      <c r="A80" s="20" t="inlineStr">
        <is>
          <t>Transacting retailers</t>
        </is>
      </c>
      <c r="B80" s="21" t="inlineStr">
        <is>
          <t>#</t>
        </is>
      </c>
      <c r="C80" s="22" t="inlineStr">
        <is>
          <t>eB2B: Superstore by Nykaa</t>
        </is>
      </c>
      <c r="D80" s="69" t="n"/>
      <c r="E80" s="69" t="n"/>
      <c r="F80" s="69" t="n">
        <v>4153</v>
      </c>
      <c r="G80" s="69" t="n">
        <v>18806</v>
      </c>
      <c r="H80" s="69" t="n">
        <v>45030</v>
      </c>
      <c r="I80" s="69" t="n">
        <v>73412</v>
      </c>
      <c r="J80" s="69" t="n">
        <v>92415</v>
      </c>
      <c r="K80" s="69" t="n"/>
      <c r="L80" s="69" t="n">
        <v>119564</v>
      </c>
      <c r="M80" s="69" t="n">
        <v>129431</v>
      </c>
      <c r="N80" s="69" t="n">
        <v>146000</v>
      </c>
      <c r="O80" s="69" t="n"/>
      <c r="P80" s="69" t="n">
        <v>210000</v>
      </c>
      <c r="Q80" s="69" t="n">
        <v>235000</v>
      </c>
      <c r="R80" s="69" t="n">
        <v>256000</v>
      </c>
      <c r="S80" s="69" t="n">
        <v>276000</v>
      </c>
      <c r="T80" s="69" t="n">
        <v>305000</v>
      </c>
      <c r="U80" s="69" t="n">
        <v>332000</v>
      </c>
      <c r="V80" s="69" t="n">
        <v>359000</v>
      </c>
      <c r="W80" s="69" t="n"/>
      <c r="X80" s="69" t="n"/>
      <c r="Y80" s="69" t="n"/>
      <c r="Z80" s="69" t="n"/>
      <c r="AA80" s="69" t="n"/>
      <c r="AB80" s="19" t="n"/>
      <c r="AC80" s="41" t="n"/>
      <c r="AD80" s="41" t="n"/>
      <c r="AE80" s="41" t="n"/>
      <c r="AF80" s="41">
        <f>IF(G80="","",G80)</f>
        <v/>
      </c>
      <c r="AG80" s="41">
        <f>IF(K80="","",K80)</f>
        <v/>
      </c>
      <c r="AH80" s="41">
        <f>IF(O80="","",O80)</f>
        <v/>
      </c>
      <c r="AI80" s="41">
        <f>IF(S80="","",S80)</f>
        <v/>
      </c>
      <c r="AJ80" s="41">
        <f>IF(W80="","",W80)</f>
        <v/>
      </c>
    </row>
    <row r="81">
      <c r="A81" s="20" t="inlineStr">
        <is>
          <t xml:space="preserve">  Activation rate (% of registered retailers)</t>
        </is>
      </c>
      <c r="B81" s="21" t="inlineStr">
        <is>
          <t>%</t>
        </is>
      </c>
      <c r="C81" s="22" t="inlineStr">
        <is>
          <t>eB2B: Superstore by Nykaa</t>
        </is>
      </c>
      <c r="D81" s="24" t="n"/>
      <c r="E81" s="24" t="n"/>
      <c r="F81" s="24" t="n">
        <v>0.36</v>
      </c>
      <c r="G81" s="24" t="n">
        <v>0.46</v>
      </c>
      <c r="H81" s="24" t="n"/>
      <c r="I81" s="24" t="n"/>
      <c r="J81" s="24" t="n">
        <v>0.6899999999999999</v>
      </c>
      <c r="K81" s="24" t="n">
        <v>0.71</v>
      </c>
      <c r="L81" s="24" t="n"/>
      <c r="M81" s="24" t="n"/>
      <c r="N81" s="24" t="n"/>
      <c r="O81" s="24" t="n"/>
      <c r="P81" s="24" t="n"/>
      <c r="Q81" s="24" t="n"/>
      <c r="R81" s="24" t="n"/>
      <c r="S81" s="24" t="n"/>
      <c r="T81" s="24" t="n"/>
      <c r="U81" s="24" t="n"/>
      <c r="V81" s="24" t="n"/>
      <c r="W81" s="24" t="n"/>
      <c r="X81" s="24" t="n"/>
      <c r="Y81" s="24" t="n"/>
      <c r="Z81" s="24" t="n"/>
      <c r="AA81" s="24" t="n"/>
      <c r="AB81" s="19" t="n"/>
      <c r="AC81" s="23" t="n"/>
      <c r="AD81" s="23" t="n"/>
      <c r="AE81" s="23" t="n"/>
      <c r="AF81" s="23">
        <f>IF(G81="","",G81)</f>
        <v/>
      </c>
      <c r="AG81" s="23">
        <f>IF(K81="","",K81)</f>
        <v/>
      </c>
      <c r="AH81" s="23">
        <f>IF(O81="","",O81)</f>
        <v/>
      </c>
      <c r="AI81" s="23">
        <f>IF(S81="","",S81)</f>
        <v/>
      </c>
      <c r="AJ81" s="23">
        <f>IF(W81="","",W81)</f>
        <v/>
      </c>
    </row>
    <row r="82">
      <c r="A82" s="20" t="inlineStr">
        <is>
          <t>Cities</t>
        </is>
      </c>
      <c r="B82" s="21" t="inlineStr">
        <is>
          <t>#</t>
        </is>
      </c>
      <c r="C82" s="22" t="inlineStr">
        <is>
          <t>eB2B: Superstore by Nykaa</t>
        </is>
      </c>
      <c r="D82" s="69" t="n"/>
      <c r="E82" s="69" t="n"/>
      <c r="F82" s="69" t="n">
        <v>88</v>
      </c>
      <c r="G82" s="69" t="n">
        <v>302</v>
      </c>
      <c r="H82" s="69" t="n">
        <v>516</v>
      </c>
      <c r="I82" s="69" t="n">
        <v>659</v>
      </c>
      <c r="J82" s="69" t="n">
        <v>652</v>
      </c>
      <c r="K82" s="69" t="n">
        <v>700</v>
      </c>
      <c r="L82" s="69" t="n">
        <v>699</v>
      </c>
      <c r="M82" s="69" t="n">
        <v>770</v>
      </c>
      <c r="N82" s="69" t="n"/>
      <c r="O82" s="69" t="n"/>
      <c r="P82" s="69" t="n"/>
      <c r="Q82" s="69" t="n"/>
      <c r="R82" s="69" t="n">
        <v>1100</v>
      </c>
      <c r="S82" s="69" t="n">
        <v>1100</v>
      </c>
      <c r="T82" s="69" t="n"/>
      <c r="U82" s="69" t="n"/>
      <c r="V82" s="69" t="n"/>
      <c r="W82" s="69" t="n"/>
      <c r="X82" s="69" t="n"/>
      <c r="Y82" s="69" t="n"/>
      <c r="Z82" s="69" t="n"/>
      <c r="AA82" s="69" t="n"/>
      <c r="AB82" s="19" t="n"/>
      <c r="AC82" s="41" t="n"/>
      <c r="AD82" s="41" t="n"/>
      <c r="AE82" s="41" t="n"/>
      <c r="AF82" s="41">
        <f>IF(G82="","",G82)</f>
        <v/>
      </c>
      <c r="AG82" s="41">
        <f>IF(K82="","",K82)</f>
        <v/>
      </c>
      <c r="AH82" s="41">
        <f>IF(O82="","",O82)</f>
        <v/>
      </c>
      <c r="AI82" s="41">
        <f>IF(S82="","",S82)</f>
        <v/>
      </c>
      <c r="AJ82" s="41">
        <f>IF(W82="","",W82)</f>
        <v/>
      </c>
    </row>
    <row r="83">
      <c r="A83" s="20" t="inlineStr">
        <is>
          <t>Brands listed</t>
        </is>
      </c>
      <c r="B83" s="21" t="inlineStr">
        <is>
          <t>#</t>
        </is>
      </c>
      <c r="C83" s="22" t="inlineStr">
        <is>
          <t>eB2B: Superstore by Nykaa</t>
        </is>
      </c>
      <c r="D83" s="69" t="n"/>
      <c r="E83" s="69" t="n"/>
      <c r="F83" s="69" t="n">
        <v>31</v>
      </c>
      <c r="G83" s="69" t="n">
        <v>134</v>
      </c>
      <c r="H83" s="69" t="n">
        <v>165</v>
      </c>
      <c r="I83" s="69" t="n">
        <v>182</v>
      </c>
      <c r="J83" s="69" t="n">
        <v>185</v>
      </c>
      <c r="K83" s="69" t="n">
        <v>190</v>
      </c>
      <c r="L83" s="69" t="n">
        <v>188</v>
      </c>
      <c r="M83" s="69" t="n"/>
      <c r="N83" s="69" t="n"/>
      <c r="O83" s="69" t="n"/>
      <c r="P83" s="69" t="n"/>
      <c r="Q83" s="69" t="n"/>
      <c r="R83" s="69" t="n"/>
      <c r="S83" s="69" t="n"/>
      <c r="T83" s="69" t="n"/>
      <c r="U83" s="69" t="n"/>
      <c r="V83" s="69" t="n"/>
      <c r="W83" s="69" t="n"/>
      <c r="X83" s="69" t="n"/>
      <c r="Y83" s="69" t="n"/>
      <c r="Z83" s="69" t="n"/>
      <c r="AA83" s="69" t="n"/>
      <c r="AB83" s="19" t="n"/>
      <c r="AC83" s="41" t="n"/>
      <c r="AD83" s="41" t="n"/>
      <c r="AE83" s="41" t="n"/>
      <c r="AF83" s="41">
        <f>IF(G83="","",G83)</f>
        <v/>
      </c>
      <c r="AG83" s="41">
        <f>IF(K83="","",K83)</f>
        <v/>
      </c>
      <c r="AH83" s="41">
        <f>IF(O83="","",O83)</f>
        <v/>
      </c>
      <c r="AI83" s="41">
        <f>IF(S83="","",S83)</f>
        <v/>
      </c>
      <c r="AJ83" s="41">
        <f>IF(W83="","",W83)</f>
        <v/>
      </c>
    </row>
    <row r="84">
      <c r="A84" s="20" t="inlineStr">
        <is>
          <t>Orders</t>
        </is>
      </c>
      <c r="B84" s="21" t="inlineStr">
        <is>
          <t>'000</t>
        </is>
      </c>
      <c r="C84" s="22" t="inlineStr">
        <is>
          <t>eB2B: Superstore by Nykaa</t>
        </is>
      </c>
      <c r="D84" s="63" t="n"/>
      <c r="E84" s="63" t="n"/>
      <c r="F84" s="63" t="n">
        <v>8.800000000000001</v>
      </c>
      <c r="G84" s="63" t="n">
        <v>48.6</v>
      </c>
      <c r="H84" s="63" t="n">
        <v>103.7</v>
      </c>
      <c r="I84" s="63" t="n">
        <v>172.7</v>
      </c>
      <c r="J84" s="63" t="n">
        <v>216</v>
      </c>
      <c r="K84" s="63" t="n">
        <v>728.9</v>
      </c>
      <c r="L84" s="63" t="n">
        <v>263.9</v>
      </c>
      <c r="M84" s="63" t="n">
        <v>280</v>
      </c>
      <c r="N84" s="63" t="n">
        <v>337</v>
      </c>
      <c r="O84" s="63" t="n"/>
      <c r="P84" s="63" t="n"/>
      <c r="Q84" s="63" t="n">
        <v>406</v>
      </c>
      <c r="R84" s="63" t="n"/>
      <c r="S84" s="63" t="n"/>
      <c r="T84" s="63" t="n"/>
      <c r="U84" s="63" t="n"/>
      <c r="V84" s="63" t="n"/>
      <c r="W84" s="63" t="n"/>
      <c r="X84" s="63" t="n"/>
      <c r="Y84" s="63" t="n"/>
      <c r="Z84" s="63" t="n"/>
      <c r="AA84" s="63" t="n"/>
      <c r="AB84" s="19" t="n"/>
      <c r="AC84" s="36" t="n"/>
      <c r="AD84" s="36" t="n"/>
      <c r="AE84" s="36" t="n"/>
      <c r="AF84" s="36">
        <f>IF(COUNT(D84:G84)=0,"",SUM(D84:G84))</f>
        <v/>
      </c>
      <c r="AG84" s="36">
        <f>IF(COUNT(H84:K84)=0,"",SUM(H84:K84))</f>
        <v/>
      </c>
      <c r="AH84" s="36">
        <f>IF(COUNT(L84:O84)=0,"",SUM(L84:O84))</f>
        <v/>
      </c>
      <c r="AI84" s="36">
        <f>IF(COUNT(P84:S84)=0,"",SUM(P84:S84))</f>
        <v/>
      </c>
      <c r="AJ84" s="36">
        <f>IF(COUNT(T84:W84)=0,"",SUM(T84:W84))</f>
        <v/>
      </c>
    </row>
    <row r="85">
      <c r="AB85" s="19" t="n"/>
    </row>
    <row r="86">
      <c r="A86" s="5" t="inlineStr">
        <is>
          <t>Fashion</t>
        </is>
      </c>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44" t="n"/>
      <c r="AC86" s="5" t="n"/>
      <c r="AD86" s="5" t="n"/>
      <c r="AE86" s="5" t="n"/>
      <c r="AF86" s="5" t="n"/>
      <c r="AG86" s="5" t="n"/>
      <c r="AH86" s="5" t="n"/>
      <c r="AI86" s="5" t="n"/>
      <c r="AJ86" s="5" t="n"/>
    </row>
    <row r="87">
      <c r="A87" s="17" t="inlineStr">
        <is>
          <t>Definition: Nykaa Fashion + LBB + Nykaa Man Lifestyle</t>
        </is>
      </c>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45" t="n"/>
      <c r="AC87" s="17" t="n"/>
      <c r="AD87" s="17" t="n"/>
      <c r="AE87" s="17" t="n"/>
      <c r="AF87" s="17" t="n"/>
      <c r="AG87" s="17" t="n"/>
      <c r="AH87" s="17" t="n"/>
      <c r="AI87" s="17" t="n"/>
      <c r="AJ87" s="17" t="n"/>
    </row>
    <row r="88">
      <c r="A88" s="20" t="inlineStr">
        <is>
          <t>Number of visits</t>
        </is>
      </c>
      <c r="B88" s="21" t="inlineStr">
        <is>
          <t>mn</t>
        </is>
      </c>
      <c r="C88" s="22" t="inlineStr">
        <is>
          <t>Fashion</t>
        </is>
      </c>
      <c r="D88" s="63" t="n">
        <v>98</v>
      </c>
      <c r="E88" s="63" t="n">
        <v>115</v>
      </c>
      <c r="F88" s="63" t="n">
        <v>115</v>
      </c>
      <c r="G88" s="63" t="n">
        <v>113</v>
      </c>
      <c r="H88" s="63" t="n">
        <v>118</v>
      </c>
      <c r="I88" s="63" t="n">
        <v>122</v>
      </c>
      <c r="J88" s="63" t="n">
        <v>137</v>
      </c>
      <c r="K88" s="63" t="n">
        <v>127</v>
      </c>
      <c r="L88" s="63" t="n">
        <v>126</v>
      </c>
      <c r="M88" s="63" t="n">
        <v>145</v>
      </c>
      <c r="N88" s="63" t="n">
        <v>157</v>
      </c>
      <c r="O88" s="63" t="n">
        <v>144</v>
      </c>
      <c r="P88" s="63" t="n">
        <v>127</v>
      </c>
      <c r="Q88" s="63" t="n">
        <v>147</v>
      </c>
      <c r="R88" s="63" t="n">
        <v>169</v>
      </c>
      <c r="S88" s="63" t="n">
        <v>174</v>
      </c>
      <c r="T88" s="63" t="n">
        <v>165</v>
      </c>
      <c r="U88" s="63" t="n">
        <v>191</v>
      </c>
      <c r="V88" s="63" t="n">
        <v>221</v>
      </c>
      <c r="W88" s="63">
        <f>AJ88-SUM(T88:V88)</f>
        <v/>
      </c>
      <c r="X88" s="63" t="n"/>
      <c r="Y88" s="63" t="n"/>
      <c r="Z88" s="63" t="n"/>
      <c r="AA88" s="63" t="n"/>
      <c r="AB88" s="19" t="n"/>
      <c r="AC88" s="36" t="n"/>
      <c r="AD88" s="36" t="n"/>
      <c r="AE88" s="36" t="n"/>
      <c r="AF88" s="36">
        <f>IF(COUNT(D88:G88)=0,"",SUM(D88:G88))</f>
        <v/>
      </c>
      <c r="AG88" s="36">
        <f>IF(COUNT(H88:K88)=0,"",SUM(H88:K88))</f>
        <v/>
      </c>
      <c r="AH88" s="36">
        <f>IF(COUNT(L88:O88)=0,"",SUM(L88:O88))</f>
        <v/>
      </c>
      <c r="AI88" s="36">
        <f>IF(COUNT(P88:S88)=0,"",SUM(P88:S88))</f>
        <v/>
      </c>
      <c r="AJ88" s="67" t="n">
        <v>787</v>
      </c>
    </row>
    <row r="89">
      <c r="A89" s="20" t="inlineStr">
        <is>
          <t>Monthly average unique visitors</t>
        </is>
      </c>
      <c r="B89" s="21" t="inlineStr">
        <is>
          <t>mn</t>
        </is>
      </c>
      <c r="C89" s="22" t="inlineStr">
        <is>
          <t>Fashion</t>
        </is>
      </c>
      <c r="D89" s="63" t="n">
        <v>13.4</v>
      </c>
      <c r="E89" s="63" t="n">
        <v>16.2</v>
      </c>
      <c r="F89" s="63" t="n">
        <v>16.4</v>
      </c>
      <c r="G89" s="63" t="n">
        <v>16</v>
      </c>
      <c r="H89" s="63" t="n">
        <v>16.2</v>
      </c>
      <c r="I89" s="63" t="n">
        <v>16.4</v>
      </c>
      <c r="J89" s="63" t="n">
        <v>19.4</v>
      </c>
      <c r="K89" s="63" t="n">
        <v>17.3</v>
      </c>
      <c r="L89" s="63" t="n">
        <v>16.6</v>
      </c>
      <c r="M89" s="63" t="n">
        <v>17.6</v>
      </c>
      <c r="N89" s="63" t="n">
        <v>18.8</v>
      </c>
      <c r="O89" s="63" t="n">
        <v>17.4</v>
      </c>
      <c r="P89" s="63" t="n">
        <v>15.8</v>
      </c>
      <c r="Q89" s="63" t="n">
        <v>18.1</v>
      </c>
      <c r="R89" s="63" t="n">
        <v>20.5</v>
      </c>
      <c r="S89" s="63" t="n">
        <v>22.2</v>
      </c>
      <c r="T89" s="63" t="n">
        <v>20.4</v>
      </c>
      <c r="U89" s="63" t="n">
        <v>23.5</v>
      </c>
      <c r="V89" s="63" t="n">
        <v>27.7</v>
      </c>
      <c r="W89" s="63" t="n"/>
      <c r="X89" s="63" t="n"/>
      <c r="Y89" s="63" t="n"/>
      <c r="Z89" s="63" t="n"/>
      <c r="AA89" s="63" t="n"/>
      <c r="AB89" s="19" t="n"/>
      <c r="AC89" s="36" t="n"/>
      <c r="AD89" s="36" t="n"/>
      <c r="AE89" s="36" t="n"/>
      <c r="AF89" s="36">
        <f>IFERROR(AVERAGE(D89:G89),"")</f>
        <v/>
      </c>
      <c r="AG89" s="36">
        <f>IFERROR(AVERAGE(H89:K89),"")</f>
        <v/>
      </c>
      <c r="AH89" s="67" t="n">
        <v>17.6</v>
      </c>
      <c r="AI89" s="36">
        <f>IFERROR(AVERAGE(P89:S89),"")</f>
        <v/>
      </c>
      <c r="AJ89" s="67" t="n">
        <v>24.2</v>
      </c>
    </row>
    <row r="90">
      <c r="A90" s="20" t="inlineStr">
        <is>
          <t xml:space="preserve">  Conversion - orders/visits</t>
        </is>
      </c>
      <c r="B90" s="21" t="inlineStr">
        <is>
          <t>%</t>
        </is>
      </c>
      <c r="C90" s="22" t="n"/>
      <c r="D90" s="23">
        <f>IFERROR(D94/D88,"")</f>
        <v/>
      </c>
      <c r="E90" s="23">
        <f>IFERROR(E94/E88,"")</f>
        <v/>
      </c>
      <c r="F90" s="23">
        <f>IFERROR(F94/F88,"")</f>
        <v/>
      </c>
      <c r="G90" s="23">
        <f>IFERROR(G94/G88,"")</f>
        <v/>
      </c>
      <c r="H90" s="23">
        <f>IFERROR(H94/H88,"")</f>
        <v/>
      </c>
      <c r="I90" s="23">
        <f>IFERROR(I94/I88,"")</f>
        <v/>
      </c>
      <c r="J90" s="23">
        <f>IFERROR(J94/J88,"")</f>
        <v/>
      </c>
      <c r="K90" s="23">
        <f>IFERROR(K94/K88,"")</f>
        <v/>
      </c>
      <c r="L90" s="23">
        <f>IFERROR(L94/L88,"")</f>
        <v/>
      </c>
      <c r="M90" s="23">
        <f>IFERROR(M94/M88,"")</f>
        <v/>
      </c>
      <c r="N90" s="23">
        <f>IFERROR(N94/N88,"")</f>
        <v/>
      </c>
      <c r="O90" s="23">
        <f>IFERROR(O94/O88,"")</f>
        <v/>
      </c>
      <c r="P90" s="23">
        <f>IFERROR(P94/P88,"")</f>
        <v/>
      </c>
      <c r="Q90" s="23">
        <f>IFERROR(Q94/Q88,"")</f>
        <v/>
      </c>
      <c r="R90" s="23">
        <f>IFERROR(R94/R88,"")</f>
        <v/>
      </c>
      <c r="S90" s="23">
        <f>IFERROR(S94/S88,"")</f>
        <v/>
      </c>
      <c r="T90" s="23">
        <f>IFERROR(T94/T88,"")</f>
        <v/>
      </c>
      <c r="U90" s="23">
        <f>IFERROR(U94/U88,"")</f>
        <v/>
      </c>
      <c r="V90" s="23">
        <f>IFERROR(V94/V88,"")</f>
        <v/>
      </c>
      <c r="W90" s="23">
        <f>IFERROR(W94/W88,"")</f>
        <v/>
      </c>
      <c r="X90" s="23">
        <f>IFERROR(X94/X88,"")</f>
        <v/>
      </c>
      <c r="Y90" s="23">
        <f>IFERROR(Y94/Y88,"")</f>
        <v/>
      </c>
      <c r="Z90" s="23">
        <f>IFERROR(Z94/Z88,"")</f>
        <v/>
      </c>
      <c r="AA90" s="23">
        <f>IFERROR(AA94/AA88,"")</f>
        <v/>
      </c>
      <c r="AB90" s="19" t="n"/>
      <c r="AC90" s="23" t="n"/>
      <c r="AD90" s="23" t="n"/>
      <c r="AE90" s="23" t="n"/>
      <c r="AF90" s="23">
        <f>IFERROR(AF94/AF88,"")</f>
        <v/>
      </c>
      <c r="AG90" s="23">
        <f>IFERROR(AG94/AG88,"")</f>
        <v/>
      </c>
      <c r="AH90" s="23">
        <f>IFERROR(AH94/AH88,"")</f>
        <v/>
      </c>
      <c r="AI90" s="23">
        <f>IFERROR(AI94/AI88,"")</f>
        <v/>
      </c>
      <c r="AJ90" s="23">
        <f>IFERROR(AJ94/AJ88,"")</f>
        <v/>
      </c>
    </row>
    <row r="91">
      <c r="A91" s="20" t="inlineStr">
        <is>
          <t xml:space="preserve">  Conversion - transacting customers/visits</t>
        </is>
      </c>
      <c r="B91" s="21" t="inlineStr">
        <is>
          <t>%</t>
        </is>
      </c>
      <c r="C91" s="22" t="n"/>
      <c r="D91" s="23">
        <f>IFERROR(D92/D88,"")</f>
        <v/>
      </c>
      <c r="E91" s="23">
        <f>IFERROR(E92/E88,"")</f>
        <v/>
      </c>
      <c r="F91" s="23">
        <f>IFERROR(F92/F88,"")</f>
        <v/>
      </c>
      <c r="G91" s="23">
        <f>IFERROR(G92/G88,"")</f>
        <v/>
      </c>
      <c r="H91" s="23">
        <f>IFERROR(H92/H88,"")</f>
        <v/>
      </c>
      <c r="I91" s="23">
        <f>IFERROR(I92/I88,"")</f>
        <v/>
      </c>
      <c r="J91" s="23">
        <f>IFERROR(J92/J88,"")</f>
        <v/>
      </c>
      <c r="K91" s="23">
        <f>IFERROR(K92/K88,"")</f>
        <v/>
      </c>
      <c r="L91" s="23">
        <f>IFERROR(L92/L88,"")</f>
        <v/>
      </c>
      <c r="M91" s="23">
        <f>IFERROR(M92/M88,"")</f>
        <v/>
      </c>
      <c r="N91" s="23">
        <f>IFERROR(N92/N88,"")</f>
        <v/>
      </c>
      <c r="O91" s="23">
        <f>IFERROR(O92/O88,"")</f>
        <v/>
      </c>
      <c r="P91" s="23">
        <f>IFERROR(P92/P88,"")</f>
        <v/>
      </c>
      <c r="Q91" s="23">
        <f>IFERROR(Q92/Q88,"")</f>
        <v/>
      </c>
      <c r="R91" s="23">
        <f>IFERROR(R92/R88,"")</f>
        <v/>
      </c>
      <c r="S91" s="23">
        <f>IFERROR(S92/S88,"")</f>
        <v/>
      </c>
      <c r="T91" s="23">
        <f>IFERROR(T92/T88,"")</f>
        <v/>
      </c>
      <c r="U91" s="23">
        <f>IFERROR(U92/U88,"")</f>
        <v/>
      </c>
      <c r="V91" s="23">
        <f>IFERROR(V92/V88,"")</f>
        <v/>
      </c>
      <c r="W91" s="23">
        <f>IFERROR(W92/W88,"")</f>
        <v/>
      </c>
      <c r="X91" s="23">
        <f>IFERROR(X92/X88,"")</f>
        <v/>
      </c>
      <c r="Y91" s="23">
        <f>IFERROR(Y92/Y88,"")</f>
        <v/>
      </c>
      <c r="Z91" s="23">
        <f>IFERROR(Z92/Z88,"")</f>
        <v/>
      </c>
      <c r="AA91" s="23">
        <f>IFERROR(AA92/AA88,"")</f>
        <v/>
      </c>
      <c r="AB91" s="19" t="n"/>
      <c r="AC91" s="23" t="n"/>
      <c r="AD91" s="23" t="n"/>
      <c r="AE91" s="23" t="n"/>
      <c r="AF91" s="23">
        <f>IFERROR(AF92/AF88,"")</f>
        <v/>
      </c>
      <c r="AG91" s="23">
        <f>IFERROR(AG92/AG88,"")</f>
        <v/>
      </c>
      <c r="AH91" s="23">
        <f>IFERROR(AH92/AH88,"")</f>
        <v/>
      </c>
      <c r="AI91" s="23">
        <f>IFERROR(AI92/AI88,"")</f>
        <v/>
      </c>
      <c r="AJ91" s="23">
        <f>IFERROR(AJ92/AJ88,"")</f>
        <v/>
      </c>
    </row>
    <row r="92" customFormat="1" s="31">
      <c r="A92" s="25" t="inlineStr">
        <is>
          <t>Annual transacting customers</t>
        </is>
      </c>
      <c r="B92" s="26" t="inlineStr">
        <is>
          <t>mn</t>
        </is>
      </c>
      <c r="C92" s="27" t="inlineStr">
        <is>
          <t>Fashion</t>
        </is>
      </c>
      <c r="D92" s="63" t="n">
        <v>1</v>
      </c>
      <c r="E92" s="63" t="n">
        <v>1.3</v>
      </c>
      <c r="F92" s="63" t="n">
        <v>1.6</v>
      </c>
      <c r="G92" s="63" t="n">
        <v>1.8</v>
      </c>
      <c r="H92" s="63" t="n">
        <v>2</v>
      </c>
      <c r="I92" s="63" t="n">
        <v>2.1</v>
      </c>
      <c r="J92" s="63" t="n">
        <v>2.4</v>
      </c>
      <c r="K92" s="63" t="n">
        <v>2.5</v>
      </c>
      <c r="L92" s="63" t="n">
        <v>2.6</v>
      </c>
      <c r="M92" s="63" t="n">
        <v>2.8</v>
      </c>
      <c r="N92" s="63" t="n">
        <v>2.9</v>
      </c>
      <c r="O92" s="63" t="n">
        <v>3</v>
      </c>
      <c r="P92" s="63" t="n">
        <v>3.1</v>
      </c>
      <c r="Q92" s="63" t="n">
        <v>3</v>
      </c>
      <c r="R92" s="63" t="n">
        <v>3.1</v>
      </c>
      <c r="S92" s="63" t="n">
        <v>3.2</v>
      </c>
      <c r="T92" s="63" t="n">
        <v>3.4</v>
      </c>
      <c r="U92" s="63" t="n">
        <v>3.7</v>
      </c>
      <c r="V92" s="63" t="n">
        <v>4.1</v>
      </c>
      <c r="W92" s="63" t="n">
        <v>4.3</v>
      </c>
      <c r="X92" s="63" t="n"/>
      <c r="Y92" s="63" t="n"/>
      <c r="Z92" s="63" t="n"/>
      <c r="AA92" s="63" t="n"/>
      <c r="AB92" s="29" t="n"/>
      <c r="AC92" s="36" t="n"/>
      <c r="AD92" s="36" t="n"/>
      <c r="AE92" s="36" t="n"/>
      <c r="AF92" s="36">
        <f>IF(G92="","",G92)</f>
        <v/>
      </c>
      <c r="AG92" s="36">
        <f>IF(K92="","",K92)</f>
        <v/>
      </c>
      <c r="AH92" s="36">
        <f>IF(O92="","",O92)</f>
        <v/>
      </c>
      <c r="AI92" s="36">
        <f>IF(S92="","",S92)</f>
        <v/>
      </c>
      <c r="AJ92" s="36">
        <f>IF(W92="","",W92)</f>
        <v/>
      </c>
    </row>
    <row r="93" customFormat="1" s="15">
      <c r="A93" s="32" t="inlineStr">
        <is>
          <t xml:space="preserve">  Average order frequency</t>
        </is>
      </c>
      <c r="B93" s="33" t="inlineStr">
        <is>
          <t>x</t>
        </is>
      </c>
      <c r="C93" s="34" t="n"/>
      <c r="D93" s="68">
        <f>IFERROR(D94*4/D92,"")</f>
        <v/>
      </c>
      <c r="E93" s="68">
        <f>IFERROR(E94*4/E92,"")</f>
        <v/>
      </c>
      <c r="F93" s="68">
        <f>IFERROR(F94*4/F92,"")</f>
        <v/>
      </c>
      <c r="G93" s="68">
        <f>IFERROR(G94*4/G92,"")</f>
        <v/>
      </c>
      <c r="H93" s="68">
        <f>IFERROR(H94*4/H92,"")</f>
        <v/>
      </c>
      <c r="I93" s="68">
        <f>IFERROR(I94*4/I92,"")</f>
        <v/>
      </c>
      <c r="J93" s="68">
        <f>IFERROR(J94*4/J92,"")</f>
        <v/>
      </c>
      <c r="K93" s="68">
        <f>IFERROR(K94*4/K92,"")</f>
        <v/>
      </c>
      <c r="L93" s="68">
        <f>IFERROR(L94*4/L92,"")</f>
        <v/>
      </c>
      <c r="M93" s="68">
        <f>IFERROR(M94*4/M92,"")</f>
        <v/>
      </c>
      <c r="N93" s="68">
        <f>IFERROR(N94*4/N92,"")</f>
        <v/>
      </c>
      <c r="O93" s="68">
        <f>IFERROR(O94*4/O92,"")</f>
        <v/>
      </c>
      <c r="P93" s="68">
        <f>IFERROR(P94*4/P92,"")</f>
        <v/>
      </c>
      <c r="Q93" s="68">
        <f>IFERROR(Q94*4/Q92,"")</f>
        <v/>
      </c>
      <c r="R93" s="68">
        <f>IFERROR(R94*4/R92,"")</f>
        <v/>
      </c>
      <c r="S93" s="68">
        <f>IFERROR(S94*4/S92,"")</f>
        <v/>
      </c>
      <c r="T93" s="68">
        <f>IFERROR(T94*4/T92,"")</f>
        <v/>
      </c>
      <c r="U93" s="68">
        <f>IFERROR(U94*4/U92,"")</f>
        <v/>
      </c>
      <c r="V93" s="68">
        <f>IFERROR(V94*4/V92,"")</f>
        <v/>
      </c>
      <c r="W93" s="68">
        <f>IFERROR(W94*4/W92,"")</f>
        <v/>
      </c>
      <c r="X93" s="68">
        <f>IFERROR(X94*4/X92,"")</f>
        <v/>
      </c>
      <c r="Y93" s="68">
        <f>IFERROR(Y94*4/Y92,"")</f>
        <v/>
      </c>
      <c r="Z93" s="68">
        <f>IFERROR(Z94*4/Z92,"")</f>
        <v/>
      </c>
      <c r="AA93" s="68">
        <f>IFERROR(AA94*4/AA92,"")</f>
        <v/>
      </c>
      <c r="AB93" s="35" t="n"/>
      <c r="AC93" s="68" t="n"/>
      <c r="AD93" s="68" t="n"/>
      <c r="AE93" s="68" t="n"/>
      <c r="AF93" s="68">
        <f>IFERROR(AF94*4/AF92,"")</f>
        <v/>
      </c>
      <c r="AG93" s="68">
        <f>IFERROR(AG94*4/AG92,"")</f>
        <v/>
      </c>
      <c r="AH93" s="68">
        <f>IFERROR(AH94*4/AH92,"")</f>
        <v/>
      </c>
      <c r="AI93" s="68">
        <f>IFERROR(AI94*4/AI92,"")</f>
        <v/>
      </c>
      <c r="AJ93" s="68">
        <f>IFERROR(AJ94*4/AJ92,"")</f>
        <v/>
      </c>
    </row>
    <row r="94">
      <c r="A94" s="20" t="inlineStr">
        <is>
          <t>Number of orders</t>
        </is>
      </c>
      <c r="B94" s="21" t="inlineStr">
        <is>
          <t>mn</t>
        </is>
      </c>
      <c r="C94" s="22" t="inlineStr">
        <is>
          <t>Fashion</t>
        </is>
      </c>
      <c r="D94" s="63" t="n">
        <v>1.1</v>
      </c>
      <c r="E94" s="63" t="n">
        <v>1.3</v>
      </c>
      <c r="F94" s="63" t="n">
        <v>1.3</v>
      </c>
      <c r="G94" s="63" t="n">
        <v>1.3</v>
      </c>
      <c r="H94" s="63" t="n">
        <v>1.5</v>
      </c>
      <c r="I94" s="63" t="n">
        <v>1.4</v>
      </c>
      <c r="J94" s="63" t="n">
        <v>1.7</v>
      </c>
      <c r="K94" s="63" t="n">
        <v>1.4</v>
      </c>
      <c r="L94" s="63" t="n">
        <v>1.5</v>
      </c>
      <c r="M94" s="63" t="n">
        <v>1.6</v>
      </c>
      <c r="N94" s="63" t="n">
        <v>2.1</v>
      </c>
      <c r="O94" s="63" t="n">
        <v>1.8</v>
      </c>
      <c r="P94" s="63" t="n">
        <v>1.7</v>
      </c>
      <c r="Q94" s="63" t="n">
        <v>1.8</v>
      </c>
      <c r="R94" s="63" t="n">
        <v>2.1</v>
      </c>
      <c r="S94" s="63" t="n">
        <v>2.1</v>
      </c>
      <c r="T94" s="63" t="n">
        <v>2</v>
      </c>
      <c r="U94" s="63" t="n">
        <v>2.4</v>
      </c>
      <c r="V94" s="63" t="n">
        <v>3</v>
      </c>
      <c r="W94" s="63">
        <f>AJ94-SUM(T94:V94)</f>
        <v/>
      </c>
      <c r="X94" s="63" t="n"/>
      <c r="Y94" s="63" t="n"/>
      <c r="Z94" s="63" t="n"/>
      <c r="AA94" s="63" t="n"/>
      <c r="AB94" s="19" t="n"/>
      <c r="AC94" s="36" t="n"/>
      <c r="AD94" s="36" t="n"/>
      <c r="AE94" s="36" t="n"/>
      <c r="AF94" s="36">
        <f>IF(COUNT(D94:G94)=0,"",SUM(D94:G94))</f>
        <v/>
      </c>
      <c r="AG94" s="36">
        <f>IF(COUNT(H94:K94)=0,"",SUM(H94:K94))</f>
        <v/>
      </c>
      <c r="AH94" s="36">
        <f>IF(COUNT(L94:O94)=0,"",SUM(L94:O94))</f>
        <v/>
      </c>
      <c r="AI94" s="36">
        <f>IF(COUNT(P94:S94)=0,"",SUM(P94:S94))</f>
        <v/>
      </c>
      <c r="AJ94" s="67" t="n">
        <v>10.1</v>
      </c>
    </row>
    <row r="95" customFormat="1" s="42">
      <c r="A95" s="37" t="inlineStr">
        <is>
          <t xml:space="preserve">  Average order value</t>
        </is>
      </c>
      <c r="B95" s="38" t="inlineStr">
        <is>
          <t>Rs</t>
        </is>
      </c>
      <c r="C95" s="39" t="n"/>
      <c r="D95" s="66">
        <f>IFERROR(D96/D94,"")</f>
        <v/>
      </c>
      <c r="E95" s="66">
        <f>IFERROR(E96/E94,"")</f>
        <v/>
      </c>
      <c r="F95" s="66">
        <f>IFERROR(F96/F94,"")</f>
        <v/>
      </c>
      <c r="G95" s="66">
        <f>IFERROR(G96/G94,"")</f>
        <v/>
      </c>
      <c r="H95" s="66">
        <f>IFERROR(H96/H94,"")</f>
        <v/>
      </c>
      <c r="I95" s="66">
        <f>IFERROR(I96/I94,"")</f>
        <v/>
      </c>
      <c r="J95" s="66">
        <f>IFERROR(J96/J94,"")</f>
        <v/>
      </c>
      <c r="K95" s="66">
        <f>IFERROR(K96/K94,"")</f>
        <v/>
      </c>
      <c r="L95" s="66">
        <f>IFERROR(L96/L94,"")</f>
        <v/>
      </c>
      <c r="M95" s="66">
        <f>IFERROR(M96/M94,"")</f>
        <v/>
      </c>
      <c r="N95" s="66">
        <f>IFERROR(N96/N94,"")</f>
        <v/>
      </c>
      <c r="O95" s="66">
        <f>IFERROR(O96/O94,"")</f>
        <v/>
      </c>
      <c r="P95" s="66">
        <f>IFERROR(P96/P94,"")</f>
        <v/>
      </c>
      <c r="Q95" s="66">
        <f>IFERROR(Q96/Q94,"")</f>
        <v/>
      </c>
      <c r="R95" s="66">
        <f>IFERROR(R96/R94,"")</f>
        <v/>
      </c>
      <c r="S95" s="66">
        <f>IFERROR(S96/S94,"")</f>
        <v/>
      </c>
      <c r="T95" s="66">
        <f>IFERROR(T96/T94,"")</f>
        <v/>
      </c>
      <c r="U95" s="66">
        <f>IFERROR(U96/U94,"")</f>
        <v/>
      </c>
      <c r="V95" s="66">
        <f>IFERROR(V96/V94,"")</f>
        <v/>
      </c>
      <c r="W95" s="66">
        <f>IFERROR(W96/W94,"")</f>
        <v/>
      </c>
      <c r="X95" s="66">
        <f>IFERROR(X96/X94,"")</f>
        <v/>
      </c>
      <c r="Y95" s="66">
        <f>IFERROR(Y96/Y94,"")</f>
        <v/>
      </c>
      <c r="Z95" s="66">
        <f>IFERROR(Z96/Z94,"")</f>
        <v/>
      </c>
      <c r="AA95" s="66">
        <f>IFERROR(AA96/AA94,"")</f>
        <v/>
      </c>
      <c r="AB95" s="40" t="n"/>
      <c r="AC95" s="66" t="n"/>
      <c r="AD95" s="66" t="n"/>
      <c r="AE95" s="66" t="n"/>
      <c r="AF95" s="66">
        <f>IFERROR(AF96/AF94,"")</f>
        <v/>
      </c>
      <c r="AG95" s="66">
        <f>IFERROR(AG96/AG94,"")</f>
        <v/>
      </c>
      <c r="AH95" s="66">
        <f>IFERROR(AH96/AH94,"")</f>
        <v/>
      </c>
      <c r="AI95" s="66">
        <f>IFERROR(AI96/AI94,"")</f>
        <v/>
      </c>
      <c r="AJ95" s="66">
        <f>IFERROR(AJ96/AJ94,"")</f>
        <v/>
      </c>
    </row>
    <row r="96">
      <c r="A96" s="20" t="inlineStr">
        <is>
          <t>GMV</t>
        </is>
      </c>
      <c r="B96" s="21" t="inlineStr">
        <is>
          <t>Rs Mn</t>
        </is>
      </c>
      <c r="C96" s="22" t="inlineStr">
        <is>
          <t>Fashion</t>
        </is>
      </c>
      <c r="D96" s="65" t="n"/>
      <c r="E96" s="65" t="n"/>
      <c r="F96" s="65" t="n"/>
      <c r="G96" s="65" t="n"/>
      <c r="H96" s="65" t="n"/>
      <c r="I96" s="65" t="n"/>
      <c r="J96" s="65" t="n"/>
      <c r="K96" s="65" t="n"/>
      <c r="L96" s="65" t="n">
        <v>6758</v>
      </c>
      <c r="M96" s="65" t="n">
        <v>7872</v>
      </c>
      <c r="N96" s="65" t="n">
        <v>10465</v>
      </c>
      <c r="O96" s="65" t="n">
        <v>8760</v>
      </c>
      <c r="P96" s="65" t="n">
        <v>7741</v>
      </c>
      <c r="Q96" s="65" t="n">
        <v>8633</v>
      </c>
      <c r="R96" s="65" t="n">
        <v>11299</v>
      </c>
      <c r="S96" s="65" t="n">
        <v>10370</v>
      </c>
      <c r="T96" s="65" t="n">
        <v>9640</v>
      </c>
      <c r="U96" s="65" t="n">
        <v>11800</v>
      </c>
      <c r="V96" s="65" t="n">
        <v>14760</v>
      </c>
      <c r="W96" s="65" t="n">
        <v>13340</v>
      </c>
      <c r="X96" s="65" t="n"/>
      <c r="Y96" s="65" t="n"/>
      <c r="Z96" s="65" t="n"/>
      <c r="AA96" s="65" t="n"/>
      <c r="AB96" s="19" t="n"/>
      <c r="AC96" s="66" t="n"/>
      <c r="AD96" s="66" t="n"/>
      <c r="AE96" s="66" t="n"/>
      <c r="AF96" s="66">
        <f>IF(COUNT(D96:G96)=0,"",SUM(D96:G96))</f>
        <v/>
      </c>
      <c r="AG96" s="66">
        <f>IF(COUNT(H96:K96)=0,"",SUM(H96:K96))</f>
        <v/>
      </c>
      <c r="AH96" s="66">
        <f>IF(COUNT(L96:O96)=0,"",SUM(L96:O96))</f>
        <v/>
      </c>
      <c r="AI96" s="66">
        <f>IF(COUNT(P96:S96)=0,"",SUM(P96:S96))</f>
        <v/>
      </c>
      <c r="AJ96" s="66">
        <f>IF(COUNT(T96:W96)=0,"",SUM(T96:W96))</f>
        <v/>
      </c>
    </row>
    <row r="97">
      <c r="A97" s="20" t="inlineStr">
        <is>
          <t xml:space="preserve">  YoY growth</t>
        </is>
      </c>
      <c r="B97" s="21" t="inlineStr">
        <is>
          <t>%</t>
        </is>
      </c>
      <c r="C97" s="22" t="n"/>
      <c r="D97" s="64" t="n"/>
      <c r="E97" s="64" t="n"/>
      <c r="F97" s="64" t="n"/>
      <c r="G97" s="64" t="n"/>
      <c r="H97" s="23">
        <f>IFERROR(H96/D96-1,"")</f>
        <v/>
      </c>
      <c r="I97" s="23">
        <f>IFERROR(I96/E96-1,"")</f>
        <v/>
      </c>
      <c r="J97" s="23">
        <f>IFERROR(J96/F96-1,"")</f>
        <v/>
      </c>
      <c r="K97" s="23">
        <f>IFERROR(K96/G96-1,"")</f>
        <v/>
      </c>
      <c r="L97" s="23">
        <f>IFERROR(L96/H96-1,"")</f>
        <v/>
      </c>
      <c r="M97" s="23">
        <f>IFERROR(M96/I96-1,"")</f>
        <v/>
      </c>
      <c r="N97" s="23">
        <f>IFERROR(N96/J96-1,"")</f>
        <v/>
      </c>
      <c r="O97" s="23">
        <f>IFERROR(O96/K96-1,"")</f>
        <v/>
      </c>
      <c r="P97" s="23">
        <f>IFERROR(P96/L96-1,"")</f>
        <v/>
      </c>
      <c r="Q97" s="23">
        <f>IFERROR(Q96/M96-1,"")</f>
        <v/>
      </c>
      <c r="R97" s="23">
        <f>IFERROR(R96/N96-1,"")</f>
        <v/>
      </c>
      <c r="S97" s="23">
        <f>IFERROR(S96/O96-1,"")</f>
        <v/>
      </c>
      <c r="T97" s="23">
        <f>IFERROR(T96/P96-1,"")</f>
        <v/>
      </c>
      <c r="U97" s="23">
        <f>IFERROR(U96/Q96-1,"")</f>
        <v/>
      </c>
      <c r="V97" s="23">
        <f>IFERROR(V96/R96-1,"")</f>
        <v/>
      </c>
      <c r="W97" s="23">
        <f>IFERROR(W96/S96-1,"")</f>
        <v/>
      </c>
      <c r="X97" s="23">
        <f>IFERROR(X96/T96-1,"")</f>
        <v/>
      </c>
      <c r="Y97" s="23">
        <f>IFERROR(Y96/U96-1,"")</f>
        <v/>
      </c>
      <c r="Z97" s="23">
        <f>IFERROR(Z96/V96-1,"")</f>
        <v/>
      </c>
      <c r="AA97" s="23">
        <f>IFERROR(AA96/W96-1,"")</f>
        <v/>
      </c>
      <c r="AB97" s="19" t="n"/>
      <c r="AC97" s="64" t="n"/>
      <c r="AD97" s="64" t="n"/>
      <c r="AE97" s="64" t="n"/>
      <c r="AF97" s="23">
        <f>IFERROR(AF96/AE96-1,"")</f>
        <v/>
      </c>
      <c r="AG97" s="23">
        <f>IFERROR(AG96/AF96-1,"")</f>
        <v/>
      </c>
      <c r="AH97" s="23">
        <f>IFERROR(AH96/AG96-1,"")</f>
        <v/>
      </c>
      <c r="AI97" s="23">
        <f>IFERROR(AI96/AH96-1,"")</f>
        <v/>
      </c>
      <c r="AJ97" s="23">
        <f>IFERROR(AJ96/AI96-1,"")</f>
        <v/>
      </c>
    </row>
    <row r="98">
      <c r="A98" s="20" t="inlineStr">
        <is>
          <t xml:space="preserve">  QoQ growth</t>
        </is>
      </c>
      <c r="B98" s="21" t="inlineStr">
        <is>
          <t>%</t>
        </is>
      </c>
      <c r="C98" s="22" t="n"/>
      <c r="D98" s="64" t="n"/>
      <c r="E98" s="23">
        <f>IFERROR(E96/D96-1,"")</f>
        <v/>
      </c>
      <c r="F98" s="23">
        <f>IFERROR(F96/E96-1,"")</f>
        <v/>
      </c>
      <c r="G98" s="23">
        <f>IFERROR(G96/F96-1,"")</f>
        <v/>
      </c>
      <c r="H98" s="23">
        <f>IFERROR(H96/G96-1,"")</f>
        <v/>
      </c>
      <c r="I98" s="23">
        <f>IFERROR(I96/H96-1,"")</f>
        <v/>
      </c>
      <c r="J98" s="23">
        <f>IFERROR(J96/I96-1,"")</f>
        <v/>
      </c>
      <c r="K98" s="23">
        <f>IFERROR(K96/J96-1,"")</f>
        <v/>
      </c>
      <c r="L98" s="23">
        <f>IFERROR(L96/K96-1,"")</f>
        <v/>
      </c>
      <c r="M98" s="23">
        <f>IFERROR(M96/L96-1,"")</f>
        <v/>
      </c>
      <c r="N98" s="23">
        <f>IFERROR(N96/M96-1,"")</f>
        <v/>
      </c>
      <c r="O98" s="23">
        <f>IFERROR(O96/N96-1,"")</f>
        <v/>
      </c>
      <c r="P98" s="23">
        <f>IFERROR(P96/O96-1,"")</f>
        <v/>
      </c>
      <c r="Q98" s="23">
        <f>IFERROR(Q96/P96-1,"")</f>
        <v/>
      </c>
      <c r="R98" s="23">
        <f>IFERROR(R96/Q96-1,"")</f>
        <v/>
      </c>
      <c r="S98" s="23">
        <f>IFERROR(S96/R96-1,"")</f>
        <v/>
      </c>
      <c r="T98" s="23">
        <f>IFERROR(T96/S96-1,"")</f>
        <v/>
      </c>
      <c r="U98" s="23">
        <f>IFERROR(U96/T96-1,"")</f>
        <v/>
      </c>
      <c r="V98" s="23">
        <f>IFERROR(V96/U96-1,"")</f>
        <v/>
      </c>
      <c r="W98" s="23">
        <f>IFERROR(W96/V96-1,"")</f>
        <v/>
      </c>
      <c r="X98" s="23">
        <f>IFERROR(X96/W96-1,"")</f>
        <v/>
      </c>
      <c r="Y98" s="23">
        <f>IFERROR(Y96/X96-1,"")</f>
        <v/>
      </c>
      <c r="Z98" s="23">
        <f>IFERROR(Z96/Y96-1,"")</f>
        <v/>
      </c>
      <c r="AA98" s="23">
        <f>IFERROR(AA96/Z96-1,"")</f>
        <v/>
      </c>
      <c r="AB98" s="19" t="n"/>
      <c r="AC98" s="64" t="n"/>
      <c r="AD98" s="64" t="n"/>
      <c r="AE98" s="64" t="n"/>
      <c r="AF98" s="64" t="n"/>
      <c r="AG98" s="64" t="n"/>
      <c r="AH98" s="64" t="n"/>
      <c r="AI98" s="64" t="n"/>
      <c r="AJ98" s="64" t="n"/>
    </row>
    <row r="99">
      <c r="A99" s="20" t="inlineStr">
        <is>
          <t>NSV</t>
        </is>
      </c>
      <c r="B99" s="21" t="inlineStr">
        <is>
          <t>Rs Mn</t>
        </is>
      </c>
      <c r="C99" s="22" t="inlineStr">
        <is>
          <t>Fashion</t>
        </is>
      </c>
      <c r="D99" s="65" t="n"/>
      <c r="E99" s="65" t="n"/>
      <c r="F99" s="65" t="n"/>
      <c r="G99" s="65" t="n"/>
      <c r="H99" s="65" t="n"/>
      <c r="I99" s="65" t="n"/>
      <c r="J99" s="65" t="n"/>
      <c r="K99" s="65" t="n"/>
      <c r="L99" s="65" t="n">
        <v>2089</v>
      </c>
      <c r="M99" s="65" t="n">
        <v>2411</v>
      </c>
      <c r="N99" s="65" t="n">
        <v>2899</v>
      </c>
      <c r="O99" s="65" t="n">
        <v>2479</v>
      </c>
      <c r="P99" s="65" t="n">
        <v>2449</v>
      </c>
      <c r="Q99" s="65" t="n">
        <v>2713</v>
      </c>
      <c r="R99" s="65" t="n">
        <v>3295</v>
      </c>
      <c r="S99" s="65" t="n">
        <v>2800</v>
      </c>
      <c r="T99" s="65" t="n">
        <v>2940</v>
      </c>
      <c r="U99" s="65" t="n">
        <v>3460</v>
      </c>
      <c r="V99" s="65" t="n">
        <v>4100</v>
      </c>
      <c r="W99" s="65" t="n">
        <v>3970</v>
      </c>
      <c r="X99" s="65" t="n"/>
      <c r="Y99" s="65" t="n"/>
      <c r="Z99" s="65" t="n"/>
      <c r="AA99" s="65" t="n"/>
      <c r="AB99" s="19" t="n"/>
      <c r="AC99" s="66" t="n"/>
      <c r="AD99" s="66" t="n"/>
      <c r="AE99" s="66" t="n"/>
      <c r="AF99" s="66">
        <f>IF(COUNT(D99:G99)=0,"",SUM(D99:G99))</f>
        <v/>
      </c>
      <c r="AG99" s="66">
        <f>IF(COUNT(H99:K99)=0,"",SUM(H99:K99))</f>
        <v/>
      </c>
      <c r="AH99" s="66">
        <f>IF(COUNT(L99:O99)=0,"",SUM(L99:O99))</f>
        <v/>
      </c>
      <c r="AI99" s="66">
        <f>IF(COUNT(P99:S99)=0,"",SUM(P99:S99))</f>
        <v/>
      </c>
      <c r="AJ99" s="66">
        <f>IF(COUNT(T99:W99)=0,"",SUM(T99:W99))</f>
        <v/>
      </c>
    </row>
    <row r="100">
      <c r="A100" s="20" t="inlineStr">
        <is>
          <t xml:space="preserve">  NSV / GMV</t>
        </is>
      </c>
      <c r="B100" s="21" t="inlineStr">
        <is>
          <t>%</t>
        </is>
      </c>
      <c r="C100" s="22" t="n"/>
      <c r="D100" s="23">
        <f>IFERROR(D99/D96,"")</f>
        <v/>
      </c>
      <c r="E100" s="23">
        <f>IFERROR(E99/E96,"")</f>
        <v/>
      </c>
      <c r="F100" s="23">
        <f>IFERROR(F99/F96,"")</f>
        <v/>
      </c>
      <c r="G100" s="23">
        <f>IFERROR(G99/G96,"")</f>
        <v/>
      </c>
      <c r="H100" s="23">
        <f>IFERROR(H99/H96,"")</f>
        <v/>
      </c>
      <c r="I100" s="23">
        <f>IFERROR(I99/I96,"")</f>
        <v/>
      </c>
      <c r="J100" s="23">
        <f>IFERROR(J99/J96,"")</f>
        <v/>
      </c>
      <c r="K100" s="23">
        <f>IFERROR(K99/K96,"")</f>
        <v/>
      </c>
      <c r="L100" s="23">
        <f>IFERROR(L99/L96,"")</f>
        <v/>
      </c>
      <c r="M100" s="23">
        <f>IFERROR(M99/M96,"")</f>
        <v/>
      </c>
      <c r="N100" s="23">
        <f>IFERROR(N99/N96,"")</f>
        <v/>
      </c>
      <c r="O100" s="23">
        <f>IFERROR(O99/O96,"")</f>
        <v/>
      </c>
      <c r="P100" s="23">
        <f>IFERROR(P99/P96,"")</f>
        <v/>
      </c>
      <c r="Q100" s="23">
        <f>IFERROR(Q99/Q96,"")</f>
        <v/>
      </c>
      <c r="R100" s="23">
        <f>IFERROR(R99/R96,"")</f>
        <v/>
      </c>
      <c r="S100" s="23">
        <f>IFERROR(S99/S96,"")</f>
        <v/>
      </c>
      <c r="T100" s="23">
        <f>IFERROR(T99/T96,"")</f>
        <v/>
      </c>
      <c r="U100" s="23">
        <f>IFERROR(U99/U96,"")</f>
        <v/>
      </c>
      <c r="V100" s="23">
        <f>IFERROR(V99/V96,"")</f>
        <v/>
      </c>
      <c r="W100" s="23">
        <f>IFERROR(W99/W96,"")</f>
        <v/>
      </c>
      <c r="X100" s="23">
        <f>IFERROR(X99/X96,"")</f>
        <v/>
      </c>
      <c r="Y100" s="23">
        <f>IFERROR(Y99/Y96,"")</f>
        <v/>
      </c>
      <c r="Z100" s="23">
        <f>IFERROR(Z99/Z96,"")</f>
        <v/>
      </c>
      <c r="AA100" s="23">
        <f>IFERROR(AA99/AA96,"")</f>
        <v/>
      </c>
      <c r="AB100" s="19" t="n"/>
      <c r="AC100" s="23" t="n"/>
      <c r="AD100" s="23" t="n"/>
      <c r="AE100" s="23" t="n"/>
      <c r="AF100" s="23">
        <f>IFERROR(AF99/AF96,"")</f>
        <v/>
      </c>
      <c r="AG100" s="23">
        <f>IFERROR(AG99/AG96,"")</f>
        <v/>
      </c>
      <c r="AH100" s="23">
        <f>IFERROR(AH99/AH96,"")</f>
        <v/>
      </c>
      <c r="AI100" s="23">
        <f>IFERROR(AI99/AI96,"")</f>
        <v/>
      </c>
      <c r="AJ100" s="23">
        <f>IFERROR(AJ99/AJ96,"")</f>
        <v/>
      </c>
    </row>
    <row r="101">
      <c r="A101" s="20" t="inlineStr">
        <is>
          <t>Revenue</t>
        </is>
      </c>
      <c r="B101" s="21" t="inlineStr">
        <is>
          <t>Rs Mn</t>
        </is>
      </c>
      <c r="C101" s="22" t="inlineStr">
        <is>
          <t>Fashion / Financial Performance</t>
        </is>
      </c>
      <c r="D101" s="65" t="n"/>
      <c r="E101" s="65" t="n"/>
      <c r="F101" s="65" t="n">
        <v>900</v>
      </c>
      <c r="G101" s="65" t="n"/>
      <c r="H101" s="65" t="n"/>
      <c r="I101" s="65" t="n"/>
      <c r="J101" s="65" t="n">
        <v>1339</v>
      </c>
      <c r="K101" s="65" t="n"/>
      <c r="L101" s="65" t="n">
        <v>1225</v>
      </c>
      <c r="M101" s="65" t="n">
        <v>1365</v>
      </c>
      <c r="N101" s="65" t="n">
        <v>1640</v>
      </c>
      <c r="O101" s="65" t="n">
        <v>1454</v>
      </c>
      <c r="P101" s="65" t="n">
        <v>1486</v>
      </c>
      <c r="Q101" s="65" t="n">
        <v>1661</v>
      </c>
      <c r="R101" s="65" t="n">
        <v>1990</v>
      </c>
      <c r="S101" s="65" t="n">
        <v>1610</v>
      </c>
      <c r="T101" s="65" t="n">
        <v>1710</v>
      </c>
      <c r="U101" s="65" t="n">
        <v>2010</v>
      </c>
      <c r="V101" s="65" t="n">
        <v>2350</v>
      </c>
      <c r="W101" s="65" t="n">
        <v>2250</v>
      </c>
      <c r="X101" s="65" t="n"/>
      <c r="Y101" s="65" t="n"/>
      <c r="Z101" s="65" t="n"/>
      <c r="AA101" s="65" t="n"/>
      <c r="AB101" s="19" t="n"/>
      <c r="AC101" s="66" t="n"/>
      <c r="AD101" s="66" t="n"/>
      <c r="AE101" s="66" t="n"/>
      <c r="AF101" s="66">
        <f>IF(COUNT(D101:G101)=0,"",SUM(D101:G101))</f>
        <v/>
      </c>
      <c r="AG101" s="66">
        <f>IF(COUNT(H101:K101)=0,"",SUM(H101:K101))</f>
        <v/>
      </c>
      <c r="AH101" s="66">
        <f>IF(COUNT(L101:O101)=0,"",SUM(L101:O101))</f>
        <v/>
      </c>
      <c r="AI101" s="66">
        <f>IF(COUNT(P101:S101)=0,"",SUM(P101:S101))</f>
        <v/>
      </c>
      <c r="AJ101" s="66">
        <f>IF(COUNT(T101:W101)=0,"",SUM(T101:W101))</f>
        <v/>
      </c>
    </row>
    <row r="102">
      <c r="A102" s="20" t="inlineStr">
        <is>
          <t xml:space="preserve">  Revenue / NSV</t>
        </is>
      </c>
      <c r="B102" s="21" t="inlineStr">
        <is>
          <t>%</t>
        </is>
      </c>
      <c r="C102" s="22" t="n"/>
      <c r="D102" s="23">
        <f>IFERROR(D101/D99,"")</f>
        <v/>
      </c>
      <c r="E102" s="23">
        <f>IFERROR(E101/E99,"")</f>
        <v/>
      </c>
      <c r="F102" s="23">
        <f>IFERROR(F101/F99,"")</f>
        <v/>
      </c>
      <c r="G102" s="23">
        <f>IFERROR(G101/G99,"")</f>
        <v/>
      </c>
      <c r="H102" s="23">
        <f>IFERROR(H101/H99,"")</f>
        <v/>
      </c>
      <c r="I102" s="23">
        <f>IFERROR(I101/I99,"")</f>
        <v/>
      </c>
      <c r="J102" s="23">
        <f>IFERROR(J101/J99,"")</f>
        <v/>
      </c>
      <c r="K102" s="23">
        <f>IFERROR(K101/K99,"")</f>
        <v/>
      </c>
      <c r="L102" s="23">
        <f>IFERROR(L101/L99,"")</f>
        <v/>
      </c>
      <c r="M102" s="23">
        <f>IFERROR(M101/M99,"")</f>
        <v/>
      </c>
      <c r="N102" s="23">
        <f>IFERROR(N101/N99,"")</f>
        <v/>
      </c>
      <c r="O102" s="23">
        <f>IFERROR(O101/O99,"")</f>
        <v/>
      </c>
      <c r="P102" s="23">
        <f>IFERROR(P101/P99,"")</f>
        <v/>
      </c>
      <c r="Q102" s="23">
        <f>IFERROR(Q101/Q99,"")</f>
        <v/>
      </c>
      <c r="R102" s="23">
        <f>IFERROR(R101/R99,"")</f>
        <v/>
      </c>
      <c r="S102" s="23">
        <f>IFERROR(S101/S99,"")</f>
        <v/>
      </c>
      <c r="T102" s="23">
        <f>IFERROR(T101/T99,"")</f>
        <v/>
      </c>
      <c r="U102" s="23">
        <f>IFERROR(U101/U99,"")</f>
        <v/>
      </c>
      <c r="V102" s="23">
        <f>IFERROR(V101/V99,"")</f>
        <v/>
      </c>
      <c r="W102" s="23">
        <f>IFERROR(W101/W99,"")</f>
        <v/>
      </c>
      <c r="X102" s="23">
        <f>IFERROR(X101/X99,"")</f>
        <v/>
      </c>
      <c r="Y102" s="23">
        <f>IFERROR(Y101/Y99,"")</f>
        <v/>
      </c>
      <c r="Z102" s="23">
        <f>IFERROR(Z101/Z99,"")</f>
        <v/>
      </c>
      <c r="AA102" s="23">
        <f>IFERROR(AA101/AA99,"")</f>
        <v/>
      </c>
      <c r="AB102" s="19" t="n"/>
      <c r="AC102" s="23" t="n"/>
      <c r="AD102" s="23" t="n"/>
      <c r="AE102" s="23" t="n"/>
      <c r="AF102" s="23">
        <f>IFERROR(AF101/AF99,"")</f>
        <v/>
      </c>
      <c r="AG102" s="23">
        <f>IFERROR(AG101/AG99,"")</f>
        <v/>
      </c>
      <c r="AH102" s="23">
        <f>IFERROR(AH101/AH99,"")</f>
        <v/>
      </c>
      <c r="AI102" s="23">
        <f>IFERROR(AI101/AI99,"")</f>
        <v/>
      </c>
      <c r="AJ102" s="23">
        <f>IFERROR(AJ101/AJ99,"")</f>
        <v/>
      </c>
    </row>
    <row r="103">
      <c r="A103" s="20" t="inlineStr">
        <is>
          <t>Gross profit</t>
        </is>
      </c>
      <c r="B103" s="21" t="inlineStr">
        <is>
          <t>Rs Mn</t>
        </is>
      </c>
      <c r="C103" s="22" t="inlineStr">
        <is>
          <t>Financial Performance</t>
        </is>
      </c>
      <c r="D103" s="65" t="n"/>
      <c r="E103" s="65" t="n"/>
      <c r="F103" s="65" t="n"/>
      <c r="G103" s="65" t="n"/>
      <c r="H103" s="65" t="n"/>
      <c r="I103" s="65" t="n"/>
      <c r="J103" s="65" t="n"/>
      <c r="K103" s="65" t="n"/>
      <c r="L103" s="65" t="n">
        <v>957</v>
      </c>
      <c r="M103" s="65" t="n">
        <v>1061</v>
      </c>
      <c r="N103" s="65" t="n">
        <v>1274</v>
      </c>
      <c r="O103" s="65" t="n">
        <v>1137</v>
      </c>
      <c r="P103" s="65" t="n">
        <v>1210</v>
      </c>
      <c r="Q103" s="65" t="n">
        <v>1348</v>
      </c>
      <c r="R103" s="65" t="n">
        <v>1691</v>
      </c>
      <c r="S103" s="65" t="n">
        <v>1270</v>
      </c>
      <c r="T103" s="65" t="n">
        <v>1390</v>
      </c>
      <c r="U103" s="65" t="n">
        <v>1650</v>
      </c>
      <c r="V103" s="65" t="n">
        <v>2040</v>
      </c>
      <c r="W103" s="65" t="n">
        <v>1840</v>
      </c>
      <c r="X103" s="65" t="n"/>
      <c r="Y103" s="65" t="n"/>
      <c r="Z103" s="65" t="n"/>
      <c r="AA103" s="65" t="n"/>
      <c r="AB103" s="19" t="n"/>
      <c r="AC103" s="66" t="n"/>
      <c r="AD103" s="66" t="n"/>
      <c r="AE103" s="66" t="n"/>
      <c r="AF103" s="66">
        <f>IF(COUNT(D103:G103)=0,"",SUM(D103:G103))</f>
        <v/>
      </c>
      <c r="AG103" s="66">
        <f>IF(COUNT(H103:K103)=0,"",SUM(H103:K103))</f>
        <v/>
      </c>
      <c r="AH103" s="66">
        <f>IF(COUNT(L103:O103)=0,"",SUM(L103:O103))</f>
        <v/>
      </c>
      <c r="AI103" s="66">
        <f>IF(COUNT(P103:S103)=0,"",SUM(P103:S103))</f>
        <v/>
      </c>
      <c r="AJ103" s="66">
        <f>IF(COUNT(T103:W103)=0,"",SUM(T103:W103))</f>
        <v/>
      </c>
    </row>
    <row r="104">
      <c r="A104" s="20" t="inlineStr">
        <is>
          <t xml:space="preserve">  Gross margin (% of NSV)</t>
        </is>
      </c>
      <c r="B104" s="21" t="inlineStr">
        <is>
          <t>%</t>
        </is>
      </c>
      <c r="C104" s="22" t="n"/>
      <c r="D104" s="23">
        <f>IFERROR(D103/D99,"")</f>
        <v/>
      </c>
      <c r="E104" s="23">
        <f>IFERROR(E103/E99,"")</f>
        <v/>
      </c>
      <c r="F104" s="23">
        <f>IFERROR(F103/F99,"")</f>
        <v/>
      </c>
      <c r="G104" s="23">
        <f>IFERROR(G103/G99,"")</f>
        <v/>
      </c>
      <c r="H104" s="23">
        <f>IFERROR(H103/H99,"")</f>
        <v/>
      </c>
      <c r="I104" s="23">
        <f>IFERROR(I103/I99,"")</f>
        <v/>
      </c>
      <c r="J104" s="23">
        <f>IFERROR(J103/J99,"")</f>
        <v/>
      </c>
      <c r="K104" s="23">
        <f>IFERROR(K103/K99,"")</f>
        <v/>
      </c>
      <c r="L104" s="23">
        <f>IFERROR(L103/L99,"")</f>
        <v/>
      </c>
      <c r="M104" s="23">
        <f>IFERROR(M103/M99,"")</f>
        <v/>
      </c>
      <c r="N104" s="23">
        <f>IFERROR(N103/N99,"")</f>
        <v/>
      </c>
      <c r="O104" s="23">
        <f>IFERROR(O103/O99,"")</f>
        <v/>
      </c>
      <c r="P104" s="23">
        <f>IFERROR(P103/P99,"")</f>
        <v/>
      </c>
      <c r="Q104" s="23">
        <f>IFERROR(Q103/Q99,"")</f>
        <v/>
      </c>
      <c r="R104" s="23">
        <f>IFERROR(R103/R99,"")</f>
        <v/>
      </c>
      <c r="S104" s="23">
        <f>IFERROR(S103/S99,"")</f>
        <v/>
      </c>
      <c r="T104" s="23">
        <f>IFERROR(T103/T99,"")</f>
        <v/>
      </c>
      <c r="U104" s="23">
        <f>IFERROR(U103/U99,"")</f>
        <v/>
      </c>
      <c r="V104" s="23">
        <f>IFERROR(V103/V99,"")</f>
        <v/>
      </c>
      <c r="W104" s="23">
        <f>IFERROR(W103/W99,"")</f>
        <v/>
      </c>
      <c r="X104" s="23">
        <f>IFERROR(X103/X99,"")</f>
        <v/>
      </c>
      <c r="Y104" s="23">
        <f>IFERROR(Y103/Y99,"")</f>
        <v/>
      </c>
      <c r="Z104" s="23">
        <f>IFERROR(Z103/Z99,"")</f>
        <v/>
      </c>
      <c r="AA104" s="23">
        <f>IFERROR(AA103/AA99,"")</f>
        <v/>
      </c>
      <c r="AB104" s="19" t="n"/>
      <c r="AC104" s="23" t="n"/>
      <c r="AD104" s="23" t="n"/>
      <c r="AE104" s="23" t="n"/>
      <c r="AF104" s="23">
        <f>IFERROR(AF103/AF99,"")</f>
        <v/>
      </c>
      <c r="AG104" s="23">
        <f>IFERROR(AG103/AG99,"")</f>
        <v/>
      </c>
      <c r="AH104" s="23">
        <f>IFERROR(AH103/AH99,"")</f>
        <v/>
      </c>
      <c r="AI104" s="23">
        <f>IFERROR(AI103/AI99,"")</f>
        <v/>
      </c>
      <c r="AJ104" s="23">
        <f>IFERROR(AJ103/AJ99,"")</f>
        <v/>
      </c>
    </row>
    <row r="105">
      <c r="A105" s="20" t="inlineStr">
        <is>
          <t>Fulfilment cost</t>
        </is>
      </c>
      <c r="B105" s="21" t="inlineStr">
        <is>
          <t>Rs Mn</t>
        </is>
      </c>
      <c r="C105" s="22" t="inlineStr">
        <is>
          <t>Financial Performance</t>
        </is>
      </c>
      <c r="D105" s="65" t="n"/>
      <c r="E105" s="65" t="n"/>
      <c r="F105" s="65" t="n"/>
      <c r="G105" s="65" t="n"/>
      <c r="H105" s="65" t="n"/>
      <c r="I105" s="65" t="n"/>
      <c r="J105" s="65" t="n"/>
      <c r="K105" s="65" t="n"/>
      <c r="L105" s="65" t="n">
        <v>237</v>
      </c>
      <c r="M105" s="65" t="n">
        <v>283</v>
      </c>
      <c r="N105" s="65" t="n">
        <v>318</v>
      </c>
      <c r="O105" s="65" t="n">
        <v>259</v>
      </c>
      <c r="P105" s="65" t="n">
        <v>237</v>
      </c>
      <c r="Q105" s="65" t="n">
        <v>248</v>
      </c>
      <c r="R105" s="65" t="n">
        <v>330</v>
      </c>
      <c r="S105" s="65" t="n">
        <v>280</v>
      </c>
      <c r="T105" s="65" t="n">
        <v>330</v>
      </c>
      <c r="U105" s="65" t="n">
        <v>390</v>
      </c>
      <c r="V105" s="65" t="n">
        <v>460</v>
      </c>
      <c r="W105" s="65" t="n">
        <v>450</v>
      </c>
      <c r="X105" s="65" t="n"/>
      <c r="Y105" s="65" t="n"/>
      <c r="Z105" s="65" t="n"/>
      <c r="AA105" s="65" t="n"/>
      <c r="AB105" s="19" t="n"/>
      <c r="AC105" s="66" t="n"/>
      <c r="AD105" s="66" t="n"/>
      <c r="AE105" s="66" t="n"/>
      <c r="AF105" s="66">
        <f>IF(COUNT(D105:G105)=0,"",SUM(D105:G105))</f>
        <v/>
      </c>
      <c r="AG105" s="66">
        <f>IF(COUNT(H105:K105)=0,"",SUM(H105:K105))</f>
        <v/>
      </c>
      <c r="AH105" s="66">
        <f>IF(COUNT(L105:O105)=0,"",SUM(L105:O105))</f>
        <v/>
      </c>
      <c r="AI105" s="66">
        <f>IF(COUNT(P105:S105)=0,"",SUM(P105:S105))</f>
        <v/>
      </c>
      <c r="AJ105" s="66">
        <f>IF(COUNT(T105:W105)=0,"",SUM(T105:W105))</f>
        <v/>
      </c>
    </row>
    <row r="106">
      <c r="A106" s="20" t="inlineStr">
        <is>
          <t>Marketing expenses</t>
        </is>
      </c>
      <c r="B106" s="21" t="inlineStr">
        <is>
          <t>Rs Mn</t>
        </is>
      </c>
      <c r="C106" s="22" t="inlineStr">
        <is>
          <t>Financial Performance</t>
        </is>
      </c>
      <c r="D106" s="65" t="n"/>
      <c r="E106" s="65" t="n"/>
      <c r="F106" s="65" t="n"/>
      <c r="G106" s="65" t="n"/>
      <c r="H106" s="65" t="n"/>
      <c r="I106" s="65" t="n"/>
      <c r="J106" s="65" t="n"/>
      <c r="K106" s="65" t="n"/>
      <c r="L106" s="65" t="n">
        <v>594</v>
      </c>
      <c r="M106" s="65" t="n"/>
      <c r="N106" s="65" t="n">
        <v>714</v>
      </c>
      <c r="O106" s="65" t="n">
        <v>620</v>
      </c>
      <c r="P106" s="65" t="n">
        <v>672</v>
      </c>
      <c r="Q106" s="65" t="n">
        <v>790</v>
      </c>
      <c r="R106" s="65" t="n">
        <v>1007</v>
      </c>
      <c r="S106" s="65" t="n">
        <v>840</v>
      </c>
      <c r="T106" s="65" t="n">
        <v>830</v>
      </c>
      <c r="U106" s="65" t="n">
        <v>930</v>
      </c>
      <c r="V106" s="65" t="n">
        <v>1150</v>
      </c>
      <c r="W106" s="65" t="n">
        <v>910</v>
      </c>
      <c r="X106" s="65" t="n"/>
      <c r="Y106" s="65" t="n"/>
      <c r="Z106" s="65" t="n"/>
      <c r="AA106" s="65" t="n"/>
      <c r="AB106" s="19" t="n"/>
      <c r="AC106" s="66" t="n"/>
      <c r="AD106" s="66" t="n"/>
      <c r="AE106" s="66" t="n"/>
      <c r="AF106" s="66">
        <f>IF(COUNT(D106:G106)=0,"",SUM(D106:G106))</f>
        <v/>
      </c>
      <c r="AG106" s="66">
        <f>IF(COUNT(H106:K106)=0,"",SUM(H106:K106))</f>
        <v/>
      </c>
      <c r="AH106" s="66">
        <f>IF(COUNT(L106:O106)=0,"",SUM(L106:O106))</f>
        <v/>
      </c>
      <c r="AI106" s="66">
        <f>IF(COUNT(P106:S106)=0,"",SUM(P106:S106))</f>
        <v/>
      </c>
      <c r="AJ106" s="66">
        <f>IF(COUNT(T106:W106)=0,"",SUM(T106:W106))</f>
        <v/>
      </c>
    </row>
    <row r="107">
      <c r="A107" s="20" t="inlineStr">
        <is>
          <t>Selling &amp; distribution expense</t>
        </is>
      </c>
      <c r="B107" s="21" t="inlineStr">
        <is>
          <t>Rs Mn</t>
        </is>
      </c>
      <c r="C107" s="22" t="inlineStr">
        <is>
          <t>Financial Performance</t>
        </is>
      </c>
      <c r="D107" s="65" t="n"/>
      <c r="E107" s="65" t="n"/>
      <c r="F107" s="65" t="n"/>
      <c r="G107" s="65" t="n"/>
      <c r="H107" s="65" t="n"/>
      <c r="I107" s="65" t="n"/>
      <c r="J107" s="65" t="n"/>
      <c r="K107" s="65" t="n"/>
      <c r="L107" s="65" t="n">
        <v>37</v>
      </c>
      <c r="M107" s="65" t="n"/>
      <c r="N107" s="65" t="n">
        <v>42</v>
      </c>
      <c r="O107" s="65" t="n">
        <v>40</v>
      </c>
      <c r="P107" s="65" t="n">
        <v>52</v>
      </c>
      <c r="Q107" s="65" t="n">
        <v>54</v>
      </c>
      <c r="R107" s="65" t="n">
        <v>65</v>
      </c>
      <c r="S107" s="65" t="n">
        <v>60</v>
      </c>
      <c r="T107" s="65" t="n">
        <v>0</v>
      </c>
      <c r="U107" s="65" t="n">
        <v>0</v>
      </c>
      <c r="V107" s="65" t="n">
        <v>0</v>
      </c>
      <c r="W107" s="65" t="n">
        <v>0</v>
      </c>
      <c r="X107" s="65" t="n"/>
      <c r="Y107" s="65" t="n"/>
      <c r="Z107" s="65" t="n"/>
      <c r="AA107" s="65" t="n"/>
      <c r="AB107" s="19" t="n"/>
      <c r="AC107" s="66" t="n"/>
      <c r="AD107" s="66" t="n"/>
      <c r="AE107" s="66" t="n"/>
      <c r="AF107" s="66">
        <f>IF(COUNT(D107:G107)=0,"",SUM(D107:G107))</f>
        <v/>
      </c>
      <c r="AG107" s="66">
        <f>IF(COUNT(H107:K107)=0,"",SUM(H107:K107))</f>
        <v/>
      </c>
      <c r="AH107" s="66">
        <f>IF(COUNT(L107:O107)=0,"",SUM(L107:O107))</f>
        <v/>
      </c>
      <c r="AI107" s="66">
        <f>IF(COUNT(P107:S107)=0,"",SUM(P107:S107))</f>
        <v/>
      </c>
      <c r="AJ107" s="66">
        <f>IF(COUNT(T107:W107)=0,"",SUM(T107:W107))</f>
        <v/>
      </c>
    </row>
    <row r="108">
      <c r="A108" s="20" t="inlineStr">
        <is>
          <t>Contribution profit</t>
        </is>
      </c>
      <c r="B108" s="21" t="inlineStr">
        <is>
          <t>Rs Mn</t>
        </is>
      </c>
      <c r="C108" s="22" t="n"/>
      <c r="D108" s="66">
        <f>IF(OR(ISBLANK(D103),ISBLANK(D105),ISBLANK(D106),ISBLANK(D107)),"",IFERROR(D103-D105-D106-D107,""))</f>
        <v/>
      </c>
      <c r="E108" s="66">
        <f>IF(OR(ISBLANK(E103),ISBLANK(E105),ISBLANK(E106),ISBLANK(E107)),"",IFERROR(E103-E105-E106-E107,""))</f>
        <v/>
      </c>
      <c r="F108" s="66">
        <f>IF(OR(ISBLANK(F103),ISBLANK(F105),ISBLANK(F106),ISBLANK(F107)),"",IFERROR(F103-F105-F106-F107,""))</f>
        <v/>
      </c>
      <c r="G108" s="66">
        <f>IF(OR(ISBLANK(G103),ISBLANK(G105),ISBLANK(G106),ISBLANK(G107)),"",IFERROR(G103-G105-G106-G107,""))</f>
        <v/>
      </c>
      <c r="H108" s="66">
        <f>IF(OR(ISBLANK(H103),ISBLANK(H105),ISBLANK(H106),ISBLANK(H107)),"",IFERROR(H103-H105-H106-H107,""))</f>
        <v/>
      </c>
      <c r="I108" s="66">
        <f>IF(OR(ISBLANK(I103),ISBLANK(I105),ISBLANK(I106),ISBLANK(I107)),"",IFERROR(I103-I105-I106-I107,""))</f>
        <v/>
      </c>
      <c r="J108" s="66">
        <f>IF(OR(ISBLANK(J103),ISBLANK(J105),ISBLANK(J106),ISBLANK(J107)),"",IFERROR(J103-J105-J106-J107,""))</f>
        <v/>
      </c>
      <c r="K108" s="66">
        <f>IF(OR(ISBLANK(K103),ISBLANK(K105),ISBLANK(K106),ISBLANK(K107)),"",IFERROR(K103-K105-K106-K107,""))</f>
        <v/>
      </c>
      <c r="L108" s="66">
        <f>IF(OR(ISBLANK(L103),ISBLANK(L105),ISBLANK(L106),ISBLANK(L107)),"",IFERROR(L103-L105-L106-L107,""))</f>
        <v/>
      </c>
      <c r="M108" s="66">
        <f>IF(OR(ISBLANK(M103),ISBLANK(M105),ISBLANK(M106),ISBLANK(M107)),"",IFERROR(M103-M105-M106-M107,""))</f>
        <v/>
      </c>
      <c r="N108" s="66">
        <f>IF(OR(ISBLANK(N103),ISBLANK(N105),ISBLANK(N106),ISBLANK(N107)),"",IFERROR(N103-N105-N106-N107,""))</f>
        <v/>
      </c>
      <c r="O108" s="66">
        <f>IF(OR(ISBLANK(O103),ISBLANK(O105),ISBLANK(O106),ISBLANK(O107)),"",IFERROR(O103-O105-O106-O107,""))</f>
        <v/>
      </c>
      <c r="P108" s="66">
        <f>IF(OR(ISBLANK(P103),ISBLANK(P105),ISBLANK(P106),ISBLANK(P107)),"",IFERROR(P103-P105-P106-P107,""))</f>
        <v/>
      </c>
      <c r="Q108" s="66">
        <f>IF(OR(ISBLANK(Q103),ISBLANK(Q105),ISBLANK(Q106),ISBLANK(Q107)),"",IFERROR(Q103-Q105-Q106-Q107,""))</f>
        <v/>
      </c>
      <c r="R108" s="66">
        <f>IF(OR(ISBLANK(R103),ISBLANK(R105),ISBLANK(R106),ISBLANK(R107)),"",IFERROR(R103-R105-R106-R107,""))</f>
        <v/>
      </c>
      <c r="S108" s="66">
        <f>IF(OR(ISBLANK(S103),ISBLANK(S105),ISBLANK(S106),ISBLANK(S107)),"",IFERROR(S103-S105-S106-S107,""))</f>
        <v/>
      </c>
      <c r="T108" s="66">
        <f>IF(OR(ISBLANK(T103),ISBLANK(T105),ISBLANK(T106),ISBLANK(T107)),"",IFERROR(T103-T105-T106-T107,""))</f>
        <v/>
      </c>
      <c r="U108" s="66">
        <f>IF(OR(ISBLANK(U103),ISBLANK(U105),ISBLANK(U106),ISBLANK(U107)),"",IFERROR(U103-U105-U106-U107,""))</f>
        <v/>
      </c>
      <c r="V108" s="66">
        <f>IF(OR(ISBLANK(V103),ISBLANK(V105),ISBLANK(V106),ISBLANK(V107)),"",IFERROR(V103-V105-V106-V107,""))</f>
        <v/>
      </c>
      <c r="W108" s="66">
        <f>IF(OR(ISBLANK(W103),ISBLANK(W105),ISBLANK(W106),ISBLANK(W107)),"",IFERROR(W103-W105-W106-W107,""))</f>
        <v/>
      </c>
      <c r="X108" s="66">
        <f>IF(OR(ISBLANK(X103),ISBLANK(X105),ISBLANK(X106),ISBLANK(X107)),"",IFERROR(X103-X105-X106-X107,""))</f>
        <v/>
      </c>
      <c r="Y108" s="66">
        <f>IF(OR(ISBLANK(Y103),ISBLANK(Y105),ISBLANK(Y106),ISBLANK(Y107)),"",IFERROR(Y103-Y105-Y106-Y107,""))</f>
        <v/>
      </c>
      <c r="Z108" s="66">
        <f>IF(OR(ISBLANK(Z103),ISBLANK(Z105),ISBLANK(Z106),ISBLANK(Z107)),"",IFERROR(Z103-Z105-Z106-Z107,""))</f>
        <v/>
      </c>
      <c r="AA108" s="66">
        <f>IF(OR(ISBLANK(AA103),ISBLANK(AA105),ISBLANK(AA106),ISBLANK(AA107)),"",IFERROR(AA103-AA105-AA106-AA107,""))</f>
        <v/>
      </c>
      <c r="AB108" s="19" t="n"/>
      <c r="AC108" s="66" t="n"/>
      <c r="AD108" s="66" t="n"/>
      <c r="AE108" s="66" t="n"/>
      <c r="AF108" s="66">
        <f>IF(OR(ISBLANK(AF103),ISBLANK(AF105),ISBLANK(AF106),ISBLANK(AF107)),"",IFERROR(AF103-AF105-AF106-AF107,""))</f>
        <v/>
      </c>
      <c r="AG108" s="66">
        <f>IF(OR(ISBLANK(AG103),ISBLANK(AG105),ISBLANK(AG106),ISBLANK(AG107)),"",IFERROR(AG103-AG105-AG106-AG107,""))</f>
        <v/>
      </c>
      <c r="AH108" s="66">
        <f>IF(OR(ISBLANK(AH103),ISBLANK(AH105),ISBLANK(AH106),ISBLANK(AH107)),"",IFERROR(AH103-AH105-AH106-AH107,""))</f>
        <v/>
      </c>
      <c r="AI108" s="66">
        <f>IF(OR(ISBLANK(AI103),ISBLANK(AI105),ISBLANK(AI106),ISBLANK(AI107)),"",IFERROR(AI103-AI105-AI106-AI107,""))</f>
        <v/>
      </c>
      <c r="AJ108" s="66">
        <f>IF(OR(ISBLANK(AJ103),ISBLANK(AJ105),ISBLANK(AJ106),ISBLANK(AJ107)),"",IFERROR(AJ103-AJ105-AJ106-AJ107,""))</f>
        <v/>
      </c>
    </row>
    <row r="109">
      <c r="A109" s="20" t="inlineStr">
        <is>
          <t xml:space="preserve">  Contribution margin (% of NSV)</t>
        </is>
      </c>
      <c r="B109" s="21" t="inlineStr">
        <is>
          <t>%</t>
        </is>
      </c>
      <c r="C109" s="22" t="n"/>
      <c r="D109" s="23">
        <f>IFERROR(D108/D99,"")</f>
        <v/>
      </c>
      <c r="E109" s="23">
        <f>IFERROR(E108/E99,"")</f>
        <v/>
      </c>
      <c r="F109" s="23">
        <f>IFERROR(F108/F99,"")</f>
        <v/>
      </c>
      <c r="G109" s="23">
        <f>IFERROR(G108/G99,"")</f>
        <v/>
      </c>
      <c r="H109" s="23">
        <f>IFERROR(H108/H99,"")</f>
        <v/>
      </c>
      <c r="I109" s="23">
        <f>IFERROR(I108/I99,"")</f>
        <v/>
      </c>
      <c r="J109" s="23">
        <f>IFERROR(J108/J99,"")</f>
        <v/>
      </c>
      <c r="K109" s="23">
        <f>IFERROR(K108/K99,"")</f>
        <v/>
      </c>
      <c r="L109" s="23">
        <f>IFERROR(L108/L99,"")</f>
        <v/>
      </c>
      <c r="M109" s="23">
        <f>IFERROR(M108/M99,"")</f>
        <v/>
      </c>
      <c r="N109" s="23">
        <f>IFERROR(N108/N99,"")</f>
        <v/>
      </c>
      <c r="O109" s="23">
        <f>IFERROR(O108/O99,"")</f>
        <v/>
      </c>
      <c r="P109" s="23">
        <f>IFERROR(P108/P99,"")</f>
        <v/>
      </c>
      <c r="Q109" s="23">
        <f>IFERROR(Q108/Q99,"")</f>
        <v/>
      </c>
      <c r="R109" s="23">
        <f>IFERROR(R108/R99,"")</f>
        <v/>
      </c>
      <c r="S109" s="23">
        <f>IFERROR(S108/S99,"")</f>
        <v/>
      </c>
      <c r="T109" s="23">
        <f>IFERROR(T108/T99,"")</f>
        <v/>
      </c>
      <c r="U109" s="23">
        <f>IFERROR(U108/U99,"")</f>
        <v/>
      </c>
      <c r="V109" s="23">
        <f>IFERROR(V108/V99,"")</f>
        <v/>
      </c>
      <c r="W109" s="23">
        <f>IFERROR(W108/W99,"")</f>
        <v/>
      </c>
      <c r="X109" s="23">
        <f>IFERROR(X108/X99,"")</f>
        <v/>
      </c>
      <c r="Y109" s="23">
        <f>IFERROR(Y108/Y99,"")</f>
        <v/>
      </c>
      <c r="Z109" s="23">
        <f>IFERROR(Z108/Z99,"")</f>
        <v/>
      </c>
      <c r="AA109" s="23">
        <f>IFERROR(AA108/AA99,"")</f>
        <v/>
      </c>
      <c r="AB109" s="19" t="n"/>
      <c r="AC109" s="23" t="n"/>
      <c r="AD109" s="23" t="n"/>
      <c r="AE109" s="23" t="n"/>
      <c r="AF109" s="23">
        <f>IFERROR(AF108/AF99,"")</f>
        <v/>
      </c>
      <c r="AG109" s="23">
        <f>IFERROR(AG108/AG99,"")</f>
        <v/>
      </c>
      <c r="AH109" s="23">
        <f>IFERROR(AH108/AH99,"")</f>
        <v/>
      </c>
      <c r="AI109" s="23">
        <f>IFERROR(AI108/AI99,"")</f>
        <v/>
      </c>
      <c r="AJ109" s="23">
        <f>IFERROR(AJ108/AJ99,"")</f>
        <v/>
      </c>
    </row>
    <row r="110">
      <c r="A110" s="20" t="inlineStr">
        <is>
          <t>Other expenses (G&amp;A + employee)</t>
        </is>
      </c>
      <c r="B110" s="21" t="inlineStr">
        <is>
          <t>Rs Mn</t>
        </is>
      </c>
      <c r="C110" s="22" t="inlineStr">
        <is>
          <t>Financial Performance</t>
        </is>
      </c>
      <c r="D110" s="65" t="n"/>
      <c r="E110" s="65" t="n"/>
      <c r="F110" s="65" t="n"/>
      <c r="G110" s="65" t="n"/>
      <c r="H110" s="65" t="n"/>
      <c r="I110" s="65" t="n"/>
      <c r="J110" s="65" t="n"/>
      <c r="K110" s="65" t="n"/>
      <c r="L110" s="65" t="n">
        <v>384</v>
      </c>
      <c r="M110" s="65" t="n"/>
      <c r="N110" s="65" t="n">
        <v>412</v>
      </c>
      <c r="O110" s="65" t="n">
        <v>430</v>
      </c>
      <c r="P110" s="65" t="n">
        <v>474</v>
      </c>
      <c r="Q110" s="65" t="n">
        <v>500</v>
      </c>
      <c r="R110" s="65" t="n">
        <v>466</v>
      </c>
      <c r="S110" s="65" t="n">
        <v>380</v>
      </c>
      <c r="T110" s="65" t="n">
        <v>420</v>
      </c>
      <c r="U110" s="65" t="n">
        <v>450</v>
      </c>
      <c r="V110" s="65" t="n">
        <v>510</v>
      </c>
      <c r="W110" s="65" t="n">
        <v>470</v>
      </c>
      <c r="X110" s="65" t="n"/>
      <c r="Y110" s="65" t="n"/>
      <c r="Z110" s="65" t="n"/>
      <c r="AA110" s="65" t="n"/>
      <c r="AB110" s="19" t="n"/>
      <c r="AC110" s="66" t="n"/>
      <c r="AD110" s="66" t="n"/>
      <c r="AE110" s="66" t="n"/>
      <c r="AF110" s="66">
        <f>IF(COUNT(D110:G110)=0,"",SUM(D110:G110))</f>
        <v/>
      </c>
      <c r="AG110" s="66">
        <f>IF(COUNT(H110:K110)=0,"",SUM(H110:K110))</f>
        <v/>
      </c>
      <c r="AH110" s="66">
        <f>IF(COUNT(L110:O110)=0,"",SUM(L110:O110))</f>
        <v/>
      </c>
      <c r="AI110" s="66">
        <f>IF(COUNT(P110:S110)=0,"",SUM(P110:S110))</f>
        <v/>
      </c>
      <c r="AJ110" s="66">
        <f>IF(COUNT(T110:W110)=0,"",SUM(T110:W110))</f>
        <v/>
      </c>
    </row>
    <row r="111">
      <c r="A111" s="20" t="inlineStr">
        <is>
          <t>EBITDA</t>
        </is>
      </c>
      <c r="B111" s="21" t="inlineStr">
        <is>
          <t>Rs Mn</t>
        </is>
      </c>
      <c r="C111" s="22" t="n"/>
      <c r="D111" s="66">
        <f>IF(OR(ISBLANK(D108),ISBLANK(D110)),"",IFERROR(D108-D110,""))</f>
        <v/>
      </c>
      <c r="E111" s="66">
        <f>IF(OR(ISBLANK(E108),ISBLANK(E110)),"",IFERROR(E108-E110,""))</f>
        <v/>
      </c>
      <c r="F111" s="66">
        <f>IF(OR(ISBLANK(F108),ISBLANK(F110)),"",IFERROR(F108-F110,""))</f>
        <v/>
      </c>
      <c r="G111" s="66">
        <f>IF(OR(ISBLANK(G108),ISBLANK(G110)),"",IFERROR(G108-G110,""))</f>
        <v/>
      </c>
      <c r="H111" s="66">
        <f>IF(OR(ISBLANK(H108),ISBLANK(H110)),"",IFERROR(H108-H110,""))</f>
        <v/>
      </c>
      <c r="I111" s="66">
        <f>IF(OR(ISBLANK(I108),ISBLANK(I110)),"",IFERROR(I108-I110,""))</f>
        <v/>
      </c>
      <c r="J111" s="66">
        <f>IF(OR(ISBLANK(J108),ISBLANK(J110)),"",IFERROR(J108-J110,""))</f>
        <v/>
      </c>
      <c r="K111" s="66">
        <f>IF(OR(ISBLANK(K108),ISBLANK(K110)),"",IFERROR(K108-K110,""))</f>
        <v/>
      </c>
      <c r="L111" s="66">
        <f>IF(OR(ISBLANK(L108),ISBLANK(L110)),"",IFERROR(L108-L110,""))</f>
        <v/>
      </c>
      <c r="M111" s="66">
        <f>IF(OR(ISBLANK(M108),ISBLANK(M110)),"",IFERROR(M108-M110,""))</f>
        <v/>
      </c>
      <c r="N111" s="66">
        <f>IF(OR(ISBLANK(N108),ISBLANK(N110)),"",IFERROR(N108-N110,""))</f>
        <v/>
      </c>
      <c r="O111" s="66">
        <f>IF(OR(ISBLANK(O108),ISBLANK(O110)),"",IFERROR(O108-O110,""))</f>
        <v/>
      </c>
      <c r="P111" s="66">
        <f>IF(OR(ISBLANK(P108),ISBLANK(P110)),"",IFERROR(P108-P110,""))</f>
        <v/>
      </c>
      <c r="Q111" s="66">
        <f>IF(OR(ISBLANK(Q108),ISBLANK(Q110)),"",IFERROR(Q108-Q110,""))</f>
        <v/>
      </c>
      <c r="R111" s="66">
        <f>IF(OR(ISBLANK(R108),ISBLANK(R110)),"",IFERROR(R108-R110,""))</f>
        <v/>
      </c>
      <c r="S111" s="66">
        <f>IF(OR(ISBLANK(S108),ISBLANK(S110)),"",IFERROR(S108-S110,""))</f>
        <v/>
      </c>
      <c r="T111" s="66">
        <f>IF(OR(ISBLANK(T108),ISBLANK(T110)),"",IFERROR(T108-T110,""))</f>
        <v/>
      </c>
      <c r="U111" s="66">
        <f>IF(OR(ISBLANK(U108),ISBLANK(U110)),"",IFERROR(U108-U110,""))</f>
        <v/>
      </c>
      <c r="V111" s="66">
        <f>IF(OR(ISBLANK(V108),ISBLANK(V110)),"",IFERROR(V108-V110,""))</f>
        <v/>
      </c>
      <c r="W111" s="66">
        <f>IF(OR(ISBLANK(W108),ISBLANK(W110)),"",IFERROR(W108-W110,""))</f>
        <v/>
      </c>
      <c r="X111" s="66">
        <f>IF(OR(ISBLANK(X108),ISBLANK(X110)),"",IFERROR(X108-X110,""))</f>
        <v/>
      </c>
      <c r="Y111" s="66">
        <f>IF(OR(ISBLANK(Y108),ISBLANK(Y110)),"",IFERROR(Y108-Y110,""))</f>
        <v/>
      </c>
      <c r="Z111" s="66">
        <f>IF(OR(ISBLANK(Z108),ISBLANK(Z110)),"",IFERROR(Z108-Z110,""))</f>
        <v/>
      </c>
      <c r="AA111" s="66">
        <f>IF(OR(ISBLANK(AA108),ISBLANK(AA110)),"",IFERROR(AA108-AA110,""))</f>
        <v/>
      </c>
      <c r="AB111" s="19" t="n"/>
      <c r="AC111" s="66" t="n"/>
      <c r="AD111" s="66" t="n"/>
      <c r="AE111" s="66" t="n"/>
      <c r="AF111" s="66">
        <f>IF(OR(ISBLANK(AF108),ISBLANK(AF110)),"",IFERROR(AF108-AF110,""))</f>
        <v/>
      </c>
      <c r="AG111" s="66">
        <f>IF(OR(ISBLANK(AG108),ISBLANK(AG110)),"",IFERROR(AG108-AG110,""))</f>
        <v/>
      </c>
      <c r="AH111" s="66">
        <f>IF(OR(ISBLANK(AH108),ISBLANK(AH110)),"",IFERROR(AH108-AH110,""))</f>
        <v/>
      </c>
      <c r="AI111" s="66">
        <f>IF(OR(ISBLANK(AI108),ISBLANK(AI110)),"",IFERROR(AI108-AI110,""))</f>
        <v/>
      </c>
      <c r="AJ111" s="66">
        <f>IF(OR(ISBLANK(AJ108),ISBLANK(AJ110)),"",IFERROR(AJ108-AJ110,""))</f>
        <v/>
      </c>
    </row>
    <row r="112">
      <c r="A112" s="20" t="inlineStr">
        <is>
          <t xml:space="preserve">  EBITDA margin (% of NSV)</t>
        </is>
      </c>
      <c r="B112" s="21" t="inlineStr">
        <is>
          <t>%</t>
        </is>
      </c>
      <c r="C112" s="22" t="n"/>
      <c r="D112" s="23">
        <f>IFERROR(D111/D99,"")</f>
        <v/>
      </c>
      <c r="E112" s="23">
        <f>IFERROR(E111/E99,"")</f>
        <v/>
      </c>
      <c r="F112" s="23">
        <f>IFERROR(F111/F99,"")</f>
        <v/>
      </c>
      <c r="G112" s="23">
        <f>IFERROR(G111/G99,"")</f>
        <v/>
      </c>
      <c r="H112" s="23">
        <f>IFERROR(H111/H99,"")</f>
        <v/>
      </c>
      <c r="I112" s="23">
        <f>IFERROR(I111/I99,"")</f>
        <v/>
      </c>
      <c r="J112" s="23">
        <f>IFERROR(J111/J99,"")</f>
        <v/>
      </c>
      <c r="K112" s="23">
        <f>IFERROR(K111/K99,"")</f>
        <v/>
      </c>
      <c r="L112" s="23">
        <f>IFERROR(L111/L99,"")</f>
        <v/>
      </c>
      <c r="M112" s="23">
        <f>IFERROR(M111/M99,"")</f>
        <v/>
      </c>
      <c r="N112" s="23">
        <f>IFERROR(N111/N99,"")</f>
        <v/>
      </c>
      <c r="O112" s="23">
        <f>IFERROR(O111/O99,"")</f>
        <v/>
      </c>
      <c r="P112" s="23">
        <f>IFERROR(P111/P99,"")</f>
        <v/>
      </c>
      <c r="Q112" s="23">
        <f>IFERROR(Q111/Q99,"")</f>
        <v/>
      </c>
      <c r="R112" s="23">
        <f>IFERROR(R111/R99,"")</f>
        <v/>
      </c>
      <c r="S112" s="23">
        <f>IFERROR(S111/S99,"")</f>
        <v/>
      </c>
      <c r="T112" s="23">
        <f>IFERROR(T111/T99,"")</f>
        <v/>
      </c>
      <c r="U112" s="23">
        <f>IFERROR(U111/U99,"")</f>
        <v/>
      </c>
      <c r="V112" s="23">
        <f>IFERROR(V111/V99,"")</f>
        <v/>
      </c>
      <c r="W112" s="23">
        <f>IFERROR(W111/W99,"")</f>
        <v/>
      </c>
      <c r="X112" s="23">
        <f>IFERROR(X111/X99,"")</f>
        <v/>
      </c>
      <c r="Y112" s="23">
        <f>IFERROR(Y111/Y99,"")</f>
        <v/>
      </c>
      <c r="Z112" s="23">
        <f>IFERROR(Z111/Z99,"")</f>
        <v/>
      </c>
      <c r="AA112" s="23">
        <f>IFERROR(AA111/AA99,"")</f>
        <v/>
      </c>
      <c r="AB112" s="19" t="n"/>
      <c r="AC112" s="23" t="n"/>
      <c r="AD112" s="23" t="n"/>
      <c r="AE112" s="23" t="n"/>
      <c r="AF112" s="23">
        <f>IFERROR(AF111/AF99,"")</f>
        <v/>
      </c>
      <c r="AG112" s="23">
        <f>IFERROR(AG111/AG99,"")</f>
        <v/>
      </c>
      <c r="AH112" s="23">
        <f>IFERROR(AH111/AH99,"")</f>
        <v/>
      </c>
      <c r="AI112" s="23">
        <f>IFERROR(AI111/AI99,"")</f>
        <v/>
      </c>
      <c r="AJ112" s="23">
        <f>IFERROR(AJ111/AJ99,"")</f>
        <v/>
      </c>
    </row>
    <row r="113">
      <c r="AB113" s="19" t="n"/>
    </row>
    <row r="114">
      <c r="A114" s="20" t="inlineStr">
        <is>
          <t>Owned-brand GMV</t>
        </is>
      </c>
      <c r="B114" s="21" t="inlineStr">
        <is>
          <t>Rs Mn</t>
        </is>
      </c>
      <c r="C114" s="22" t="inlineStr">
        <is>
          <t>Fashion</t>
        </is>
      </c>
      <c r="D114" s="65" t="n">
        <v>210</v>
      </c>
      <c r="E114" s="65" t="n">
        <v>290</v>
      </c>
      <c r="F114" s="65" t="n">
        <v>406</v>
      </c>
      <c r="G114" s="65" t="n"/>
      <c r="H114" s="65" t="n">
        <v>706</v>
      </c>
      <c r="I114" s="65" t="n">
        <v>780</v>
      </c>
      <c r="J114" s="65" t="n">
        <v>902</v>
      </c>
      <c r="K114" s="65" t="n"/>
      <c r="L114" s="65" t="n">
        <v>916</v>
      </c>
      <c r="M114" s="65" t="n">
        <v>989</v>
      </c>
      <c r="N114" s="65" t="n">
        <v>1174</v>
      </c>
      <c r="O114" s="65" t="n"/>
      <c r="P114" s="65" t="n">
        <v>903</v>
      </c>
      <c r="Q114" s="65" t="n">
        <v>1090</v>
      </c>
      <c r="R114" s="65" t="n">
        <v>1200</v>
      </c>
      <c r="S114" s="65" t="n">
        <v>1120</v>
      </c>
      <c r="T114" s="65" t="n">
        <v>970</v>
      </c>
      <c r="U114" s="65" t="n">
        <v>950</v>
      </c>
      <c r="V114" s="65" t="n"/>
      <c r="W114" s="65" t="n"/>
      <c r="X114" s="65" t="n"/>
      <c r="Y114" s="65" t="n"/>
      <c r="Z114" s="65" t="n"/>
      <c r="AA114" s="65" t="n"/>
      <c r="AB114" s="19" t="n"/>
      <c r="AC114" s="66" t="n"/>
      <c r="AD114" s="66" t="n"/>
      <c r="AE114" s="66" t="n"/>
      <c r="AF114" s="66">
        <f>IF(COUNT(D114:G114)=0,"",SUM(D114:G114))</f>
        <v/>
      </c>
      <c r="AG114" s="66">
        <f>IF(COUNT(H114:K114)=0,"",SUM(H114:K114))</f>
        <v/>
      </c>
      <c r="AH114" s="66">
        <f>IF(COUNT(L114:O114)=0,"",SUM(L114:O114))</f>
        <v/>
      </c>
      <c r="AI114" s="66">
        <f>IF(COUNT(P114:S114)=0,"",SUM(P114:S114))</f>
        <v/>
      </c>
      <c r="AJ114" s="66">
        <f>IF(COUNT(T114:W114)=0,"",SUM(T114:W114))</f>
        <v/>
      </c>
    </row>
    <row r="115">
      <c r="A115" s="20" t="inlineStr">
        <is>
          <t xml:space="preserve">  Owned-brand share of Fashion GMV</t>
        </is>
      </c>
      <c r="B115" s="21" t="inlineStr">
        <is>
          <t>%</t>
        </is>
      </c>
      <c r="C115" s="22" t="n"/>
      <c r="D115" s="23">
        <f>IFERROR(D114/D96,"")</f>
        <v/>
      </c>
      <c r="E115" s="23">
        <f>IFERROR(E114/E96,"")</f>
        <v/>
      </c>
      <c r="F115" s="23">
        <f>IFERROR(F114/F96,"")</f>
        <v/>
      </c>
      <c r="G115" s="23">
        <f>IFERROR(G114/G96,"")</f>
        <v/>
      </c>
      <c r="H115" s="23">
        <f>IFERROR(H114/H96,"")</f>
        <v/>
      </c>
      <c r="I115" s="23">
        <f>IFERROR(I114/I96,"")</f>
        <v/>
      </c>
      <c r="J115" s="23">
        <f>IFERROR(J114/J96,"")</f>
        <v/>
      </c>
      <c r="K115" s="23">
        <f>IFERROR(K114/K96,"")</f>
        <v/>
      </c>
      <c r="L115" s="23">
        <f>IFERROR(L114/L96,"")</f>
        <v/>
      </c>
      <c r="M115" s="23">
        <f>IFERROR(M114/M96,"")</f>
        <v/>
      </c>
      <c r="N115" s="23">
        <f>IFERROR(N114/N96,"")</f>
        <v/>
      </c>
      <c r="O115" s="23">
        <f>IFERROR(O114/O96,"")</f>
        <v/>
      </c>
      <c r="P115" s="23">
        <f>IFERROR(P114/P96,"")</f>
        <v/>
      </c>
      <c r="Q115" s="23">
        <f>IFERROR(Q114/Q96,"")</f>
        <v/>
      </c>
      <c r="R115" s="23">
        <f>IFERROR(R114/R96,"")</f>
        <v/>
      </c>
      <c r="S115" s="23">
        <f>IFERROR(S114/S96,"")</f>
        <v/>
      </c>
      <c r="T115" s="23">
        <f>IFERROR(T114/T96,"")</f>
        <v/>
      </c>
      <c r="U115" s="23">
        <f>IFERROR(U114/U96,"")</f>
        <v/>
      </c>
      <c r="V115" s="23">
        <f>IFERROR(V114/V96,"")</f>
        <v/>
      </c>
      <c r="W115" s="23">
        <f>IFERROR(W114/W96,"")</f>
        <v/>
      </c>
      <c r="X115" s="23">
        <f>IFERROR(X114/X96,"")</f>
        <v/>
      </c>
      <c r="Y115" s="23">
        <f>IFERROR(Y114/Y96,"")</f>
        <v/>
      </c>
      <c r="Z115" s="23">
        <f>IFERROR(Z114/Z96,"")</f>
        <v/>
      </c>
      <c r="AA115" s="23">
        <f>IFERROR(AA114/AA96,"")</f>
        <v/>
      </c>
      <c r="AB115" s="19" t="n"/>
      <c r="AC115" s="23" t="n"/>
      <c r="AD115" s="23" t="n"/>
      <c r="AE115" s="23" t="n"/>
      <c r="AF115" s="23">
        <f>IFERROR(AF114/AF96,"")</f>
        <v/>
      </c>
      <c r="AG115" s="23">
        <f>IFERROR(AG114/AG96,"")</f>
        <v/>
      </c>
      <c r="AH115" s="23">
        <f>IFERROR(AH114/AH96,"")</f>
        <v/>
      </c>
      <c r="AI115" s="23">
        <f>IFERROR(AI114/AI96,"")</f>
        <v/>
      </c>
      <c r="AJ115" s="23">
        <f>IFERROR(AJ114/AJ96,"")</f>
        <v/>
      </c>
    </row>
    <row r="116">
      <c r="A116" s="20" t="inlineStr">
        <is>
          <t>Number of owned brands</t>
        </is>
      </c>
      <c r="B116" s="21" t="inlineStr">
        <is>
          <t>#</t>
        </is>
      </c>
      <c r="C116" s="22" t="inlineStr">
        <is>
          <t>Fashion</t>
        </is>
      </c>
      <c r="D116" s="69" t="n">
        <v>6</v>
      </c>
      <c r="E116" s="69" t="n">
        <v>7</v>
      </c>
      <c r="F116" s="69" t="n"/>
      <c r="G116" s="69" t="n"/>
      <c r="H116" s="69" t="n">
        <v>11</v>
      </c>
      <c r="I116" s="69" t="n">
        <v>11</v>
      </c>
      <c r="J116" s="69" t="n"/>
      <c r="K116" s="69" t="n"/>
      <c r="L116" s="69" t="n">
        <v>13</v>
      </c>
      <c r="M116" s="69" t="n"/>
      <c r="N116" s="69" t="n"/>
      <c r="O116" s="69" t="n"/>
      <c r="P116" s="69" t="n"/>
      <c r="Q116" s="69" t="n"/>
      <c r="R116" s="69" t="n"/>
      <c r="S116" s="69" t="n"/>
      <c r="T116" s="69" t="n"/>
      <c r="U116" s="69" t="n"/>
      <c r="V116" s="69" t="n"/>
      <c r="W116" s="69" t="n"/>
      <c r="X116" s="69" t="n"/>
      <c r="Y116" s="69" t="n"/>
      <c r="Z116" s="69" t="n"/>
      <c r="AA116" s="69" t="n"/>
      <c r="AB116" s="19" t="n"/>
      <c r="AC116" s="41" t="n"/>
      <c r="AD116" s="41" t="n"/>
      <c r="AE116" s="41" t="n"/>
      <c r="AF116" s="41">
        <f>IF(G116="","",G116)</f>
        <v/>
      </c>
      <c r="AG116" s="41">
        <f>IF(K116="","",K116)</f>
        <v/>
      </c>
      <c r="AH116" s="41">
        <f>IF(O116="","",O116)</f>
        <v/>
      </c>
      <c r="AI116" s="41">
        <f>IF(S116="","",S116)</f>
        <v/>
      </c>
      <c r="AJ116" s="41">
        <f>IF(W116="","",W116)</f>
        <v/>
      </c>
    </row>
    <row r="117">
      <c r="A117" s="20" t="inlineStr">
        <is>
          <t>Fashion app downloads (cumulative)</t>
        </is>
      </c>
      <c r="B117" s="21" t="inlineStr">
        <is>
          <t>mn</t>
        </is>
      </c>
      <c r="C117" s="22" t="inlineStr">
        <is>
          <t>Fashion</t>
        </is>
      </c>
      <c r="D117" s="63" t="n"/>
      <c r="E117" s="63" t="n"/>
      <c r="F117" s="63" t="n"/>
      <c r="G117" s="63" t="n"/>
      <c r="H117" s="63" t="n"/>
      <c r="I117" s="63" t="n"/>
      <c r="J117" s="63" t="n"/>
      <c r="K117" s="63" t="n"/>
      <c r="L117" s="63" t="n"/>
      <c r="M117" s="63" t="n"/>
      <c r="N117" s="63" t="n"/>
      <c r="O117" s="63" t="n"/>
      <c r="P117" s="63" t="n"/>
      <c r="Q117" s="63" t="n"/>
      <c r="R117" s="63" t="n"/>
      <c r="S117" s="63" t="n"/>
      <c r="T117" s="63" t="n"/>
      <c r="U117" s="63" t="n"/>
      <c r="V117" s="63" t="n"/>
      <c r="W117" s="63" t="n"/>
      <c r="X117" s="63" t="n"/>
      <c r="Y117" s="63" t="n"/>
      <c r="Z117" s="63" t="n"/>
      <c r="AA117" s="63" t="n"/>
      <c r="AB117" s="19" t="n"/>
      <c r="AC117" s="36" t="n"/>
      <c r="AD117" s="36" t="n"/>
      <c r="AE117" s="36" t="n"/>
      <c r="AF117" s="36">
        <f>IF(G117="","",G117)</f>
        <v/>
      </c>
      <c r="AG117" s="36">
        <f>IF(K117="","",K117)</f>
        <v/>
      </c>
      <c r="AH117" s="36">
        <f>IF(O117="","",O117)</f>
        <v/>
      </c>
      <c r="AI117" s="36">
        <f>IF(S117="","",S117)</f>
        <v/>
      </c>
      <c r="AJ117" s="36">
        <f>IF(W117="","",W117)</f>
        <v/>
      </c>
    </row>
    <row r="118">
      <c r="AB118" s="19" t="n"/>
    </row>
    <row r="119">
      <c r="A119" s="5" t="inlineStr">
        <is>
          <t>New Business (GCC + International)</t>
        </is>
      </c>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44" t="n"/>
      <c r="AC119" s="5" t="n"/>
      <c r="AD119" s="5" t="n"/>
      <c r="AE119" s="5" t="n"/>
      <c r="AF119" s="5" t="n"/>
      <c r="AG119" s="5" t="n"/>
      <c r="AH119" s="5" t="n"/>
      <c r="AI119" s="5" t="n"/>
      <c r="AJ119" s="5" t="n"/>
    </row>
    <row r="120">
      <c r="A120" s="17" t="inlineStr">
        <is>
          <t>Beauty retail in the Gulf Cooperation Council (via Apparel Group JV) and international markets. P&amp;L lines derived as Total - Beauty - Fashion from the Financial Performance Total/Beauty/Fashion table, since New Business is rarely broken out on its own.</t>
        </is>
      </c>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45" t="n"/>
      <c r="AC120" s="17" t="n"/>
      <c r="AD120" s="17" t="n"/>
      <c r="AE120" s="17" t="n"/>
      <c r="AF120" s="17" t="n"/>
      <c r="AG120" s="17" t="n"/>
      <c r="AH120" s="17" t="n"/>
      <c r="AI120" s="17" t="n"/>
      <c r="AJ120" s="17" t="n"/>
    </row>
    <row r="121">
      <c r="A121" s="20" t="inlineStr">
        <is>
          <t>Number of visits</t>
        </is>
      </c>
      <c r="B121" s="21" t="inlineStr">
        <is>
          <t>mn</t>
        </is>
      </c>
      <c r="C121" s="22" t="inlineStr">
        <is>
          <t>Financial Performance / Segment note</t>
        </is>
      </c>
      <c r="D121" s="63" t="n"/>
      <c r="E121" s="63" t="n"/>
      <c r="F121" s="63" t="n"/>
      <c r="G121" s="63" t="n"/>
      <c r="H121" s="63" t="n"/>
      <c r="I121" s="63" t="n"/>
      <c r="J121" s="63" t="n"/>
      <c r="K121" s="63" t="n"/>
      <c r="L121" s="63" t="n"/>
      <c r="M121" s="63" t="n"/>
      <c r="N121" s="63" t="n"/>
      <c r="O121" s="63" t="n"/>
      <c r="P121" s="63" t="n"/>
      <c r="Q121" s="63" t="n"/>
      <c r="R121" s="63" t="n"/>
      <c r="S121" s="63" t="n"/>
      <c r="T121" s="63" t="n"/>
      <c r="U121" s="63" t="n"/>
      <c r="V121" s="63" t="n"/>
      <c r="W121" s="63" t="n"/>
      <c r="X121" s="63" t="n"/>
      <c r="Y121" s="63" t="n"/>
      <c r="Z121" s="63" t="n"/>
      <c r="AA121" s="63" t="n"/>
      <c r="AB121" s="19" t="n"/>
      <c r="AC121" s="36" t="n"/>
      <c r="AD121" s="36" t="n"/>
      <c r="AE121" s="36" t="n"/>
      <c r="AF121" s="36">
        <f>IF(COUNT(D121:G121)=0,"",SUM(D121:G121))</f>
        <v/>
      </c>
      <c r="AG121" s="36">
        <f>IF(COUNT(H121:K121)=0,"",SUM(H121:K121))</f>
        <v/>
      </c>
      <c r="AH121" s="36">
        <f>IF(COUNT(L121:O121)=0,"",SUM(L121:O121))</f>
        <v/>
      </c>
      <c r="AI121" s="36">
        <f>IF(COUNT(P121:S121)=0,"",SUM(P121:S121))</f>
        <v/>
      </c>
      <c r="AJ121" s="36">
        <f>IF(COUNT(T121:W121)=0,"",SUM(T121:W121))</f>
        <v/>
      </c>
    </row>
    <row r="122">
      <c r="A122" s="20" t="inlineStr">
        <is>
          <t>Annual transacting customers</t>
        </is>
      </c>
      <c r="B122" s="21" t="inlineStr">
        <is>
          <t>mn</t>
        </is>
      </c>
      <c r="C122" s="22" t="inlineStr">
        <is>
          <t>Financial Performance / Segment note</t>
        </is>
      </c>
      <c r="D122" s="63" t="n"/>
      <c r="E122" s="63" t="n"/>
      <c r="F122" s="63" t="n"/>
      <c r="G122" s="63" t="n"/>
      <c r="H122" s="63" t="n"/>
      <c r="I122" s="63" t="n"/>
      <c r="J122" s="63" t="n"/>
      <c r="K122" s="63" t="n"/>
      <c r="L122" s="63" t="n"/>
      <c r="M122" s="63" t="n"/>
      <c r="N122" s="63" t="n"/>
      <c r="O122" s="63" t="n"/>
      <c r="P122" s="63" t="n"/>
      <c r="Q122" s="63" t="n"/>
      <c r="R122" s="63" t="n"/>
      <c r="S122" s="63" t="n"/>
      <c r="T122" s="63" t="n"/>
      <c r="U122" s="63" t="n"/>
      <c r="V122" s="63" t="n"/>
      <c r="W122" s="63" t="n"/>
      <c r="X122" s="63" t="n"/>
      <c r="Y122" s="63" t="n"/>
      <c r="Z122" s="63" t="n"/>
      <c r="AA122" s="63" t="n"/>
      <c r="AB122" s="19" t="n"/>
      <c r="AC122" s="36" t="n"/>
      <c r="AD122" s="36" t="n"/>
      <c r="AE122" s="36" t="n"/>
      <c r="AF122" s="36">
        <f>IF(G122="","",G122)</f>
        <v/>
      </c>
      <c r="AG122" s="36">
        <f>IF(K122="","",K122)</f>
        <v/>
      </c>
      <c r="AH122" s="36">
        <f>IF(O122="","",O122)</f>
        <v/>
      </c>
      <c r="AI122" s="36">
        <f>IF(S122="","",S122)</f>
        <v/>
      </c>
      <c r="AJ122" s="36">
        <f>IF(W122="","",W122)</f>
        <v/>
      </c>
    </row>
    <row r="123">
      <c r="A123" s="20" t="inlineStr">
        <is>
          <t>Number of orders</t>
        </is>
      </c>
      <c r="B123" s="21" t="inlineStr">
        <is>
          <t>mn</t>
        </is>
      </c>
      <c r="C123" s="22" t="inlineStr">
        <is>
          <t>Financial Performance / Segment note</t>
        </is>
      </c>
      <c r="D123" s="63" t="n"/>
      <c r="E123" s="63" t="n"/>
      <c r="F123" s="63" t="n"/>
      <c r="G123" s="63" t="n"/>
      <c r="H123" s="63" t="n"/>
      <c r="I123" s="63" t="n"/>
      <c r="J123" s="63" t="n"/>
      <c r="K123" s="63" t="n"/>
      <c r="L123" s="63" t="n"/>
      <c r="M123" s="63" t="n"/>
      <c r="N123" s="63" t="n"/>
      <c r="O123" s="63" t="n"/>
      <c r="P123" s="63" t="n"/>
      <c r="Q123" s="63" t="n"/>
      <c r="R123" s="63" t="n"/>
      <c r="S123" s="63" t="n"/>
      <c r="T123" s="63" t="n"/>
      <c r="U123" s="63" t="n"/>
      <c r="V123" s="63" t="n"/>
      <c r="W123" s="63" t="n"/>
      <c r="X123" s="63" t="n"/>
      <c r="Y123" s="63" t="n"/>
      <c r="Z123" s="63" t="n"/>
      <c r="AA123" s="63" t="n"/>
      <c r="AB123" s="19" t="n"/>
      <c r="AC123" s="36" t="n"/>
      <c r="AD123" s="36" t="n"/>
      <c r="AE123" s="36" t="n"/>
      <c r="AF123" s="36">
        <f>IF(COUNT(D123:G123)=0,"",SUM(D123:G123))</f>
        <v/>
      </c>
      <c r="AG123" s="36">
        <f>IF(COUNT(H123:K123)=0,"",SUM(H123:K123))</f>
        <v/>
      </c>
      <c r="AH123" s="36">
        <f>IF(COUNT(L123:O123)=0,"",SUM(L123:O123))</f>
        <v/>
      </c>
      <c r="AI123" s="36">
        <f>IF(COUNT(P123:S123)=0,"",SUM(P123:S123))</f>
        <v/>
      </c>
      <c r="AJ123" s="36">
        <f>IF(COUNT(T123:W123)=0,"",SUM(T123:W123))</f>
        <v/>
      </c>
    </row>
    <row r="124">
      <c r="A124" s="20" t="inlineStr">
        <is>
          <t>GMV</t>
        </is>
      </c>
      <c r="B124" s="21" t="inlineStr">
        <is>
          <t>Rs Mn</t>
        </is>
      </c>
      <c r="C124" s="22" t="n"/>
      <c r="D124" s="66">
        <f>IF(OR(ISBLANK(D11),ISBLANK(D39),ISBLANK(D96)),"",IFERROR(D11-D39-D96,""))</f>
        <v/>
      </c>
      <c r="E124" s="66">
        <f>IF(OR(ISBLANK(E11),ISBLANK(E39),ISBLANK(E96)),"",IFERROR(E11-E39-E96,""))</f>
        <v/>
      </c>
      <c r="F124" s="66">
        <f>IF(OR(ISBLANK(F11),ISBLANK(F39),ISBLANK(F96)),"",IFERROR(F11-F39-F96,""))</f>
        <v/>
      </c>
      <c r="G124" s="66">
        <f>IF(OR(ISBLANK(G11),ISBLANK(G39),ISBLANK(G96)),"",IFERROR(G11-G39-G96,""))</f>
        <v/>
      </c>
      <c r="H124" s="66">
        <f>IF(OR(ISBLANK(H11),ISBLANK(H39),ISBLANK(H96)),"",IFERROR(H11-H39-H96,""))</f>
        <v/>
      </c>
      <c r="I124" s="66">
        <f>IF(OR(ISBLANK(I11),ISBLANK(I39),ISBLANK(I96)),"",IFERROR(I11-I39-I96,""))</f>
        <v/>
      </c>
      <c r="J124" s="66">
        <f>IF(OR(ISBLANK(J11),ISBLANK(J39),ISBLANK(J96)),"",IFERROR(J11-J39-J96,""))</f>
        <v/>
      </c>
      <c r="K124" s="66">
        <f>IF(OR(ISBLANK(K11),ISBLANK(K39),ISBLANK(K96)),"",IFERROR(K11-K39-K96,""))</f>
        <v/>
      </c>
      <c r="L124" s="66">
        <f>IF(OR(ISBLANK(L11),ISBLANK(L39),ISBLANK(L96)),"",IFERROR(L11-L39-L96,""))</f>
        <v/>
      </c>
      <c r="M124" s="66">
        <f>IF(OR(ISBLANK(M11),ISBLANK(M39),ISBLANK(M96)),"",IFERROR(M11-M39-M96,""))</f>
        <v/>
      </c>
      <c r="N124" s="66">
        <f>IF(OR(ISBLANK(N11),ISBLANK(N39),ISBLANK(N96)),"",IFERROR(N11-N39-N96,""))</f>
        <v/>
      </c>
      <c r="O124" s="66">
        <f>IF(OR(ISBLANK(O11),ISBLANK(O39),ISBLANK(O96)),"",IFERROR(O11-O39-O96,""))</f>
        <v/>
      </c>
      <c r="P124" s="66">
        <f>IF(OR(ISBLANK(P11),ISBLANK(P39),ISBLANK(P96)),"",IFERROR(P11-P39-P96,""))</f>
        <v/>
      </c>
      <c r="Q124" s="66">
        <f>IF(OR(ISBLANK(Q11),ISBLANK(Q39),ISBLANK(Q96)),"",IFERROR(Q11-Q39-Q96,""))</f>
        <v/>
      </c>
      <c r="R124" s="66">
        <f>IF(OR(ISBLANK(R11),ISBLANK(R39),ISBLANK(R96)),"",IFERROR(R11-R39-R96,""))</f>
        <v/>
      </c>
      <c r="S124" s="66">
        <f>IF(OR(ISBLANK(S11),ISBLANK(S39),ISBLANK(S96)),"",IFERROR(S11-S39-S96,""))</f>
        <v/>
      </c>
      <c r="T124" s="66">
        <f>IF(OR(ISBLANK(T11),ISBLANK(T39),ISBLANK(T96)),"",IFERROR(T11-T39-T96,""))</f>
        <v/>
      </c>
      <c r="U124" s="66">
        <f>IF(OR(ISBLANK(U11),ISBLANK(U39),ISBLANK(U96)),"",IFERROR(U11-U39-U96,""))</f>
        <v/>
      </c>
      <c r="V124" s="66">
        <f>IF(OR(ISBLANK(V11),ISBLANK(V39),ISBLANK(V96)),"",IFERROR(V11-V39-V96,""))</f>
        <v/>
      </c>
      <c r="W124" s="66">
        <f>IF(OR(ISBLANK(W11),ISBLANK(W39),ISBLANK(W96)),"",IFERROR(W11-W39-W96,""))</f>
        <v/>
      </c>
      <c r="X124" s="66">
        <f>IF(OR(ISBLANK(X11),ISBLANK(X39),ISBLANK(X96)),"",IFERROR(X11-X39-X96,""))</f>
        <v/>
      </c>
      <c r="Y124" s="66">
        <f>IF(OR(ISBLANK(Y11),ISBLANK(Y39),ISBLANK(Y96)),"",IFERROR(Y11-Y39-Y96,""))</f>
        <v/>
      </c>
      <c r="Z124" s="66">
        <f>IF(OR(ISBLANK(Z11),ISBLANK(Z39),ISBLANK(Z96)),"",IFERROR(Z11-Z39-Z96,""))</f>
        <v/>
      </c>
      <c r="AA124" s="66">
        <f>IF(OR(ISBLANK(AA11),ISBLANK(AA39),ISBLANK(AA96)),"",IFERROR(AA11-AA39-AA96,""))</f>
        <v/>
      </c>
      <c r="AB124" s="19" t="n"/>
      <c r="AC124" s="66" t="n"/>
      <c r="AD124" s="66" t="n"/>
      <c r="AE124" s="66" t="n"/>
      <c r="AF124" s="66">
        <f>IF(OR(ISBLANK(AF11),ISBLANK(AF39),ISBLANK(AF96)),"",IFERROR(AF11-AF39-AF96,""))</f>
        <v/>
      </c>
      <c r="AG124" s="66">
        <f>IF(OR(ISBLANK(AG11),ISBLANK(AG39),ISBLANK(AG96)),"",IFERROR(AG11-AG39-AG96,""))</f>
        <v/>
      </c>
      <c r="AH124" s="66">
        <f>IF(OR(ISBLANK(AH11),ISBLANK(AH39),ISBLANK(AH96)),"",IFERROR(AH11-AH39-AH96,""))</f>
        <v/>
      </c>
      <c r="AI124" s="66">
        <f>IF(OR(ISBLANK(AI11),ISBLANK(AI39),ISBLANK(AI96)),"",IFERROR(AI11-AI39-AI96,""))</f>
        <v/>
      </c>
      <c r="AJ124" s="66">
        <f>IF(OR(ISBLANK(AJ11),ISBLANK(AJ39),ISBLANK(AJ96)),"",IFERROR(AJ11-AJ39-AJ96,""))</f>
        <v/>
      </c>
    </row>
    <row r="125">
      <c r="A125" s="20" t="inlineStr">
        <is>
          <t xml:space="preserve">  YoY growth</t>
        </is>
      </c>
      <c r="B125" s="21" t="inlineStr">
        <is>
          <t>%</t>
        </is>
      </c>
      <c r="C125" s="22" t="n"/>
      <c r="D125" s="64" t="n"/>
      <c r="E125" s="64" t="n"/>
      <c r="F125" s="64" t="n"/>
      <c r="G125" s="64" t="n"/>
      <c r="H125" s="23">
        <f>IFERROR(H124/D124-1,"")</f>
        <v/>
      </c>
      <c r="I125" s="23">
        <f>IFERROR(I124/E124-1,"")</f>
        <v/>
      </c>
      <c r="J125" s="23">
        <f>IFERROR(J124/F124-1,"")</f>
        <v/>
      </c>
      <c r="K125" s="23">
        <f>IFERROR(K124/G124-1,"")</f>
        <v/>
      </c>
      <c r="L125" s="23">
        <f>IFERROR(L124/H124-1,"")</f>
        <v/>
      </c>
      <c r="M125" s="23">
        <f>IFERROR(M124/I124-1,"")</f>
        <v/>
      </c>
      <c r="N125" s="23">
        <f>IFERROR(N124/J124-1,"")</f>
        <v/>
      </c>
      <c r="O125" s="23">
        <f>IFERROR(O124/K124-1,"")</f>
        <v/>
      </c>
      <c r="P125" s="23">
        <f>IFERROR(P124/L124-1,"")</f>
        <v/>
      </c>
      <c r="Q125" s="23">
        <f>IFERROR(Q124/M124-1,"")</f>
        <v/>
      </c>
      <c r="R125" s="23">
        <f>IFERROR(R124/N124-1,"")</f>
        <v/>
      </c>
      <c r="S125" s="23">
        <f>IFERROR(S124/O124-1,"")</f>
        <v/>
      </c>
      <c r="T125" s="23">
        <f>IFERROR(T124/P124-1,"")</f>
        <v/>
      </c>
      <c r="U125" s="23">
        <f>IFERROR(U124/Q124-1,"")</f>
        <v/>
      </c>
      <c r="V125" s="23">
        <f>IFERROR(V124/R124-1,"")</f>
        <v/>
      </c>
      <c r="W125" s="23">
        <f>IFERROR(W124/S124-1,"")</f>
        <v/>
      </c>
      <c r="X125" s="23">
        <f>IFERROR(X124/T124-1,"")</f>
        <v/>
      </c>
      <c r="Y125" s="23">
        <f>IFERROR(Y124/U124-1,"")</f>
        <v/>
      </c>
      <c r="Z125" s="23">
        <f>IFERROR(Z124/V124-1,"")</f>
        <v/>
      </c>
      <c r="AA125" s="23">
        <f>IFERROR(AA124/W124-1,"")</f>
        <v/>
      </c>
      <c r="AB125" s="19" t="n"/>
      <c r="AC125" s="64" t="n"/>
      <c r="AD125" s="64" t="n"/>
      <c r="AE125" s="64" t="n"/>
      <c r="AF125" s="23">
        <f>IFERROR(AF124/AE124-1,"")</f>
        <v/>
      </c>
      <c r="AG125" s="23">
        <f>IFERROR(AG124/AF124-1,"")</f>
        <v/>
      </c>
      <c r="AH125" s="23">
        <f>IFERROR(AH124/AG124-1,"")</f>
        <v/>
      </c>
      <c r="AI125" s="23">
        <f>IFERROR(AI124/AH124-1,"")</f>
        <v/>
      </c>
      <c r="AJ125" s="23">
        <f>IFERROR(AJ124/AI124-1,"")</f>
        <v/>
      </c>
    </row>
    <row r="126">
      <c r="A126" s="20" t="inlineStr">
        <is>
          <t>NSV</t>
        </is>
      </c>
      <c r="B126" s="21" t="inlineStr">
        <is>
          <t>Rs Mn</t>
        </is>
      </c>
      <c r="C126" s="22" t="n"/>
      <c r="D126" s="66">
        <f>IF(OR(ISBLANK(D14),ISBLANK(D42),ISBLANK(D99)),"",IFERROR(D14-D42-D99,""))</f>
        <v/>
      </c>
      <c r="E126" s="66">
        <f>IF(OR(ISBLANK(E14),ISBLANK(E42),ISBLANK(E99)),"",IFERROR(E14-E42-E99,""))</f>
        <v/>
      </c>
      <c r="F126" s="66">
        <f>IF(OR(ISBLANK(F14),ISBLANK(F42),ISBLANK(F99)),"",IFERROR(F14-F42-F99,""))</f>
        <v/>
      </c>
      <c r="G126" s="66">
        <f>IF(OR(ISBLANK(G14),ISBLANK(G42),ISBLANK(G99)),"",IFERROR(G14-G42-G99,""))</f>
        <v/>
      </c>
      <c r="H126" s="66">
        <f>IF(OR(ISBLANK(H14),ISBLANK(H42),ISBLANK(H99)),"",IFERROR(H14-H42-H99,""))</f>
        <v/>
      </c>
      <c r="I126" s="66">
        <f>IF(OR(ISBLANK(I14),ISBLANK(I42),ISBLANK(I99)),"",IFERROR(I14-I42-I99,""))</f>
        <v/>
      </c>
      <c r="J126" s="66">
        <f>IF(OR(ISBLANK(J14),ISBLANK(J42),ISBLANK(J99)),"",IFERROR(J14-J42-J99,""))</f>
        <v/>
      </c>
      <c r="K126" s="66">
        <f>IF(OR(ISBLANK(K14),ISBLANK(K42),ISBLANK(K99)),"",IFERROR(K14-K42-K99,""))</f>
        <v/>
      </c>
      <c r="L126" s="66">
        <f>IF(OR(ISBLANK(L14),ISBLANK(L42),ISBLANK(L99)),"",IFERROR(L14-L42-L99,""))</f>
        <v/>
      </c>
      <c r="M126" s="66">
        <f>IF(OR(ISBLANK(M14),ISBLANK(M42),ISBLANK(M99)),"",IFERROR(M14-M42-M99,""))</f>
        <v/>
      </c>
      <c r="N126" s="66">
        <f>IF(OR(ISBLANK(N14),ISBLANK(N42),ISBLANK(N99)),"",IFERROR(N14-N42-N99,""))</f>
        <v/>
      </c>
      <c r="O126" s="66">
        <f>IF(OR(ISBLANK(O14),ISBLANK(O42),ISBLANK(O99)),"",IFERROR(O14-O42-O99,""))</f>
        <v/>
      </c>
      <c r="P126" s="66">
        <f>IF(OR(ISBLANK(P14),ISBLANK(P42),ISBLANK(P99)),"",IFERROR(P14-P42-P99,""))</f>
        <v/>
      </c>
      <c r="Q126" s="66">
        <f>IF(OR(ISBLANK(Q14),ISBLANK(Q42),ISBLANK(Q99)),"",IFERROR(Q14-Q42-Q99,""))</f>
        <v/>
      </c>
      <c r="R126" s="66">
        <f>IF(OR(ISBLANK(R14),ISBLANK(R42),ISBLANK(R99)),"",IFERROR(R14-R42-R99,""))</f>
        <v/>
      </c>
      <c r="S126" s="66">
        <f>IF(OR(ISBLANK(S14),ISBLANK(S42),ISBLANK(S99)),"",IFERROR(S14-S42-S99,""))</f>
        <v/>
      </c>
      <c r="T126" s="66">
        <f>IF(OR(ISBLANK(T14),ISBLANK(T42),ISBLANK(T99)),"",IFERROR(T14-T42-T99,""))</f>
        <v/>
      </c>
      <c r="U126" s="66">
        <f>IF(OR(ISBLANK(U14),ISBLANK(U42),ISBLANK(U99)),"",IFERROR(U14-U42-U99,""))</f>
        <v/>
      </c>
      <c r="V126" s="66">
        <f>IF(OR(ISBLANK(V14),ISBLANK(V42),ISBLANK(V99)),"",IFERROR(V14-V42-V99,""))</f>
        <v/>
      </c>
      <c r="W126" s="66">
        <f>IF(OR(ISBLANK(W14),ISBLANK(W42),ISBLANK(W99)),"",IFERROR(W14-W42-W99,""))</f>
        <v/>
      </c>
      <c r="X126" s="66">
        <f>IF(OR(ISBLANK(X14),ISBLANK(X42),ISBLANK(X99)),"",IFERROR(X14-X42-X99,""))</f>
        <v/>
      </c>
      <c r="Y126" s="66">
        <f>IF(OR(ISBLANK(Y14),ISBLANK(Y42),ISBLANK(Y99)),"",IFERROR(Y14-Y42-Y99,""))</f>
        <v/>
      </c>
      <c r="Z126" s="66">
        <f>IF(OR(ISBLANK(Z14),ISBLANK(Z42),ISBLANK(Z99)),"",IFERROR(Z14-Z42-Z99,""))</f>
        <v/>
      </c>
      <c r="AA126" s="66">
        <f>IF(OR(ISBLANK(AA14),ISBLANK(AA42),ISBLANK(AA99)),"",IFERROR(AA14-AA42-AA99,""))</f>
        <v/>
      </c>
      <c r="AB126" s="19" t="n"/>
      <c r="AC126" s="66" t="n"/>
      <c r="AD126" s="66" t="n"/>
      <c r="AE126" s="66" t="n"/>
      <c r="AF126" s="66">
        <f>IF(OR(ISBLANK(AF14),ISBLANK(AF42),ISBLANK(AF99)),"",IFERROR(AF14-AF42-AF99,""))</f>
        <v/>
      </c>
      <c r="AG126" s="66">
        <f>IF(OR(ISBLANK(AG14),ISBLANK(AG42),ISBLANK(AG99)),"",IFERROR(AG14-AG42-AG99,""))</f>
        <v/>
      </c>
      <c r="AH126" s="66">
        <f>IF(OR(ISBLANK(AH14),ISBLANK(AH42),ISBLANK(AH99)),"",IFERROR(AH14-AH42-AH99,""))</f>
        <v/>
      </c>
      <c r="AI126" s="66">
        <f>IF(OR(ISBLANK(AI14),ISBLANK(AI42),ISBLANK(AI99)),"",IFERROR(AI14-AI42-AI99,""))</f>
        <v/>
      </c>
      <c r="AJ126" s="66">
        <f>IF(OR(ISBLANK(AJ14),ISBLANK(AJ42),ISBLANK(AJ99)),"",IFERROR(AJ14-AJ42-AJ99,""))</f>
        <v/>
      </c>
    </row>
    <row r="127">
      <c r="A127" s="20" t="inlineStr">
        <is>
          <t>Revenue</t>
        </is>
      </c>
      <c r="B127" s="21" t="inlineStr">
        <is>
          <t>Rs Mn</t>
        </is>
      </c>
      <c r="C127" s="22" t="n"/>
      <c r="D127" s="66">
        <f>IF(OR(ISBLANK(D16),ISBLANK(D44),ISBLANK(D101)),"",IFERROR(D16-D44-D101,""))</f>
        <v/>
      </c>
      <c r="E127" s="66">
        <f>IF(OR(ISBLANK(E16),ISBLANK(E44),ISBLANK(E101)),"",IFERROR(E16-E44-E101,""))</f>
        <v/>
      </c>
      <c r="F127" s="66">
        <f>IF(OR(ISBLANK(F16),ISBLANK(F44),ISBLANK(F101)),"",IFERROR(F16-F44-F101,""))</f>
        <v/>
      </c>
      <c r="G127" s="66">
        <f>IF(OR(ISBLANK(G16),ISBLANK(G44),ISBLANK(G101)),"",IFERROR(G16-G44-G101,""))</f>
        <v/>
      </c>
      <c r="H127" s="66">
        <f>IF(OR(ISBLANK(H16),ISBLANK(H44),ISBLANK(H101)),"",IFERROR(H16-H44-H101,""))</f>
        <v/>
      </c>
      <c r="I127" s="66">
        <f>IF(OR(ISBLANK(I16),ISBLANK(I44),ISBLANK(I101)),"",IFERROR(I16-I44-I101,""))</f>
        <v/>
      </c>
      <c r="J127" s="66">
        <f>IF(OR(ISBLANK(J16),ISBLANK(J44),ISBLANK(J101)),"",IFERROR(J16-J44-J101,""))</f>
        <v/>
      </c>
      <c r="K127" s="66">
        <f>IF(OR(ISBLANK(K16),ISBLANK(K44),ISBLANK(K101)),"",IFERROR(K16-K44-K101,""))</f>
        <v/>
      </c>
      <c r="L127" s="66">
        <f>IF(OR(ISBLANK(L16),ISBLANK(L44),ISBLANK(L101)),"",IFERROR(L16-L44-L101,""))</f>
        <v/>
      </c>
      <c r="M127" s="66">
        <f>IF(OR(ISBLANK(M16),ISBLANK(M44),ISBLANK(M101)),"",IFERROR(M16-M44-M101,""))</f>
        <v/>
      </c>
      <c r="N127" s="66">
        <f>IF(OR(ISBLANK(N16),ISBLANK(N44),ISBLANK(N101)),"",IFERROR(N16-N44-N101,""))</f>
        <v/>
      </c>
      <c r="O127" s="66">
        <f>IF(OR(ISBLANK(O16),ISBLANK(O44),ISBLANK(O101)),"",IFERROR(O16-O44-O101,""))</f>
        <v/>
      </c>
      <c r="P127" s="66">
        <f>IF(OR(ISBLANK(P16),ISBLANK(P44),ISBLANK(P101)),"",IFERROR(P16-P44-P101,""))</f>
        <v/>
      </c>
      <c r="Q127" s="66">
        <f>IF(OR(ISBLANK(Q16),ISBLANK(Q44),ISBLANK(Q101)),"",IFERROR(Q16-Q44-Q101,""))</f>
        <v/>
      </c>
      <c r="R127" s="66">
        <f>IF(OR(ISBLANK(R16),ISBLANK(R44),ISBLANK(R101)),"",IFERROR(R16-R44-R101,""))</f>
        <v/>
      </c>
      <c r="S127" s="66">
        <f>IF(OR(ISBLANK(S16),ISBLANK(S44),ISBLANK(S101)),"",IFERROR(S16-S44-S101,""))</f>
        <v/>
      </c>
      <c r="T127" s="66">
        <f>IF(OR(ISBLANK(T16),ISBLANK(T44),ISBLANK(T101)),"",IFERROR(T16-T44-T101,""))</f>
        <v/>
      </c>
      <c r="U127" s="66">
        <f>IF(OR(ISBLANK(U16),ISBLANK(U44),ISBLANK(U101)),"",IFERROR(U16-U44-U101,""))</f>
        <v/>
      </c>
      <c r="V127" s="66">
        <f>IF(OR(ISBLANK(V16),ISBLANK(V44),ISBLANK(V101)),"",IFERROR(V16-V44-V101,""))</f>
        <v/>
      </c>
      <c r="W127" s="66">
        <f>IF(OR(ISBLANK(W16),ISBLANK(W44),ISBLANK(W101)),"",IFERROR(W16-W44-W101,""))</f>
        <v/>
      </c>
      <c r="X127" s="66">
        <f>IF(OR(ISBLANK(X16),ISBLANK(X44),ISBLANK(X101)),"",IFERROR(X16-X44-X101,""))</f>
        <v/>
      </c>
      <c r="Y127" s="66">
        <f>IF(OR(ISBLANK(Y16),ISBLANK(Y44),ISBLANK(Y101)),"",IFERROR(Y16-Y44-Y101,""))</f>
        <v/>
      </c>
      <c r="Z127" s="66">
        <f>IF(OR(ISBLANK(Z16),ISBLANK(Z44),ISBLANK(Z101)),"",IFERROR(Z16-Z44-Z101,""))</f>
        <v/>
      </c>
      <c r="AA127" s="66">
        <f>IF(OR(ISBLANK(AA16),ISBLANK(AA44),ISBLANK(AA101)),"",IFERROR(AA16-AA44-AA101,""))</f>
        <v/>
      </c>
      <c r="AB127" s="19" t="n"/>
      <c r="AC127" s="66" t="n"/>
      <c r="AD127" s="66" t="n"/>
      <c r="AE127" s="66" t="n"/>
      <c r="AF127" s="66">
        <f>IF(OR(ISBLANK(AF16),ISBLANK(AF44),ISBLANK(AF101)),"",IFERROR(AF16-AF44-AF101,""))</f>
        <v/>
      </c>
      <c r="AG127" s="66">
        <f>IF(OR(ISBLANK(AG16),ISBLANK(AG44),ISBLANK(AG101)),"",IFERROR(AG16-AG44-AG101,""))</f>
        <v/>
      </c>
      <c r="AH127" s="66">
        <f>IF(OR(ISBLANK(AH16),ISBLANK(AH44),ISBLANK(AH101)),"",IFERROR(AH16-AH44-AH101,""))</f>
        <v/>
      </c>
      <c r="AI127" s="66">
        <f>IF(OR(ISBLANK(AI16),ISBLANK(AI44),ISBLANK(AI101)),"",IFERROR(AI16-AI44-AI101,""))</f>
        <v/>
      </c>
      <c r="AJ127" s="66">
        <f>IF(OR(ISBLANK(AJ16),ISBLANK(AJ44),ISBLANK(AJ101)),"",IFERROR(AJ16-AJ44-AJ101,""))</f>
        <v/>
      </c>
    </row>
    <row r="128">
      <c r="A128" s="20" t="inlineStr">
        <is>
          <t>Gross profit</t>
        </is>
      </c>
      <c r="B128" s="21" t="inlineStr">
        <is>
          <t>Rs Mn</t>
        </is>
      </c>
      <c r="C128" s="22" t="n"/>
      <c r="D128" s="66">
        <f>IF(OR(ISBLANK(D19),ISBLANK(D46),ISBLANK(D103)),"",IFERROR(D19-D46-D103,""))</f>
        <v/>
      </c>
      <c r="E128" s="66">
        <f>IF(OR(ISBLANK(E19),ISBLANK(E46),ISBLANK(E103)),"",IFERROR(E19-E46-E103,""))</f>
        <v/>
      </c>
      <c r="F128" s="66">
        <f>IF(OR(ISBLANK(F19),ISBLANK(F46),ISBLANK(F103)),"",IFERROR(F19-F46-F103,""))</f>
        <v/>
      </c>
      <c r="G128" s="66">
        <f>IF(OR(ISBLANK(G19),ISBLANK(G46),ISBLANK(G103)),"",IFERROR(G19-G46-G103,""))</f>
        <v/>
      </c>
      <c r="H128" s="66">
        <f>IF(OR(ISBLANK(H19),ISBLANK(H46),ISBLANK(H103)),"",IFERROR(H19-H46-H103,""))</f>
        <v/>
      </c>
      <c r="I128" s="66">
        <f>IF(OR(ISBLANK(I19),ISBLANK(I46),ISBLANK(I103)),"",IFERROR(I19-I46-I103,""))</f>
        <v/>
      </c>
      <c r="J128" s="66">
        <f>IF(OR(ISBLANK(J19),ISBLANK(J46),ISBLANK(J103)),"",IFERROR(J19-J46-J103,""))</f>
        <v/>
      </c>
      <c r="K128" s="66">
        <f>IF(OR(ISBLANK(K19),ISBLANK(K46),ISBLANK(K103)),"",IFERROR(K19-K46-K103,""))</f>
        <v/>
      </c>
      <c r="L128" s="66">
        <f>IF(OR(ISBLANK(L19),ISBLANK(L46),ISBLANK(L103)),"",IFERROR(L19-L46-L103,""))</f>
        <v/>
      </c>
      <c r="M128" s="66">
        <f>IF(OR(ISBLANK(M19),ISBLANK(M46),ISBLANK(M103)),"",IFERROR(M19-M46-M103,""))</f>
        <v/>
      </c>
      <c r="N128" s="66">
        <f>IF(OR(ISBLANK(N19),ISBLANK(N46),ISBLANK(N103)),"",IFERROR(N19-N46-N103,""))</f>
        <v/>
      </c>
      <c r="O128" s="66">
        <f>IF(OR(ISBLANK(O19),ISBLANK(O46),ISBLANK(O103)),"",IFERROR(O19-O46-O103,""))</f>
        <v/>
      </c>
      <c r="P128" s="66">
        <f>IF(OR(ISBLANK(P19),ISBLANK(P46),ISBLANK(P103)),"",IFERROR(P19-P46-P103,""))</f>
        <v/>
      </c>
      <c r="Q128" s="66">
        <f>IF(OR(ISBLANK(Q19),ISBLANK(Q46),ISBLANK(Q103)),"",IFERROR(Q19-Q46-Q103,""))</f>
        <v/>
      </c>
      <c r="R128" s="66">
        <f>IF(OR(ISBLANK(R19),ISBLANK(R46),ISBLANK(R103)),"",IFERROR(R19-R46-R103,""))</f>
        <v/>
      </c>
      <c r="S128" s="66">
        <f>IF(OR(ISBLANK(S19),ISBLANK(S46),ISBLANK(S103)),"",IFERROR(S19-S46-S103,""))</f>
        <v/>
      </c>
      <c r="T128" s="66">
        <f>IF(OR(ISBLANK(T19),ISBLANK(T46),ISBLANK(T103)),"",IFERROR(T19-T46-T103,""))</f>
        <v/>
      </c>
      <c r="U128" s="66">
        <f>IF(OR(ISBLANK(U19),ISBLANK(U46),ISBLANK(U103)),"",IFERROR(U19-U46-U103,""))</f>
        <v/>
      </c>
      <c r="V128" s="66">
        <f>IF(OR(ISBLANK(V19),ISBLANK(V46),ISBLANK(V103)),"",IFERROR(V19-V46-V103,""))</f>
        <v/>
      </c>
      <c r="W128" s="66">
        <f>IF(OR(ISBLANK(W19),ISBLANK(W46),ISBLANK(W103)),"",IFERROR(W19-W46-W103,""))</f>
        <v/>
      </c>
      <c r="X128" s="66">
        <f>IF(OR(ISBLANK(X19),ISBLANK(X46),ISBLANK(X103)),"",IFERROR(X19-X46-X103,""))</f>
        <v/>
      </c>
      <c r="Y128" s="66">
        <f>IF(OR(ISBLANK(Y19),ISBLANK(Y46),ISBLANK(Y103)),"",IFERROR(Y19-Y46-Y103,""))</f>
        <v/>
      </c>
      <c r="Z128" s="66">
        <f>IF(OR(ISBLANK(Z19),ISBLANK(Z46),ISBLANK(Z103)),"",IFERROR(Z19-Z46-Z103,""))</f>
        <v/>
      </c>
      <c r="AA128" s="66">
        <f>IF(OR(ISBLANK(AA19),ISBLANK(AA46),ISBLANK(AA103)),"",IFERROR(AA19-AA46-AA103,""))</f>
        <v/>
      </c>
      <c r="AB128" s="19" t="n"/>
      <c r="AC128" s="66" t="n"/>
      <c r="AD128" s="66" t="n"/>
      <c r="AE128" s="66" t="n"/>
      <c r="AF128" s="66">
        <f>IF(OR(ISBLANK(AF19),ISBLANK(AF46),ISBLANK(AF103)),"",IFERROR(AF19-AF46-AF103,""))</f>
        <v/>
      </c>
      <c r="AG128" s="66">
        <f>IF(OR(ISBLANK(AG19),ISBLANK(AG46),ISBLANK(AG103)),"",IFERROR(AG19-AG46-AG103,""))</f>
        <v/>
      </c>
      <c r="AH128" s="66">
        <f>IF(OR(ISBLANK(AH19),ISBLANK(AH46),ISBLANK(AH103)),"",IFERROR(AH19-AH46-AH103,""))</f>
        <v/>
      </c>
      <c r="AI128" s="66">
        <f>IF(OR(ISBLANK(AI19),ISBLANK(AI46),ISBLANK(AI103)),"",IFERROR(AI19-AI46-AI103,""))</f>
        <v/>
      </c>
      <c r="AJ128" s="66">
        <f>IF(OR(ISBLANK(AJ19),ISBLANK(AJ46),ISBLANK(AJ103)),"",IFERROR(AJ19-AJ46-AJ103,""))</f>
        <v/>
      </c>
    </row>
    <row r="129">
      <c r="A129" s="20" t="inlineStr">
        <is>
          <t>Fulfilment cost</t>
        </is>
      </c>
      <c r="B129" s="21" t="inlineStr">
        <is>
          <t>Rs Mn</t>
        </is>
      </c>
      <c r="C129" s="22" t="n"/>
      <c r="D129" s="66">
        <f>IF(OR(ISBLANK(D21),ISBLANK(D48),ISBLANK(D105)),"",IFERROR(D21-D48-D105,""))</f>
        <v/>
      </c>
      <c r="E129" s="66">
        <f>IF(OR(ISBLANK(E21),ISBLANK(E48),ISBLANK(E105)),"",IFERROR(E21-E48-E105,""))</f>
        <v/>
      </c>
      <c r="F129" s="66">
        <f>IF(OR(ISBLANK(F21),ISBLANK(F48),ISBLANK(F105)),"",IFERROR(F21-F48-F105,""))</f>
        <v/>
      </c>
      <c r="G129" s="66">
        <f>IF(OR(ISBLANK(G21),ISBLANK(G48),ISBLANK(G105)),"",IFERROR(G21-G48-G105,""))</f>
        <v/>
      </c>
      <c r="H129" s="66">
        <f>IF(OR(ISBLANK(H21),ISBLANK(H48),ISBLANK(H105)),"",IFERROR(H21-H48-H105,""))</f>
        <v/>
      </c>
      <c r="I129" s="66">
        <f>IF(OR(ISBLANK(I21),ISBLANK(I48),ISBLANK(I105)),"",IFERROR(I21-I48-I105,""))</f>
        <v/>
      </c>
      <c r="J129" s="66">
        <f>IF(OR(ISBLANK(J21),ISBLANK(J48),ISBLANK(J105)),"",IFERROR(J21-J48-J105,""))</f>
        <v/>
      </c>
      <c r="K129" s="66">
        <f>IF(OR(ISBLANK(K21),ISBLANK(K48),ISBLANK(K105)),"",IFERROR(K21-K48-K105,""))</f>
        <v/>
      </c>
      <c r="L129" s="66">
        <f>IF(OR(ISBLANK(L21),ISBLANK(L48),ISBLANK(L105)),"",IFERROR(L21-L48-L105,""))</f>
        <v/>
      </c>
      <c r="M129" s="66">
        <f>IF(OR(ISBLANK(M21),ISBLANK(M48),ISBLANK(M105)),"",IFERROR(M21-M48-M105,""))</f>
        <v/>
      </c>
      <c r="N129" s="66">
        <f>IF(OR(ISBLANK(N21),ISBLANK(N48),ISBLANK(N105)),"",IFERROR(N21-N48-N105,""))</f>
        <v/>
      </c>
      <c r="O129" s="66">
        <f>IF(OR(ISBLANK(O21),ISBLANK(O48),ISBLANK(O105)),"",IFERROR(O21-O48-O105,""))</f>
        <v/>
      </c>
      <c r="P129" s="66">
        <f>IF(OR(ISBLANK(P21),ISBLANK(P48),ISBLANK(P105)),"",IFERROR(P21-P48-P105,""))</f>
        <v/>
      </c>
      <c r="Q129" s="66">
        <f>IF(OR(ISBLANK(Q21),ISBLANK(Q48),ISBLANK(Q105)),"",IFERROR(Q21-Q48-Q105,""))</f>
        <v/>
      </c>
      <c r="R129" s="66">
        <f>IF(OR(ISBLANK(R21),ISBLANK(R48),ISBLANK(R105)),"",IFERROR(R21-R48-R105,""))</f>
        <v/>
      </c>
      <c r="S129" s="66">
        <f>IF(OR(ISBLANK(S21),ISBLANK(S48),ISBLANK(S105)),"",IFERROR(S21-S48-S105,""))</f>
        <v/>
      </c>
      <c r="T129" s="66">
        <f>IF(OR(ISBLANK(T21),ISBLANK(T48),ISBLANK(T105)),"",IFERROR(T21-T48-T105,""))</f>
        <v/>
      </c>
      <c r="U129" s="66">
        <f>IF(OR(ISBLANK(U21),ISBLANK(U48),ISBLANK(U105)),"",IFERROR(U21-U48-U105,""))</f>
        <v/>
      </c>
      <c r="V129" s="66">
        <f>IF(OR(ISBLANK(V21),ISBLANK(V48),ISBLANK(V105)),"",IFERROR(V21-V48-V105,""))</f>
        <v/>
      </c>
      <c r="W129" s="66">
        <f>IF(OR(ISBLANK(W21),ISBLANK(W48),ISBLANK(W105)),"",IFERROR(W21-W48-W105,""))</f>
        <v/>
      </c>
      <c r="X129" s="66">
        <f>IF(OR(ISBLANK(X21),ISBLANK(X48),ISBLANK(X105)),"",IFERROR(X21-X48-X105,""))</f>
        <v/>
      </c>
      <c r="Y129" s="66">
        <f>IF(OR(ISBLANK(Y21),ISBLANK(Y48),ISBLANK(Y105)),"",IFERROR(Y21-Y48-Y105,""))</f>
        <v/>
      </c>
      <c r="Z129" s="66">
        <f>IF(OR(ISBLANK(Z21),ISBLANK(Z48),ISBLANK(Z105)),"",IFERROR(Z21-Z48-Z105,""))</f>
        <v/>
      </c>
      <c r="AA129" s="66">
        <f>IF(OR(ISBLANK(AA21),ISBLANK(AA48),ISBLANK(AA105)),"",IFERROR(AA21-AA48-AA105,""))</f>
        <v/>
      </c>
      <c r="AB129" s="19" t="n"/>
      <c r="AC129" s="66" t="n"/>
      <c r="AD129" s="66" t="n"/>
      <c r="AE129" s="66" t="n"/>
      <c r="AF129" s="66">
        <f>IF(OR(ISBLANK(AF21),ISBLANK(AF48),ISBLANK(AF105)),"",IFERROR(AF21-AF48-AF105,""))</f>
        <v/>
      </c>
      <c r="AG129" s="66">
        <f>IF(OR(ISBLANK(AG21),ISBLANK(AG48),ISBLANK(AG105)),"",IFERROR(AG21-AG48-AG105,""))</f>
        <v/>
      </c>
      <c r="AH129" s="66">
        <f>IF(OR(ISBLANK(AH21),ISBLANK(AH48),ISBLANK(AH105)),"",IFERROR(AH21-AH48-AH105,""))</f>
        <v/>
      </c>
      <c r="AI129" s="66">
        <f>IF(OR(ISBLANK(AI21),ISBLANK(AI48),ISBLANK(AI105)),"",IFERROR(AI21-AI48-AI105,""))</f>
        <v/>
      </c>
      <c r="AJ129" s="66">
        <f>IF(OR(ISBLANK(AJ21),ISBLANK(AJ48),ISBLANK(AJ105)),"",IFERROR(AJ21-AJ48-AJ105,""))</f>
        <v/>
      </c>
    </row>
    <row r="130">
      <c r="A130" s="20" t="inlineStr">
        <is>
          <t>Marketing &amp; S&amp;D expense (combined)</t>
        </is>
      </c>
      <c r="B130" s="21" t="inlineStr">
        <is>
          <t>Rs Mn</t>
        </is>
      </c>
      <c r="C130" s="22" t="n"/>
      <c r="D130" s="66">
        <f>IF(OR(ISBLANK(D22),ISBLANK(D49),ISBLANK(D50),ISBLANK(D106),ISBLANK(D107)),"",IFERROR(D22-(D49+D50)-(D106+D107),""))</f>
        <v/>
      </c>
      <c r="E130" s="66">
        <f>IF(OR(ISBLANK(E22),ISBLANK(E49),ISBLANK(E50),ISBLANK(E106),ISBLANK(E107)),"",IFERROR(E22-(E49+E50)-(E106+E107),""))</f>
        <v/>
      </c>
      <c r="F130" s="66">
        <f>IF(OR(ISBLANK(F22),ISBLANK(F49),ISBLANK(F50),ISBLANK(F106),ISBLANK(F107)),"",IFERROR(F22-(F49+F50)-(F106+F107),""))</f>
        <v/>
      </c>
      <c r="G130" s="66">
        <f>IF(OR(ISBLANK(G22),ISBLANK(G49),ISBLANK(G50),ISBLANK(G106),ISBLANK(G107)),"",IFERROR(G22-(G49+G50)-(G106+G107),""))</f>
        <v/>
      </c>
      <c r="H130" s="66">
        <f>IF(OR(ISBLANK(H22),ISBLANK(H49),ISBLANK(H50),ISBLANK(H106),ISBLANK(H107)),"",IFERROR(H22-(H49+H50)-(H106+H107),""))</f>
        <v/>
      </c>
      <c r="I130" s="66">
        <f>IF(OR(ISBLANK(I22),ISBLANK(I49),ISBLANK(I50),ISBLANK(I106),ISBLANK(I107)),"",IFERROR(I22-(I49+I50)-(I106+I107),""))</f>
        <v/>
      </c>
      <c r="J130" s="66">
        <f>IF(OR(ISBLANK(J22),ISBLANK(J49),ISBLANK(J50),ISBLANK(J106),ISBLANK(J107)),"",IFERROR(J22-(J49+J50)-(J106+J107),""))</f>
        <v/>
      </c>
      <c r="K130" s="66">
        <f>IF(OR(ISBLANK(K22),ISBLANK(K49),ISBLANK(K50),ISBLANK(K106),ISBLANK(K107)),"",IFERROR(K22-(K49+K50)-(K106+K107),""))</f>
        <v/>
      </c>
      <c r="L130" s="66">
        <f>IF(OR(ISBLANK(L22),ISBLANK(L49),ISBLANK(L50),ISBLANK(L106),ISBLANK(L107)),"",IFERROR(L22-(L49+L50)-(L106+L107),""))</f>
        <v/>
      </c>
      <c r="M130" s="66">
        <f>IF(OR(ISBLANK(M22),ISBLANK(M49),ISBLANK(M50),ISBLANK(M106),ISBLANK(M107)),"",IFERROR(M22-(M49+M50)-(M106+M107),""))</f>
        <v/>
      </c>
      <c r="N130" s="66">
        <f>IF(OR(ISBLANK(N22),ISBLANK(N49),ISBLANK(N50),ISBLANK(N106),ISBLANK(N107)),"",IFERROR(N22-(N49+N50)-(N106+N107),""))</f>
        <v/>
      </c>
      <c r="O130" s="66">
        <f>IF(OR(ISBLANK(O22),ISBLANK(O49),ISBLANK(O50),ISBLANK(O106),ISBLANK(O107)),"",IFERROR(O22-(O49+O50)-(O106+O107),""))</f>
        <v/>
      </c>
      <c r="P130" s="66">
        <f>IF(OR(ISBLANK(P22),ISBLANK(P49),ISBLANK(P50),ISBLANK(P106),ISBLANK(P107)),"",IFERROR(P22-(P49+P50)-(P106+P107),""))</f>
        <v/>
      </c>
      <c r="Q130" s="66">
        <f>IF(OR(ISBLANK(Q22),ISBLANK(Q49),ISBLANK(Q50),ISBLANK(Q106),ISBLANK(Q107)),"",IFERROR(Q22-(Q49+Q50)-(Q106+Q107),""))</f>
        <v/>
      </c>
      <c r="R130" s="66">
        <f>IF(OR(ISBLANK(R22),ISBLANK(R49),ISBLANK(R50),ISBLANK(R106),ISBLANK(R107)),"",IFERROR(R22-(R49+R50)-(R106+R107),""))</f>
        <v/>
      </c>
      <c r="S130" s="66">
        <f>IF(OR(ISBLANK(S22),ISBLANK(S49),ISBLANK(S50),ISBLANK(S106),ISBLANK(S107)),"",IFERROR(S22-(S49+S50)-(S106+S107),""))</f>
        <v/>
      </c>
      <c r="T130" s="66">
        <f>IF(OR(ISBLANK(T22),ISBLANK(T49),ISBLANK(T50),ISBLANK(T106),ISBLANK(T107)),"",IFERROR(T22-(T49+T50)-(T106+T107),""))</f>
        <v/>
      </c>
      <c r="U130" s="66">
        <f>IF(OR(ISBLANK(U22),ISBLANK(U49),ISBLANK(U50),ISBLANK(U106),ISBLANK(U107)),"",IFERROR(U22-(U49+U50)-(U106+U107),""))</f>
        <v/>
      </c>
      <c r="V130" s="66">
        <f>IF(OR(ISBLANK(V22),ISBLANK(V49),ISBLANK(V50),ISBLANK(V106),ISBLANK(V107)),"",IFERROR(V22-(V49+V50)-(V106+V107),""))</f>
        <v/>
      </c>
      <c r="W130" s="66">
        <f>IF(OR(ISBLANK(W22),ISBLANK(W49),ISBLANK(W50),ISBLANK(W106),ISBLANK(W107)),"",IFERROR(W22-(W49+W50)-(W106+W107),""))</f>
        <v/>
      </c>
      <c r="X130" s="66">
        <f>IF(OR(ISBLANK(X22),ISBLANK(X49),ISBLANK(X50),ISBLANK(X106),ISBLANK(X107)),"",IFERROR(X22-(X49+X50)-(X106+X107),""))</f>
        <v/>
      </c>
      <c r="Y130" s="66">
        <f>IF(OR(ISBLANK(Y22),ISBLANK(Y49),ISBLANK(Y50),ISBLANK(Y106),ISBLANK(Y107)),"",IFERROR(Y22-(Y49+Y50)-(Y106+Y107),""))</f>
        <v/>
      </c>
      <c r="Z130" s="66">
        <f>IF(OR(ISBLANK(Z22),ISBLANK(Z49),ISBLANK(Z50),ISBLANK(Z106),ISBLANK(Z107)),"",IFERROR(Z22-(Z49+Z50)-(Z106+Z107),""))</f>
        <v/>
      </c>
      <c r="AA130" s="66">
        <f>IF(OR(ISBLANK(AA22),ISBLANK(AA49),ISBLANK(AA50),ISBLANK(AA106),ISBLANK(AA107)),"",IFERROR(AA22-(AA49+AA50)-(AA106+AA107),""))</f>
        <v/>
      </c>
      <c r="AB130" s="19" t="n"/>
      <c r="AC130" s="66" t="n"/>
      <c r="AD130" s="66" t="n"/>
      <c r="AE130" s="66" t="n"/>
      <c r="AF130" s="66">
        <f>IF(OR(ISBLANK(AF22),ISBLANK(AF49),ISBLANK(AF50),ISBLANK(AF106),ISBLANK(AF107)),"",IFERROR(AF22-(AF49+AF50)-(AF106+AF107),""))</f>
        <v/>
      </c>
      <c r="AG130" s="66">
        <f>IF(OR(ISBLANK(AG22),ISBLANK(AG49),ISBLANK(AG50),ISBLANK(AG106),ISBLANK(AG107)),"",IFERROR(AG22-(AG49+AG50)-(AG106+AG107),""))</f>
        <v/>
      </c>
      <c r="AH130" s="66">
        <f>IF(OR(ISBLANK(AH22),ISBLANK(AH49),ISBLANK(AH50),ISBLANK(AH106),ISBLANK(AH107)),"",IFERROR(AH22-(AH49+AH50)-(AH106+AH107),""))</f>
        <v/>
      </c>
      <c r="AI130" s="66">
        <f>IF(OR(ISBLANK(AI22),ISBLANK(AI49),ISBLANK(AI50),ISBLANK(AI106),ISBLANK(AI107)),"",IFERROR(AI22-(AI49+AI50)-(AI106+AI107),""))</f>
        <v/>
      </c>
      <c r="AJ130" s="66">
        <f>IF(OR(ISBLANK(AJ22),ISBLANK(AJ49),ISBLANK(AJ50),ISBLANK(AJ106),ISBLANK(AJ107)),"",IFERROR(AJ22-(AJ49+AJ50)-(AJ106+AJ107),""))</f>
        <v/>
      </c>
    </row>
    <row r="131">
      <c r="A131" s="20" t="inlineStr">
        <is>
          <t>Contribution profit</t>
        </is>
      </c>
      <c r="B131" s="21" t="inlineStr">
        <is>
          <t>Rs Mn</t>
        </is>
      </c>
      <c r="C131" s="22" t="n"/>
      <c r="D131" s="66">
        <f>IF(OR(ISBLANK(D128),ISBLANK(D129),ISBLANK(D130)),"",IFERROR(D128-D129-D130,""))</f>
        <v/>
      </c>
      <c r="E131" s="66">
        <f>IF(OR(ISBLANK(E128),ISBLANK(E129),ISBLANK(E130)),"",IFERROR(E128-E129-E130,""))</f>
        <v/>
      </c>
      <c r="F131" s="66">
        <f>IF(OR(ISBLANK(F128),ISBLANK(F129),ISBLANK(F130)),"",IFERROR(F128-F129-F130,""))</f>
        <v/>
      </c>
      <c r="G131" s="66">
        <f>IF(OR(ISBLANK(G128),ISBLANK(G129),ISBLANK(G130)),"",IFERROR(G128-G129-G130,""))</f>
        <v/>
      </c>
      <c r="H131" s="66">
        <f>IF(OR(ISBLANK(H128),ISBLANK(H129),ISBLANK(H130)),"",IFERROR(H128-H129-H130,""))</f>
        <v/>
      </c>
      <c r="I131" s="66">
        <f>IF(OR(ISBLANK(I128),ISBLANK(I129),ISBLANK(I130)),"",IFERROR(I128-I129-I130,""))</f>
        <v/>
      </c>
      <c r="J131" s="66">
        <f>IF(OR(ISBLANK(J128),ISBLANK(J129),ISBLANK(J130)),"",IFERROR(J128-J129-J130,""))</f>
        <v/>
      </c>
      <c r="K131" s="66">
        <f>IF(OR(ISBLANK(K128),ISBLANK(K129),ISBLANK(K130)),"",IFERROR(K128-K129-K130,""))</f>
        <v/>
      </c>
      <c r="L131" s="66">
        <f>IF(OR(ISBLANK(L128),ISBLANK(L129),ISBLANK(L130)),"",IFERROR(L128-L129-L130,""))</f>
        <v/>
      </c>
      <c r="M131" s="66">
        <f>IF(OR(ISBLANK(M128),ISBLANK(M129),ISBLANK(M130)),"",IFERROR(M128-M129-M130,""))</f>
        <v/>
      </c>
      <c r="N131" s="66">
        <f>IF(OR(ISBLANK(N128),ISBLANK(N129),ISBLANK(N130)),"",IFERROR(N128-N129-N130,""))</f>
        <v/>
      </c>
      <c r="O131" s="66">
        <f>IF(OR(ISBLANK(O128),ISBLANK(O129),ISBLANK(O130)),"",IFERROR(O128-O129-O130,""))</f>
        <v/>
      </c>
      <c r="P131" s="66">
        <f>IF(OR(ISBLANK(P128),ISBLANK(P129),ISBLANK(P130)),"",IFERROR(P128-P129-P130,""))</f>
        <v/>
      </c>
      <c r="Q131" s="66">
        <f>IF(OR(ISBLANK(Q128),ISBLANK(Q129),ISBLANK(Q130)),"",IFERROR(Q128-Q129-Q130,""))</f>
        <v/>
      </c>
      <c r="R131" s="66">
        <f>IF(OR(ISBLANK(R128),ISBLANK(R129),ISBLANK(R130)),"",IFERROR(R128-R129-R130,""))</f>
        <v/>
      </c>
      <c r="S131" s="66">
        <f>IF(OR(ISBLANK(S128),ISBLANK(S129),ISBLANK(S130)),"",IFERROR(S128-S129-S130,""))</f>
        <v/>
      </c>
      <c r="T131" s="66">
        <f>IF(OR(ISBLANK(T128),ISBLANK(T129),ISBLANK(T130)),"",IFERROR(T128-T129-T130,""))</f>
        <v/>
      </c>
      <c r="U131" s="66">
        <f>IF(OR(ISBLANK(U128),ISBLANK(U129),ISBLANK(U130)),"",IFERROR(U128-U129-U130,""))</f>
        <v/>
      </c>
      <c r="V131" s="66">
        <f>IF(OR(ISBLANK(V128),ISBLANK(V129),ISBLANK(V130)),"",IFERROR(V128-V129-V130,""))</f>
        <v/>
      </c>
      <c r="W131" s="66">
        <f>IF(OR(ISBLANK(W128),ISBLANK(W129),ISBLANK(W130)),"",IFERROR(W128-W129-W130,""))</f>
        <v/>
      </c>
      <c r="X131" s="66">
        <f>IF(OR(ISBLANK(X128),ISBLANK(X129),ISBLANK(X130)),"",IFERROR(X128-X129-X130,""))</f>
        <v/>
      </c>
      <c r="Y131" s="66">
        <f>IF(OR(ISBLANK(Y128),ISBLANK(Y129),ISBLANK(Y130)),"",IFERROR(Y128-Y129-Y130,""))</f>
        <v/>
      </c>
      <c r="Z131" s="66">
        <f>IF(OR(ISBLANK(Z128),ISBLANK(Z129),ISBLANK(Z130)),"",IFERROR(Z128-Z129-Z130,""))</f>
        <v/>
      </c>
      <c r="AA131" s="66">
        <f>IF(OR(ISBLANK(AA128),ISBLANK(AA129),ISBLANK(AA130)),"",IFERROR(AA128-AA129-AA130,""))</f>
        <v/>
      </c>
      <c r="AB131" s="19" t="n"/>
      <c r="AC131" s="66" t="n"/>
      <c r="AD131" s="66" t="n"/>
      <c r="AE131" s="66" t="n"/>
      <c r="AF131" s="66">
        <f>IF(OR(ISBLANK(AF128),ISBLANK(AF129),ISBLANK(AF130)),"",IFERROR(AF128-AF129-AF130,""))</f>
        <v/>
      </c>
      <c r="AG131" s="66">
        <f>IF(OR(ISBLANK(AG128),ISBLANK(AG129),ISBLANK(AG130)),"",IFERROR(AG128-AG129-AG130,""))</f>
        <v/>
      </c>
      <c r="AH131" s="66">
        <f>IF(OR(ISBLANK(AH128),ISBLANK(AH129),ISBLANK(AH130)),"",IFERROR(AH128-AH129-AH130,""))</f>
        <v/>
      </c>
      <c r="AI131" s="66">
        <f>IF(OR(ISBLANK(AI128),ISBLANK(AI129),ISBLANK(AI130)),"",IFERROR(AI128-AI129-AI130,""))</f>
        <v/>
      </c>
      <c r="AJ131" s="66">
        <f>IF(OR(ISBLANK(AJ128),ISBLANK(AJ129),ISBLANK(AJ130)),"",IFERROR(AJ128-AJ129-AJ130,""))</f>
        <v/>
      </c>
    </row>
    <row r="132">
      <c r="A132" s="20" t="inlineStr">
        <is>
          <t>Other expenses (G&amp;A + employee)</t>
        </is>
      </c>
      <c r="B132" s="21" t="inlineStr">
        <is>
          <t>Rs Mn</t>
        </is>
      </c>
      <c r="C132" s="22" t="n"/>
      <c r="D132" s="66">
        <f>IF(OR(ISBLANK(D25),ISBLANK(D53),ISBLANK(D110)),"",IFERROR(D25-D53-D110,""))</f>
        <v/>
      </c>
      <c r="E132" s="66">
        <f>IF(OR(ISBLANK(E25),ISBLANK(E53),ISBLANK(E110)),"",IFERROR(E25-E53-E110,""))</f>
        <v/>
      </c>
      <c r="F132" s="66">
        <f>IF(OR(ISBLANK(F25),ISBLANK(F53),ISBLANK(F110)),"",IFERROR(F25-F53-F110,""))</f>
        <v/>
      </c>
      <c r="G132" s="66">
        <f>IF(OR(ISBLANK(G25),ISBLANK(G53),ISBLANK(G110)),"",IFERROR(G25-G53-G110,""))</f>
        <v/>
      </c>
      <c r="H132" s="66">
        <f>IF(OR(ISBLANK(H25),ISBLANK(H53),ISBLANK(H110)),"",IFERROR(H25-H53-H110,""))</f>
        <v/>
      </c>
      <c r="I132" s="66">
        <f>IF(OR(ISBLANK(I25),ISBLANK(I53),ISBLANK(I110)),"",IFERROR(I25-I53-I110,""))</f>
        <v/>
      </c>
      <c r="J132" s="66">
        <f>IF(OR(ISBLANK(J25),ISBLANK(J53),ISBLANK(J110)),"",IFERROR(J25-J53-J110,""))</f>
        <v/>
      </c>
      <c r="K132" s="66">
        <f>IF(OR(ISBLANK(K25),ISBLANK(K53),ISBLANK(K110)),"",IFERROR(K25-K53-K110,""))</f>
        <v/>
      </c>
      <c r="L132" s="66">
        <f>IF(OR(ISBLANK(L25),ISBLANK(L53),ISBLANK(L110)),"",IFERROR(L25-L53-L110,""))</f>
        <v/>
      </c>
      <c r="M132" s="66">
        <f>IF(OR(ISBLANK(M25),ISBLANK(M53),ISBLANK(M110)),"",IFERROR(M25-M53-M110,""))</f>
        <v/>
      </c>
      <c r="N132" s="66">
        <f>IF(OR(ISBLANK(N25),ISBLANK(N53),ISBLANK(N110)),"",IFERROR(N25-N53-N110,""))</f>
        <v/>
      </c>
      <c r="O132" s="66">
        <f>IF(OR(ISBLANK(O25),ISBLANK(O53),ISBLANK(O110)),"",IFERROR(O25-O53-O110,""))</f>
        <v/>
      </c>
      <c r="P132" s="66">
        <f>IF(OR(ISBLANK(P25),ISBLANK(P53),ISBLANK(P110)),"",IFERROR(P25-P53-P110,""))</f>
        <v/>
      </c>
      <c r="Q132" s="66">
        <f>IF(OR(ISBLANK(Q25),ISBLANK(Q53),ISBLANK(Q110)),"",IFERROR(Q25-Q53-Q110,""))</f>
        <v/>
      </c>
      <c r="R132" s="66">
        <f>IF(OR(ISBLANK(R25),ISBLANK(R53),ISBLANK(R110)),"",IFERROR(R25-R53-R110,""))</f>
        <v/>
      </c>
      <c r="S132" s="66">
        <f>IF(OR(ISBLANK(S25),ISBLANK(S53),ISBLANK(S110)),"",IFERROR(S25-S53-S110,""))</f>
        <v/>
      </c>
      <c r="T132" s="66">
        <f>IF(OR(ISBLANK(T25),ISBLANK(T53),ISBLANK(T110)),"",IFERROR(T25-T53-T110,""))</f>
        <v/>
      </c>
      <c r="U132" s="66">
        <f>IF(OR(ISBLANK(U25),ISBLANK(U53),ISBLANK(U110)),"",IFERROR(U25-U53-U110,""))</f>
        <v/>
      </c>
      <c r="V132" s="66">
        <f>IF(OR(ISBLANK(V25),ISBLANK(V53),ISBLANK(V110)),"",IFERROR(V25-V53-V110,""))</f>
        <v/>
      </c>
      <c r="W132" s="66">
        <f>IF(OR(ISBLANK(W25),ISBLANK(W53),ISBLANK(W110)),"",IFERROR(W25-W53-W110,""))</f>
        <v/>
      </c>
      <c r="X132" s="66">
        <f>IF(OR(ISBLANK(X25),ISBLANK(X53),ISBLANK(X110)),"",IFERROR(X25-X53-X110,""))</f>
        <v/>
      </c>
      <c r="Y132" s="66">
        <f>IF(OR(ISBLANK(Y25),ISBLANK(Y53),ISBLANK(Y110)),"",IFERROR(Y25-Y53-Y110,""))</f>
        <v/>
      </c>
      <c r="Z132" s="66">
        <f>IF(OR(ISBLANK(Z25),ISBLANK(Z53),ISBLANK(Z110)),"",IFERROR(Z25-Z53-Z110,""))</f>
        <v/>
      </c>
      <c r="AA132" s="66">
        <f>IF(OR(ISBLANK(AA25),ISBLANK(AA53),ISBLANK(AA110)),"",IFERROR(AA25-AA53-AA110,""))</f>
        <v/>
      </c>
      <c r="AB132" s="19" t="n"/>
      <c r="AC132" s="66" t="n"/>
      <c r="AD132" s="66" t="n"/>
      <c r="AE132" s="66" t="n"/>
      <c r="AF132" s="66">
        <f>IF(OR(ISBLANK(AF25),ISBLANK(AF53),ISBLANK(AF110)),"",IFERROR(AF25-AF53-AF110,""))</f>
        <v/>
      </c>
      <c r="AG132" s="66">
        <f>IF(OR(ISBLANK(AG25),ISBLANK(AG53),ISBLANK(AG110)),"",IFERROR(AG25-AG53-AG110,""))</f>
        <v/>
      </c>
      <c r="AH132" s="66">
        <f>IF(OR(ISBLANK(AH25),ISBLANK(AH53),ISBLANK(AH110)),"",IFERROR(AH25-AH53-AH110,""))</f>
        <v/>
      </c>
      <c r="AI132" s="66">
        <f>IF(OR(ISBLANK(AI25),ISBLANK(AI53),ISBLANK(AI110)),"",IFERROR(AI25-AI53-AI110,""))</f>
        <v/>
      </c>
      <c r="AJ132" s="66">
        <f>IF(OR(ISBLANK(AJ25),ISBLANK(AJ53),ISBLANK(AJ110)),"",IFERROR(AJ25-AJ53-AJ110,""))</f>
        <v/>
      </c>
    </row>
    <row r="133">
      <c r="A133" s="20" t="inlineStr">
        <is>
          <t>EBITDA</t>
        </is>
      </c>
      <c r="B133" s="21" t="inlineStr">
        <is>
          <t>Rs Mn</t>
        </is>
      </c>
      <c r="C133" s="22" t="n"/>
      <c r="D133" s="66">
        <f>IF(OR(ISBLANK(D131),ISBLANK(D132)),"",IFERROR(D131-D132,""))</f>
        <v/>
      </c>
      <c r="E133" s="66">
        <f>IF(OR(ISBLANK(E131),ISBLANK(E132)),"",IFERROR(E131-E132,""))</f>
        <v/>
      </c>
      <c r="F133" s="66">
        <f>IF(OR(ISBLANK(F131),ISBLANK(F132)),"",IFERROR(F131-F132,""))</f>
        <v/>
      </c>
      <c r="G133" s="66">
        <f>IF(OR(ISBLANK(G131),ISBLANK(G132)),"",IFERROR(G131-G132,""))</f>
        <v/>
      </c>
      <c r="H133" s="66">
        <f>IF(OR(ISBLANK(H131),ISBLANK(H132)),"",IFERROR(H131-H132,""))</f>
        <v/>
      </c>
      <c r="I133" s="66">
        <f>IF(OR(ISBLANK(I131),ISBLANK(I132)),"",IFERROR(I131-I132,""))</f>
        <v/>
      </c>
      <c r="J133" s="66">
        <f>IF(OR(ISBLANK(J131),ISBLANK(J132)),"",IFERROR(J131-J132,""))</f>
        <v/>
      </c>
      <c r="K133" s="66">
        <f>IF(OR(ISBLANK(K131),ISBLANK(K132)),"",IFERROR(K131-K132,""))</f>
        <v/>
      </c>
      <c r="L133" s="66">
        <f>IF(OR(ISBLANK(L131),ISBLANK(L132)),"",IFERROR(L131-L132,""))</f>
        <v/>
      </c>
      <c r="M133" s="66">
        <f>IF(OR(ISBLANK(M131),ISBLANK(M132)),"",IFERROR(M131-M132,""))</f>
        <v/>
      </c>
      <c r="N133" s="66">
        <f>IF(OR(ISBLANK(N131),ISBLANK(N132)),"",IFERROR(N131-N132,""))</f>
        <v/>
      </c>
      <c r="O133" s="66">
        <f>IF(OR(ISBLANK(O131),ISBLANK(O132)),"",IFERROR(O131-O132,""))</f>
        <v/>
      </c>
      <c r="P133" s="66">
        <f>IF(OR(ISBLANK(P131),ISBLANK(P132)),"",IFERROR(P131-P132,""))</f>
        <v/>
      </c>
      <c r="Q133" s="66">
        <f>IF(OR(ISBLANK(Q131),ISBLANK(Q132)),"",IFERROR(Q131-Q132,""))</f>
        <v/>
      </c>
      <c r="R133" s="66">
        <f>IF(OR(ISBLANK(R131),ISBLANK(R132)),"",IFERROR(R131-R132,""))</f>
        <v/>
      </c>
      <c r="S133" s="66">
        <f>IF(OR(ISBLANK(S131),ISBLANK(S132)),"",IFERROR(S131-S132,""))</f>
        <v/>
      </c>
      <c r="T133" s="66">
        <f>IF(OR(ISBLANK(T131),ISBLANK(T132)),"",IFERROR(T131-T132,""))</f>
        <v/>
      </c>
      <c r="U133" s="66">
        <f>IF(OR(ISBLANK(U131),ISBLANK(U132)),"",IFERROR(U131-U132,""))</f>
        <v/>
      </c>
      <c r="V133" s="66">
        <f>IF(OR(ISBLANK(V131),ISBLANK(V132)),"",IFERROR(V131-V132,""))</f>
        <v/>
      </c>
      <c r="W133" s="66">
        <f>IF(OR(ISBLANK(W131),ISBLANK(W132)),"",IFERROR(W131-W132,""))</f>
        <v/>
      </c>
      <c r="X133" s="66">
        <f>IF(OR(ISBLANK(X131),ISBLANK(X132)),"",IFERROR(X131-X132,""))</f>
        <v/>
      </c>
      <c r="Y133" s="66">
        <f>IF(OR(ISBLANK(Y131),ISBLANK(Y132)),"",IFERROR(Y131-Y132,""))</f>
        <v/>
      </c>
      <c r="Z133" s="66">
        <f>IF(OR(ISBLANK(Z131),ISBLANK(Z132)),"",IFERROR(Z131-Z132,""))</f>
        <v/>
      </c>
      <c r="AA133" s="66">
        <f>IF(OR(ISBLANK(AA131),ISBLANK(AA132)),"",IFERROR(AA131-AA132,""))</f>
        <v/>
      </c>
      <c r="AB133" s="19" t="n"/>
      <c r="AC133" s="66" t="n"/>
      <c r="AD133" s="66" t="n"/>
      <c r="AE133" s="66" t="n"/>
      <c r="AF133" s="66">
        <f>IF(OR(ISBLANK(AF131),ISBLANK(AF132)),"",IFERROR(AF131-AF132,""))</f>
        <v/>
      </c>
      <c r="AG133" s="66">
        <f>IF(OR(ISBLANK(AG131),ISBLANK(AG132)),"",IFERROR(AG131-AG132,""))</f>
        <v/>
      </c>
      <c r="AH133" s="66">
        <f>IF(OR(ISBLANK(AH131),ISBLANK(AH132)),"",IFERROR(AH131-AH132,""))</f>
        <v/>
      </c>
      <c r="AI133" s="66">
        <f>IF(OR(ISBLANK(AI131),ISBLANK(AI132)),"",IFERROR(AI131-AI132,""))</f>
        <v/>
      </c>
      <c r="AJ133" s="66">
        <f>IF(OR(ISBLANK(AJ131),ISBLANK(AJ132)),"",IFERROR(AJ131-AJ132,""))</f>
        <v/>
      </c>
    </row>
    <row r="134">
      <c r="AB134" s="19" t="n"/>
    </row>
    <row r="135">
      <c r="A135" s="5" t="inlineStr">
        <is>
          <t>Company-wide Business &amp; Operating Data</t>
        </is>
      </c>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44" t="n"/>
      <c r="AC135" s="5" t="n"/>
      <c r="AD135" s="5" t="n"/>
      <c r="AE135" s="5" t="n"/>
      <c r="AF135" s="5" t="n"/>
      <c r="AG135" s="5" t="n"/>
      <c r="AH135" s="5" t="n"/>
      <c r="AI135" s="5" t="n"/>
      <c r="AJ135" s="5" t="n"/>
    </row>
    <row r="136">
      <c r="A136" s="20" t="inlineStr">
        <is>
          <t>Number of warehouses</t>
        </is>
      </c>
      <c r="B136" s="21" t="inlineStr">
        <is>
          <t>#</t>
        </is>
      </c>
      <c r="C136" s="22" t="inlineStr">
        <is>
          <t>Beauty Omnichannel Retail / Financial Performance</t>
        </is>
      </c>
      <c r="D136" s="69" t="n"/>
      <c r="E136" s="69" t="n"/>
      <c r="F136" s="69" t="n"/>
      <c r="G136" s="69" t="n">
        <v>25</v>
      </c>
      <c r="H136" s="69" t="n">
        <v>30</v>
      </c>
      <c r="I136" s="69" t="n"/>
      <c r="J136" s="69" t="n">
        <v>37</v>
      </c>
      <c r="K136" s="69" t="n">
        <v>38</v>
      </c>
      <c r="L136" s="69" t="n"/>
      <c r="M136" s="69" t="n"/>
      <c r="N136" s="69" t="n"/>
      <c r="O136" s="69" t="n"/>
      <c r="P136" s="69" t="n"/>
      <c r="Q136" s="69" t="n"/>
      <c r="R136" s="69" t="n"/>
      <c r="S136" s="69" t="n"/>
      <c r="T136" s="69" t="n"/>
      <c r="U136" s="69" t="n"/>
      <c r="V136" s="69" t="n"/>
      <c r="W136" s="69" t="n"/>
      <c r="X136" s="69" t="n"/>
      <c r="Y136" s="69" t="n"/>
      <c r="Z136" s="69" t="n"/>
      <c r="AA136" s="69" t="n"/>
      <c r="AB136" s="19" t="n"/>
      <c r="AC136" s="41" t="n"/>
      <c r="AD136" s="41" t="n"/>
      <c r="AE136" s="41" t="n"/>
      <c r="AF136" s="41">
        <f>IF(G136="","",G136)</f>
        <v/>
      </c>
      <c r="AG136" s="41">
        <f>IF(K136="","",K136)</f>
        <v/>
      </c>
      <c r="AH136" s="41">
        <f>IF(O136="","",O136)</f>
        <v/>
      </c>
      <c r="AI136" s="41">
        <f>IF(S136="","",S136)</f>
        <v/>
      </c>
      <c r="AJ136" s="41">
        <f>IF(W136="","",W136)</f>
        <v/>
      </c>
    </row>
    <row r="137">
      <c r="A137" s="20" t="inlineStr">
        <is>
          <t>Warehouse - number of cities</t>
        </is>
      </c>
      <c r="B137" s="21" t="inlineStr">
        <is>
          <t>#</t>
        </is>
      </c>
      <c r="C137" s="22" t="inlineStr">
        <is>
          <t>Beauty Omnichannel Retail / Financial Performance</t>
        </is>
      </c>
      <c r="D137" s="69" t="n"/>
      <c r="E137" s="69" t="n">
        <v>8</v>
      </c>
      <c r="F137" s="69" t="n">
        <v>9</v>
      </c>
      <c r="G137" s="69" t="n">
        <v>11</v>
      </c>
      <c r="H137" s="69" t="n">
        <v>14</v>
      </c>
      <c r="I137" s="69" t="n">
        <v>14</v>
      </c>
      <c r="J137" s="69" t="n">
        <v>15</v>
      </c>
      <c r="K137" s="69" t="n">
        <v>15</v>
      </c>
      <c r="L137" s="69" t="n"/>
      <c r="M137" s="69" t="n"/>
      <c r="N137" s="69" t="n"/>
      <c r="O137" s="69" t="n"/>
      <c r="P137" s="69" t="n"/>
      <c r="Q137" s="69" t="n"/>
      <c r="R137" s="69" t="n"/>
      <c r="S137" s="69" t="n"/>
      <c r="T137" s="69" t="n"/>
      <c r="U137" s="69" t="n"/>
      <c r="V137" s="69" t="n"/>
      <c r="W137" s="69" t="n"/>
      <c r="X137" s="69" t="n"/>
      <c r="Y137" s="69" t="n"/>
      <c r="Z137" s="69" t="n"/>
      <c r="AA137" s="69" t="n"/>
      <c r="AB137" s="19" t="n"/>
      <c r="AC137" s="41" t="n"/>
      <c r="AD137" s="41" t="n"/>
      <c r="AE137" s="41" t="n"/>
      <c r="AF137" s="41">
        <f>IF(G137="","",G137)</f>
        <v/>
      </c>
      <c r="AG137" s="41">
        <f>IF(K137="","",K137)</f>
        <v/>
      </c>
      <c r="AH137" s="41">
        <f>IF(O137="","",O137)</f>
        <v/>
      </c>
      <c r="AI137" s="41">
        <f>IF(S137="","",S137)</f>
        <v/>
      </c>
      <c r="AJ137" s="41">
        <f>IF(W137="","",W137)</f>
        <v/>
      </c>
    </row>
    <row r="138">
      <c r="A138" s="20" t="inlineStr">
        <is>
          <t>Warehouse capacity</t>
        </is>
      </c>
      <c r="B138" s="21" t="inlineStr">
        <is>
          <t>sq ft</t>
        </is>
      </c>
      <c r="C138" s="22" t="inlineStr">
        <is>
          <t>Beauty Omnichannel Retail / Financial Performance</t>
        </is>
      </c>
      <c r="D138" s="28" t="n"/>
      <c r="E138" s="28" t="n">
        <v>0.665</v>
      </c>
      <c r="F138" s="28" t="n">
        <v>0.8</v>
      </c>
      <c r="G138" s="28" t="n">
        <v>0.82</v>
      </c>
      <c r="H138" s="28" t="n">
        <v>1.05</v>
      </c>
      <c r="I138" s="28" t="n">
        <v>1.15</v>
      </c>
      <c r="J138" s="28" t="n">
        <v>1.2</v>
      </c>
      <c r="K138" s="28" t="n">
        <v>1.46</v>
      </c>
      <c r="L138" s="28" t="n"/>
      <c r="M138" s="28" t="n"/>
      <c r="N138" s="28" t="n"/>
      <c r="O138" s="28" t="n">
        <v>1.47</v>
      </c>
      <c r="P138" s="28" t="n"/>
      <c r="Q138" s="28" t="n"/>
      <c r="R138" s="28" t="n"/>
      <c r="S138" s="28" t="n"/>
      <c r="T138" s="28" t="n"/>
      <c r="U138" s="28" t="n"/>
      <c r="V138" s="28" t="n"/>
      <c r="W138" s="28" t="n"/>
      <c r="X138" s="28" t="n"/>
      <c r="Y138" s="28" t="n"/>
      <c r="Z138" s="28" t="n"/>
      <c r="AA138" s="28" t="n"/>
      <c r="AB138" s="19" t="n"/>
      <c r="AC138" s="30" t="n"/>
      <c r="AD138" s="30" t="n"/>
      <c r="AE138" s="30" t="n"/>
      <c r="AF138" s="30">
        <f>IF(G138="","",G138)</f>
        <v/>
      </c>
      <c r="AG138" s="30">
        <f>IF(K138="","",K138)</f>
        <v/>
      </c>
      <c r="AH138" s="30">
        <f>IF(O138="","",O138)</f>
        <v/>
      </c>
      <c r="AI138" s="30">
        <f>IF(S138="","",S138)</f>
        <v/>
      </c>
      <c r="AJ138" s="30">
        <f>IF(W138="","",W138)</f>
        <v/>
      </c>
    </row>
    <row r="139">
      <c r="A139" s="20" t="inlineStr">
        <is>
          <t>Employee count</t>
        </is>
      </c>
      <c r="B139" s="21" t="inlineStr">
        <is>
          <t>#</t>
        </is>
      </c>
      <c r="C139" s="22" t="inlineStr">
        <is>
          <t>Financial Performance</t>
        </is>
      </c>
      <c r="D139" s="69" t="n"/>
      <c r="E139" s="69" t="n"/>
      <c r="F139" s="69" t="n"/>
      <c r="G139" s="69" t="n">
        <v>2764</v>
      </c>
      <c r="H139" s="69" t="n"/>
      <c r="I139" s="69" t="n">
        <v>3144</v>
      </c>
      <c r="J139" s="69" t="n"/>
      <c r="K139" s="69" t="n"/>
      <c r="L139" s="69" t="n"/>
      <c r="M139" s="69" t="n"/>
      <c r="N139" s="69" t="n"/>
      <c r="O139" s="69" t="n"/>
      <c r="P139" s="69" t="n"/>
      <c r="Q139" s="69" t="n"/>
      <c r="R139" s="69" t="n"/>
      <c r="S139" s="69" t="n"/>
      <c r="T139" s="69" t="n"/>
      <c r="U139" s="69" t="n"/>
      <c r="V139" s="69" t="n"/>
      <c r="W139" s="69" t="n"/>
      <c r="X139" s="69" t="n"/>
      <c r="Y139" s="69" t="n"/>
      <c r="Z139" s="69" t="n"/>
      <c r="AA139" s="69" t="n"/>
      <c r="AB139" s="19" t="n"/>
      <c r="AC139" s="41" t="n"/>
      <c r="AD139" s="41" t="n"/>
      <c r="AE139" s="41" t="n"/>
      <c r="AF139" s="41">
        <f>IF(G139="","",G139)</f>
        <v/>
      </c>
      <c r="AG139" s="41">
        <f>IF(K139="","",K139)</f>
        <v/>
      </c>
      <c r="AH139" s="41">
        <f>IF(O139="","",O139)</f>
        <v/>
      </c>
      <c r="AI139" s="41">
        <f>IF(S139="","",S139)</f>
        <v/>
      </c>
      <c r="AJ139" s="41">
        <f>IF(W139="","",W139)</f>
        <v/>
      </c>
    </row>
    <row r="140">
      <c r="A140" s="20" t="inlineStr">
        <is>
          <t>Office space</t>
        </is>
      </c>
      <c r="B140" s="21" t="inlineStr">
        <is>
          <t>sq ft</t>
        </is>
      </c>
      <c r="C140" s="22" t="inlineStr">
        <is>
          <t>Financial Performance</t>
        </is>
      </c>
      <c r="D140" s="28" t="n"/>
      <c r="E140" s="28" t="n">
        <v>0.09</v>
      </c>
      <c r="F140" s="28" t="n"/>
      <c r="G140" s="28" t="n">
        <v>0.11</v>
      </c>
      <c r="H140" s="28" t="n"/>
      <c r="I140" s="28" t="n">
        <v>0.17</v>
      </c>
      <c r="J140" s="28" t="n"/>
      <c r="K140" s="28" t="n"/>
      <c r="L140" s="28" t="n"/>
      <c r="M140" s="28" t="n"/>
      <c r="N140" s="28" t="n"/>
      <c r="O140" s="28" t="n"/>
      <c r="P140" s="28" t="n"/>
      <c r="Q140" s="28" t="n"/>
      <c r="R140" s="28" t="n"/>
      <c r="S140" s="28" t="n"/>
      <c r="T140" s="28" t="n"/>
      <c r="U140" s="28" t="n"/>
      <c r="V140" s="28" t="n"/>
      <c r="W140" s="28" t="n"/>
      <c r="X140" s="28" t="n"/>
      <c r="Y140" s="28" t="n"/>
      <c r="Z140" s="28" t="n"/>
      <c r="AA140" s="28" t="n"/>
      <c r="AB140" s="19" t="n"/>
      <c r="AC140" s="30" t="n"/>
      <c r="AD140" s="30" t="n"/>
      <c r="AE140" s="30" t="n"/>
      <c r="AF140" s="30">
        <f>IF(G140="","",G140)</f>
        <v/>
      </c>
      <c r="AG140" s="30">
        <f>IF(K140="","",K140)</f>
        <v/>
      </c>
      <c r="AH140" s="30">
        <f>IF(O140="","",O140)</f>
        <v/>
      </c>
      <c r="AI140" s="30">
        <f>IF(S140="","",S140)</f>
        <v/>
      </c>
      <c r="AJ140" s="30">
        <f>IF(W140="","",W140)</f>
        <v/>
      </c>
    </row>
    <row r="142">
      <c r="A142" s="5" t="inlineStr">
        <is>
          <t>AOV RECONCILIATION: REPORTED vs COMPUTED (GMV / Orders)</t>
        </is>
      </c>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44" t="n"/>
      <c r="AC142" s="5" t="n"/>
      <c r="AD142" s="5" t="n"/>
      <c r="AE142" s="5" t="n"/>
      <c r="AF142" s="5" t="n"/>
      <c r="AG142" s="5" t="n"/>
      <c r="AH142" s="5" t="n"/>
      <c r="AI142" s="5" t="n"/>
      <c r="AJ142" s="5" t="n"/>
    </row>
    <row r="143">
      <c r="A143" s="17" t="inlineStr">
        <is>
          <t>Reported AOV = Nykaa's own disclosed Average Order Value per quarter/year (deck 'Key Operational/Performance Metrics' table). Computed AOV = GMV / Orders using the GMV and Orders rows above in this sheet. The two differ because GMV and Orders are drawn from different scope definitions in Nykaa's own glossary: (1) Beauty -- GMV is 'Beauty incl. SuperStore' (broader), but Orders/AOV in the KPI table are defined on the narrower 'BPC Vertical' (excludes SuperStore by Nykaa and Nykaa Man Grooming). (2) Fashion -- GMV is 'Nykaa Fashion + LBB + Nykaa Man Lifestyle' (row 87), but the glossary defines 'Orders, with respect to Fashion Vertical' as orders on the Nykaa app/website and Fashion.com only -- it explicitly puts Nykaa Man under 'Others', not Fashion, and never mentions LBB. So Fashion GMV carries LBB and Nykaa Man Lifestyle in the numerator that Fashion Orders doesn't fully capture in the denominator. Both cases are the same underlying pattern (GMV segment scope &gt; Orders/AOV KPI-table scope), just with a different 'extra' component -- SuperStore for Beauty, LBB/Nykaa Man Lifestyle for Fashion. Neither LBB nor Nykaa Man Lifestyle GMV is separately disclosed, so the Fashion gap can't be quantified/decomposed the same way the Beauty (ex-SuperStore) row does above -- see the gap % row for the size of the residual each period. Reported AOV as shown here is 'as first disclosed that quarter' where available; a few cells are sourced from a later deck's YoY comparator column where the quarter's own deck lacked a numeric table (flagged via cell comment).</t>
        </is>
      </c>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45" t="n"/>
      <c r="AC143" s="17" t="n"/>
      <c r="AD143" s="17" t="n"/>
      <c r="AE143" s="17" t="n"/>
      <c r="AF143" s="17" t="n"/>
      <c r="AG143" s="17" t="n"/>
      <c r="AH143" s="17" t="n"/>
      <c r="AI143" s="17" t="n"/>
      <c r="AJ143" s="17" t="n"/>
    </row>
    <row r="144">
      <c r="AB144" s="19" t="n"/>
    </row>
    <row r="145">
      <c r="A145" s="9" t="inlineStr">
        <is>
          <t>Beauty</t>
        </is>
      </c>
      <c r="AB145" s="19" t="n"/>
    </row>
    <row r="146">
      <c r="A146" t="inlineStr">
        <is>
          <t>Reported AOV</t>
        </is>
      </c>
      <c r="B146" s="17" t="inlineStr">
        <is>
          <t>Rs</t>
        </is>
      </c>
      <c r="C146" s="17" t="inlineStr">
        <is>
          <t>Deck-reported</t>
        </is>
      </c>
      <c r="D146" s="70" t="n">
        <v>1832</v>
      </c>
      <c r="E146" s="70" t="n">
        <v>1910</v>
      </c>
      <c r="F146" s="70" t="n">
        <v>1967</v>
      </c>
      <c r="G146" s="70" t="n">
        <v>1716</v>
      </c>
      <c r="H146" s="70" t="n">
        <v>1780</v>
      </c>
      <c r="I146" s="70" t="n">
        <v>1872</v>
      </c>
      <c r="J146" s="70" t="n">
        <v>1958</v>
      </c>
      <c r="K146" s="70" t="n">
        <v>1803</v>
      </c>
      <c r="L146" s="70" t="n">
        <v>1849</v>
      </c>
      <c r="M146" s="70" t="n">
        <v>1916</v>
      </c>
      <c r="N146" s="70" t="n">
        <v>2024</v>
      </c>
      <c r="O146" s="70" t="n">
        <v>1788</v>
      </c>
      <c r="P146" s="70" t="n">
        <v>1924</v>
      </c>
      <c r="Q146" s="70" t="n">
        <v>2038</v>
      </c>
      <c r="R146" s="70" t="n">
        <v>2127</v>
      </c>
      <c r="S146" s="70" t="n">
        <v>1978</v>
      </c>
      <c r="T146" s="70" t="n">
        <v>2009</v>
      </c>
      <c r="U146" s="70" t="n">
        <v>2049</v>
      </c>
      <c r="V146" s="70" t="n">
        <v>2173</v>
      </c>
      <c r="W146" t="n"/>
      <c r="AB146" s="19" t="n"/>
      <c r="AF146" s="70" t="n">
        <v>1857</v>
      </c>
      <c r="AG146" s="70" t="n">
        <v>1857</v>
      </c>
      <c r="AH146" s="70" t="n">
        <v>1985</v>
      </c>
      <c r="AI146" s="70" t="n">
        <v>2021</v>
      </c>
      <c r="AJ146" s="70" t="n">
        <v>2068</v>
      </c>
    </row>
    <row r="147">
      <c r="A147" t="inlineStr">
        <is>
          <t>Computed AOV (GMV / Orders)</t>
        </is>
      </c>
      <c r="B147" s="17" t="inlineStr">
        <is>
          <t>Rs</t>
        </is>
      </c>
      <c r="C147" s="17" t="inlineStr">
        <is>
          <t>Link: row 38 (Beauty AOV)</t>
        </is>
      </c>
      <c r="D147" s="55">
        <f>IF(D39="","",IFERROR(D38,""))</f>
        <v/>
      </c>
      <c r="E147" s="55">
        <f>IF(E39="","",IFERROR(E38,""))</f>
        <v/>
      </c>
      <c r="F147" s="55">
        <f>IF(F39="","",IFERROR(F38,""))</f>
        <v/>
      </c>
      <c r="G147" s="55">
        <f>IF(G39="","",IFERROR(G38,""))</f>
        <v/>
      </c>
      <c r="H147" s="55">
        <f>IF(H39="","",IFERROR(H38,""))</f>
        <v/>
      </c>
      <c r="I147" s="55">
        <f>IF(I39="","",IFERROR(I38,""))</f>
        <v/>
      </c>
      <c r="J147" s="55">
        <f>IF(J39="","",IFERROR(J38,""))</f>
        <v/>
      </c>
      <c r="K147" s="55">
        <f>IF(K39="","",IFERROR(K38,""))</f>
        <v/>
      </c>
      <c r="L147" s="55">
        <f>IF(L39="","",IFERROR(L38,""))</f>
        <v/>
      </c>
      <c r="M147" s="55">
        <f>IF(M39="","",IFERROR(M38,""))</f>
        <v/>
      </c>
      <c r="N147" s="55">
        <f>IF(N39="","",IFERROR(N38,""))</f>
        <v/>
      </c>
      <c r="O147" s="55">
        <f>IF(O39="","",IFERROR(O38,""))</f>
        <v/>
      </c>
      <c r="P147" s="55">
        <f>IF(P39="","",IFERROR(P38,""))</f>
        <v/>
      </c>
      <c r="Q147" s="55">
        <f>IF(Q39="","",IFERROR(Q38,""))</f>
        <v/>
      </c>
      <c r="R147" s="55">
        <f>IF(R39="","",IFERROR(R38,""))</f>
        <v/>
      </c>
      <c r="S147" s="55">
        <f>IF(S39="","",IFERROR(S38,""))</f>
        <v/>
      </c>
      <c r="T147" s="55">
        <f>IF(T39="","",IFERROR(T38,""))</f>
        <v/>
      </c>
      <c r="U147" s="55">
        <f>IF(U39="","",IFERROR(U38,""))</f>
        <v/>
      </c>
      <c r="V147" s="55">
        <f>IF(V39="","",IFERROR(V38,""))</f>
        <v/>
      </c>
      <c r="W147" s="55">
        <f>IF(W39="","",IFERROR(W38,""))</f>
        <v/>
      </c>
      <c r="X147" s="55">
        <f>IF(X39="","",IFERROR(X38,""))</f>
        <v/>
      </c>
      <c r="Y147" s="55">
        <f>IF(Y39="","",IFERROR(Y38,""))</f>
        <v/>
      </c>
      <c r="Z147" s="55">
        <f>IF(Z39="","",IFERROR(Z38,""))</f>
        <v/>
      </c>
      <c r="AA147" s="55">
        <f>IF(AA39="","",IFERROR(AA38,""))</f>
        <v/>
      </c>
      <c r="AB147" s="19" t="n"/>
      <c r="AC147" s="56">
        <f>IF(AC39="","",IFERROR(AC38,""))</f>
        <v/>
      </c>
      <c r="AD147" s="56">
        <f>IF(AD39="","",IFERROR(AD38,""))</f>
        <v/>
      </c>
      <c r="AE147" s="56">
        <f>IF(AE39="","",IFERROR(AE38,""))</f>
        <v/>
      </c>
      <c r="AF147" s="56">
        <f>IF(AF39="","",IFERROR(AF38,""))</f>
        <v/>
      </c>
      <c r="AG147" s="56">
        <f>IF(AG39="","",IFERROR(AG38,""))</f>
        <v/>
      </c>
      <c r="AH147" s="56">
        <f>IF(AH39="","",IFERROR(AH38,""))</f>
        <v/>
      </c>
      <c r="AI147" s="56">
        <f>IF(AI39="","",IFERROR(AI38,""))</f>
        <v/>
      </c>
      <c r="AJ147" s="56">
        <f>IF(AJ39="","",IFERROR(AJ38,""))</f>
        <v/>
      </c>
    </row>
    <row r="148">
      <c r="A148" t="inlineStr">
        <is>
          <t xml:space="preserve">  Gap (Computed / Reported - 1)</t>
        </is>
      </c>
      <c r="B148" s="17" t="inlineStr">
        <is>
          <t>%</t>
        </is>
      </c>
      <c r="D148" s="49">
        <f>IFERROR(D147/D146-1,"")</f>
        <v/>
      </c>
      <c r="E148" s="49">
        <f>IFERROR(E147/E146-1,"")</f>
        <v/>
      </c>
      <c r="F148" s="49">
        <f>IFERROR(F147/F146-1,"")</f>
        <v/>
      </c>
      <c r="G148" s="49">
        <f>IFERROR(G147/G146-1,"")</f>
        <v/>
      </c>
      <c r="H148" s="49">
        <f>IFERROR(H147/H146-1,"")</f>
        <v/>
      </c>
      <c r="I148" s="49">
        <f>IFERROR(I147/I146-1,"")</f>
        <v/>
      </c>
      <c r="J148" s="49">
        <f>IFERROR(J147/J146-1,"")</f>
        <v/>
      </c>
      <c r="K148" s="49">
        <f>IFERROR(K147/K146-1,"")</f>
        <v/>
      </c>
      <c r="L148" s="49">
        <f>IFERROR(L147/L146-1,"")</f>
        <v/>
      </c>
      <c r="M148" s="49">
        <f>IFERROR(M147/M146-1,"")</f>
        <v/>
      </c>
      <c r="N148" s="49">
        <f>IFERROR(N147/N146-1,"")</f>
        <v/>
      </c>
      <c r="O148" s="49">
        <f>IFERROR(O147/O146-1,"")</f>
        <v/>
      </c>
      <c r="P148" s="49">
        <f>IFERROR(P147/P146-1,"")</f>
        <v/>
      </c>
      <c r="Q148" s="49">
        <f>IFERROR(Q147/Q146-1,"")</f>
        <v/>
      </c>
      <c r="R148" s="49">
        <f>IFERROR(R147/R146-1,"")</f>
        <v/>
      </c>
      <c r="S148" s="49">
        <f>IFERROR(S147/S146-1,"")</f>
        <v/>
      </c>
      <c r="T148" s="49">
        <f>IFERROR(T147/T146-1,"")</f>
        <v/>
      </c>
      <c r="U148" s="49">
        <f>IFERROR(U147/U146-1,"")</f>
        <v/>
      </c>
      <c r="V148" s="49">
        <f>IFERROR(V147/V146-1,"")</f>
        <v/>
      </c>
      <c r="W148" s="49">
        <f>IFERROR(W147/W146-1,"")</f>
        <v/>
      </c>
      <c r="X148" s="49">
        <f>IFERROR(X147/X146-1,"")</f>
        <v/>
      </c>
      <c r="Y148" s="49">
        <f>IFERROR(Y147/Y146-1,"")</f>
        <v/>
      </c>
      <c r="Z148" s="49">
        <f>IFERROR(Z147/Z146-1,"")</f>
        <v/>
      </c>
      <c r="AA148" s="49">
        <f>IFERROR(AA147/AA146-1,"")</f>
        <v/>
      </c>
      <c r="AB148" s="19" t="n"/>
      <c r="AC148" s="52">
        <f>IFERROR(AC147/AC146-1,"")</f>
        <v/>
      </c>
      <c r="AD148" s="52">
        <f>IFERROR(AD147/AD146-1,"")</f>
        <v/>
      </c>
      <c r="AE148" s="52">
        <f>IFERROR(AE147/AE146-1,"")</f>
        <v/>
      </c>
      <c r="AF148" s="52">
        <f>IFERROR(AF147/AF146-1,"")</f>
        <v/>
      </c>
      <c r="AG148" s="52">
        <f>IFERROR(AG147/AG146-1,"")</f>
        <v/>
      </c>
      <c r="AH148" s="52">
        <f>IFERROR(AH147/AH146-1,"")</f>
        <v/>
      </c>
      <c r="AI148" s="52">
        <f>IFERROR(AI147/AI146-1,"")</f>
        <v/>
      </c>
      <c r="AJ148" s="52">
        <f>IFERROR(AJ147/AJ146-1,"")</f>
        <v/>
      </c>
    </row>
    <row r="149">
      <c r="AB149" s="19" t="n"/>
    </row>
    <row r="150">
      <c r="A150" s="9" t="inlineStr">
        <is>
          <t>Fashion</t>
        </is>
      </c>
      <c r="AB150" s="19" t="n"/>
    </row>
    <row r="151">
      <c r="A151" t="inlineStr">
        <is>
          <t>Reported AOV</t>
        </is>
      </c>
      <c r="B151" s="17" t="inlineStr">
        <is>
          <t>Rs</t>
        </is>
      </c>
      <c r="C151" s="17" t="inlineStr">
        <is>
          <t>Deck-reported</t>
        </is>
      </c>
      <c r="D151" s="70" t="n">
        <v>3153</v>
      </c>
      <c r="E151" s="70" t="n">
        <v>3242</v>
      </c>
      <c r="F151" s="70" t="n">
        <v>3558</v>
      </c>
      <c r="G151" s="70" t="n">
        <v>3616</v>
      </c>
      <c r="H151" s="70" t="n">
        <v>3732</v>
      </c>
      <c r="I151" s="70" t="n">
        <v>3940</v>
      </c>
      <c r="J151" s="70" t="n">
        <v>3959</v>
      </c>
      <c r="K151" s="70" t="n">
        <v>4266</v>
      </c>
      <c r="L151" s="70" t="n">
        <v>4058</v>
      </c>
      <c r="M151" s="70" t="n">
        <v>4061</v>
      </c>
      <c r="N151" s="70" t="n">
        <v>4681</v>
      </c>
      <c r="O151" s="70" t="n">
        <v>4546</v>
      </c>
      <c r="P151" s="70" t="n">
        <v>4237</v>
      </c>
      <c r="Q151" s="70" t="n">
        <v>4464</v>
      </c>
      <c r="R151" s="70" t="n">
        <v>4901</v>
      </c>
      <c r="S151" s="70" t="n">
        <v>4738</v>
      </c>
      <c r="T151" s="70" t="n">
        <v>4504</v>
      </c>
      <c r="U151" s="70" t="n">
        <v>4651</v>
      </c>
      <c r="V151" s="70" t="n">
        <v>4794</v>
      </c>
      <c r="W151" t="n"/>
      <c r="AB151" s="19" t="n"/>
      <c r="AF151" s="70" t="n">
        <v>3400</v>
      </c>
      <c r="AG151" s="70" t="n">
        <v>3973</v>
      </c>
      <c r="AH151" s="70" t="n">
        <v>4361</v>
      </c>
      <c r="AI151" s="70" t="n">
        <v>4609</v>
      </c>
      <c r="AJ151" s="70" t="n">
        <v>4652</v>
      </c>
    </row>
    <row r="152">
      <c r="A152" t="inlineStr">
        <is>
          <t>Computed AOV (GMV / Orders)</t>
        </is>
      </c>
      <c r="B152" s="17" t="inlineStr">
        <is>
          <t>Rs</t>
        </is>
      </c>
      <c r="C152" s="17" t="inlineStr">
        <is>
          <t>Link: row 95 (Fashion AOV)</t>
        </is>
      </c>
      <c r="D152" s="55">
        <f>IF(D96="","",IFERROR(D95,""))</f>
        <v/>
      </c>
      <c r="E152" s="55">
        <f>IF(E96="","",IFERROR(E95,""))</f>
        <v/>
      </c>
      <c r="F152" s="55">
        <f>IF(F96="","",IFERROR(F95,""))</f>
        <v/>
      </c>
      <c r="G152" s="55">
        <f>IF(G96="","",IFERROR(G95,""))</f>
        <v/>
      </c>
      <c r="H152" s="55">
        <f>IF(H96="","",IFERROR(H95,""))</f>
        <v/>
      </c>
      <c r="I152" s="55">
        <f>IF(I96="","",IFERROR(I95,""))</f>
        <v/>
      </c>
      <c r="J152" s="55">
        <f>IF(J96="","",IFERROR(J95,""))</f>
        <v/>
      </c>
      <c r="K152" s="55">
        <f>IF(K96="","",IFERROR(K95,""))</f>
        <v/>
      </c>
      <c r="L152" s="55">
        <f>IF(L96="","",IFERROR(L95,""))</f>
        <v/>
      </c>
      <c r="M152" s="55">
        <f>IF(M96="","",IFERROR(M95,""))</f>
        <v/>
      </c>
      <c r="N152" s="55">
        <f>IF(N96="","",IFERROR(N95,""))</f>
        <v/>
      </c>
      <c r="O152" s="55">
        <f>IF(O96="","",IFERROR(O95,""))</f>
        <v/>
      </c>
      <c r="P152" s="55">
        <f>IF(P96="","",IFERROR(P95,""))</f>
        <v/>
      </c>
      <c r="Q152" s="55">
        <f>IF(Q96="","",IFERROR(Q95,""))</f>
        <v/>
      </c>
      <c r="R152" s="55">
        <f>IF(R96="","",IFERROR(R95,""))</f>
        <v/>
      </c>
      <c r="S152" s="55">
        <f>IF(S96="","",IFERROR(S95,""))</f>
        <v/>
      </c>
      <c r="T152" s="55">
        <f>IF(T96="","",IFERROR(T95,""))</f>
        <v/>
      </c>
      <c r="U152" s="55">
        <f>IF(U96="","",IFERROR(U95,""))</f>
        <v/>
      </c>
      <c r="V152" s="55">
        <f>IF(V96="","",IFERROR(V95,""))</f>
        <v/>
      </c>
      <c r="W152" s="55">
        <f>IF(W96="","",IFERROR(W95,""))</f>
        <v/>
      </c>
      <c r="X152" s="55">
        <f>IF(X96="","",IFERROR(X95,""))</f>
        <v/>
      </c>
      <c r="Y152" s="55">
        <f>IF(Y96="","",IFERROR(Y95,""))</f>
        <v/>
      </c>
      <c r="Z152" s="55">
        <f>IF(Z96="","",IFERROR(Z95,""))</f>
        <v/>
      </c>
      <c r="AA152" s="55">
        <f>IF(AA96="","",IFERROR(AA95,""))</f>
        <v/>
      </c>
      <c r="AB152" s="19" t="n"/>
      <c r="AC152" s="56">
        <f>IF(AC96="","",IFERROR(AC95,""))</f>
        <v/>
      </c>
      <c r="AD152" s="56">
        <f>IF(AD96="","",IFERROR(AD95,""))</f>
        <v/>
      </c>
      <c r="AE152" s="56">
        <f>IF(AE96="","",IFERROR(AE95,""))</f>
        <v/>
      </c>
      <c r="AF152" s="56">
        <f>IF(AF96="","",IFERROR(AF95,""))</f>
        <v/>
      </c>
      <c r="AG152" s="56">
        <f>IF(AG96="","",IFERROR(AG95,""))</f>
        <v/>
      </c>
      <c r="AH152" s="56">
        <f>IF(AH96="","",IFERROR(AH95,""))</f>
        <v/>
      </c>
      <c r="AI152" s="56">
        <f>IF(AI96="","",IFERROR(AI95,""))</f>
        <v/>
      </c>
      <c r="AJ152" s="56">
        <f>IF(AJ96="","",IFERROR(AJ95,""))</f>
        <v/>
      </c>
    </row>
    <row r="153">
      <c r="A153" t="inlineStr">
        <is>
          <t xml:space="preserve">  Gap (Computed / Reported - 1)</t>
        </is>
      </c>
      <c r="B153" s="17" t="inlineStr">
        <is>
          <t>%</t>
        </is>
      </c>
      <c r="D153" s="49">
        <f>IFERROR(D152/D151-1,"")</f>
        <v/>
      </c>
      <c r="E153" s="49">
        <f>IFERROR(E152/E151-1,"")</f>
        <v/>
      </c>
      <c r="F153" s="49">
        <f>IFERROR(F152/F151-1,"")</f>
        <v/>
      </c>
      <c r="G153" s="49">
        <f>IFERROR(G152/G151-1,"")</f>
        <v/>
      </c>
      <c r="H153" s="49">
        <f>IFERROR(H152/H151-1,"")</f>
        <v/>
      </c>
      <c r="I153" s="49">
        <f>IFERROR(I152/I151-1,"")</f>
        <v/>
      </c>
      <c r="J153" s="49">
        <f>IFERROR(J152/J151-1,"")</f>
        <v/>
      </c>
      <c r="K153" s="49">
        <f>IFERROR(K152/K151-1,"")</f>
        <v/>
      </c>
      <c r="L153" s="49">
        <f>IFERROR(L152/L151-1,"")</f>
        <v/>
      </c>
      <c r="M153" s="49">
        <f>IFERROR(M152/M151-1,"")</f>
        <v/>
      </c>
      <c r="N153" s="49">
        <f>IFERROR(N152/N151-1,"")</f>
        <v/>
      </c>
      <c r="O153" s="49">
        <f>IFERROR(O152/O151-1,"")</f>
        <v/>
      </c>
      <c r="P153" s="49">
        <f>IFERROR(P152/P151-1,"")</f>
        <v/>
      </c>
      <c r="Q153" s="49">
        <f>IFERROR(Q152/Q151-1,"")</f>
        <v/>
      </c>
      <c r="R153" s="49">
        <f>IFERROR(R152/R151-1,"")</f>
        <v/>
      </c>
      <c r="S153" s="49">
        <f>IFERROR(S152/S151-1,"")</f>
        <v/>
      </c>
      <c r="T153" s="49">
        <f>IFERROR(T152/T151-1,"")</f>
        <v/>
      </c>
      <c r="U153" s="49">
        <f>IFERROR(U152/U151-1,"")</f>
        <v/>
      </c>
      <c r="V153" s="49">
        <f>IFERROR(V152/V151-1,"")</f>
        <v/>
      </c>
      <c r="W153" s="49">
        <f>IFERROR(W152/W151-1,"")</f>
        <v/>
      </c>
      <c r="X153" s="49">
        <f>IFERROR(X152/X151-1,"")</f>
        <v/>
      </c>
      <c r="Y153" s="49">
        <f>IFERROR(Y152/Y151-1,"")</f>
        <v/>
      </c>
      <c r="Z153" s="49">
        <f>IFERROR(Z152/Z151-1,"")</f>
        <v/>
      </c>
      <c r="AA153" s="49">
        <f>IFERROR(AA152/AA151-1,"")</f>
        <v/>
      </c>
      <c r="AB153" s="19" t="n"/>
      <c r="AC153" s="52">
        <f>IFERROR(AC152/AC151-1,"")</f>
        <v/>
      </c>
      <c r="AD153" s="52">
        <f>IFERROR(AD152/AD151-1,"")</f>
        <v/>
      </c>
      <c r="AE153" s="52">
        <f>IFERROR(AE152/AE151-1,"")</f>
        <v/>
      </c>
      <c r="AF153" s="52">
        <f>IFERROR(AF152/AF151-1,"")</f>
        <v/>
      </c>
      <c r="AG153" s="52">
        <f>IFERROR(AG152/AG151-1,"")</f>
        <v/>
      </c>
      <c r="AH153" s="52">
        <f>IFERROR(AH152/AH151-1,"")</f>
        <v/>
      </c>
      <c r="AI153" s="52">
        <f>IFERROR(AI152/AI151-1,"")</f>
        <v/>
      </c>
      <c r="AJ153" s="52">
        <f>IFERROR(AJ152/AJ151-1,"")</f>
        <v/>
      </c>
    </row>
  </sheetData>
  <pageMargins left="0.75" right="0.75" top="1" bottom="1" header="0.5" footer="0.5"/>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0" summaryRight="1"/>
    <pageSetUpPr/>
  </sheetPr>
  <dimension ref="A1:AN129"/>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0" customWidth="1" min="2" max="2"/>
    <col width="2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3"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INR Mn</t>
        </is>
      </c>
      <c r="B1" s="1" t="inlineStr">
        <is>
          <t>Unit</t>
        </is>
      </c>
      <c r="C1" s="1" t="inlineStr">
        <is>
          <t>Source</t>
        </is>
      </c>
      <c r="D1" s="1" t="inlineStr">
        <is>
          <t>1Q22</t>
        </is>
      </c>
      <c r="E1" s="1" t="inlineStr">
        <is>
          <t>2Q22</t>
        </is>
      </c>
      <c r="F1" s="1" t="inlineStr">
        <is>
          <t>3Q22</t>
        </is>
      </c>
      <c r="G1" s="1" t="inlineStr">
        <is>
          <t>4Q22</t>
        </is>
      </c>
      <c r="H1" s="1" t="inlineStr">
        <is>
          <t>1Q23</t>
        </is>
      </c>
      <c r="I1" s="1" t="inlineStr">
        <is>
          <t>2Q23</t>
        </is>
      </c>
      <c r="J1" s="1" t="inlineStr">
        <is>
          <t>3Q23</t>
        </is>
      </c>
      <c r="K1" s="1" t="inlineStr">
        <is>
          <t>4Q23</t>
        </is>
      </c>
      <c r="L1" s="1" t="inlineStr">
        <is>
          <t>1Q24</t>
        </is>
      </c>
      <c r="M1" s="1" t="inlineStr">
        <is>
          <t>2Q24</t>
        </is>
      </c>
      <c r="N1" s="1" t="inlineStr">
        <is>
          <t>3Q24</t>
        </is>
      </c>
      <c r="O1" s="1" t="inlineStr">
        <is>
          <t>4Q24</t>
        </is>
      </c>
      <c r="P1" s="1" t="inlineStr">
        <is>
          <t>1Q25</t>
        </is>
      </c>
      <c r="Q1" s="1" t="inlineStr">
        <is>
          <t>2Q25</t>
        </is>
      </c>
      <c r="R1" s="1" t="inlineStr">
        <is>
          <t>3Q25</t>
        </is>
      </c>
      <c r="S1" s="1" t="inlineStr">
        <is>
          <t>4Q25</t>
        </is>
      </c>
      <c r="T1" s="1" t="inlineStr">
        <is>
          <t>1Q26</t>
        </is>
      </c>
      <c r="U1" s="1" t="inlineStr">
        <is>
          <t>2Q26</t>
        </is>
      </c>
      <c r="V1" s="1" t="inlineStr">
        <is>
          <t>3Q26</t>
        </is>
      </c>
      <c r="W1" s="1" t="inlineStr">
        <is>
          <t>4Q26</t>
        </is>
      </c>
      <c r="X1" s="1" t="inlineStr">
        <is>
          <t>1Q27</t>
        </is>
      </c>
      <c r="Y1" s="1" t="inlineStr">
        <is>
          <t>2Q27</t>
        </is>
      </c>
      <c r="Z1" s="1" t="inlineStr">
        <is>
          <t>3Q27</t>
        </is>
      </c>
      <c r="AA1" s="1" t="inlineStr">
        <is>
          <t>4Q27</t>
        </is>
      </c>
      <c r="AB1" s="19" t="n"/>
      <c r="AC1" s="1" t="inlineStr">
        <is>
          <t>FY19</t>
        </is>
      </c>
      <c r="AD1" s="1" t="inlineStr">
        <is>
          <t>FY20</t>
        </is>
      </c>
      <c r="AE1" s="1" t="inlineStr">
        <is>
          <t>FY21</t>
        </is>
      </c>
      <c r="AF1" s="1" t="inlineStr">
        <is>
          <t>FY22</t>
        </is>
      </c>
      <c r="AG1" s="1" t="inlineStr">
        <is>
          <t>FY23</t>
        </is>
      </c>
      <c r="AH1" s="1" t="inlineStr">
        <is>
          <t>FY24</t>
        </is>
      </c>
      <c r="AI1" s="1" t="inlineStr">
        <is>
          <t>FY25</t>
        </is>
      </c>
      <c r="AJ1" s="1" t="inlineStr">
        <is>
          <t>FY26</t>
        </is>
      </c>
      <c r="AK1" s="1" t="inlineStr">
        <is>
          <t>FY27E</t>
        </is>
      </c>
      <c r="AL1" s="1" t="inlineStr">
        <is>
          <t>FY28E</t>
        </is>
      </c>
      <c r="AM1" s="1" t="inlineStr">
        <is>
          <t>FY29E</t>
        </is>
      </c>
      <c r="AN1" s="1" t="inlineStr">
        <is>
          <t>FY30E</t>
        </is>
      </c>
    </row>
    <row r="2">
      <c r="A2" s="9" t="inlineStr">
        <is>
          <t>Fiscal Year End</t>
        </is>
      </c>
      <c r="D2" s="47">
        <f>DATE(2021,6,30)</f>
        <v/>
      </c>
      <c r="E2" s="47">
        <f>EOMONTH(D2,-3)</f>
        <v/>
      </c>
      <c r="F2" s="47">
        <f>EOMONTH(E2,-3)</f>
        <v/>
      </c>
      <c r="G2" s="47">
        <f>EOMONTH(F2,-3)</f>
        <v/>
      </c>
      <c r="H2" s="47">
        <f>EOMONTH(G2,-3)</f>
        <v/>
      </c>
      <c r="I2" s="47">
        <f>EOMONTH(H2,-3)</f>
        <v/>
      </c>
      <c r="J2" s="47">
        <f>EOMONTH(I2,-3)</f>
        <v/>
      </c>
      <c r="K2" s="47">
        <f>EOMONTH(J2,-3)</f>
        <v/>
      </c>
      <c r="L2" s="47">
        <f>EOMONTH(K2,-3)</f>
        <v/>
      </c>
      <c r="M2" s="47">
        <f>EOMONTH(L2,-3)</f>
        <v/>
      </c>
      <c r="N2" s="47">
        <f>EOMONTH(M2,-3)</f>
        <v/>
      </c>
      <c r="O2" s="47">
        <f>EOMONTH(N2,-3)</f>
        <v/>
      </c>
      <c r="P2" s="47">
        <f>EOMONTH(O2,-3)</f>
        <v/>
      </c>
      <c r="Q2" s="47">
        <f>EOMONTH(P2,-3)</f>
        <v/>
      </c>
      <c r="R2" s="47">
        <f>EOMONTH(Q2,-3)</f>
        <v/>
      </c>
      <c r="S2" s="47">
        <f>EOMONTH(R2,-3)</f>
        <v/>
      </c>
      <c r="T2" s="47">
        <f>EOMONTH(S2,-3)</f>
        <v/>
      </c>
      <c r="U2" s="47">
        <f>EOMONTH(T2,-3)</f>
        <v/>
      </c>
      <c r="V2" s="47">
        <f>EOMONTH(U2,-3)</f>
        <v/>
      </c>
      <c r="W2" s="47">
        <f>EOMONTH(V2,-3)</f>
        <v/>
      </c>
      <c r="X2" s="47">
        <f>EOMONTH(W2,-3)</f>
        <v/>
      </c>
      <c r="Y2" s="47">
        <f>EOMONTH(X2,-3)</f>
        <v/>
      </c>
      <c r="Z2" s="47">
        <f>EOMONTH(Y2,-3)</f>
        <v/>
      </c>
      <c r="AA2" s="47">
        <f>EOMONTH(Z2,-3)</f>
        <v/>
      </c>
      <c r="AB2" s="19" t="n"/>
      <c r="AC2" s="47">
        <f>DATE(2019,3,31)</f>
        <v/>
      </c>
      <c r="AD2" s="47">
        <f>DATE(2020,3,31)</f>
        <v/>
      </c>
      <c r="AE2" s="47">
        <f>DATE(2021,3,31)</f>
        <v/>
      </c>
      <c r="AF2" s="47">
        <f>DATE(2022,3,31)</f>
        <v/>
      </c>
      <c r="AG2" s="47">
        <f>DATE(2023,3,31)</f>
        <v/>
      </c>
      <c r="AH2" s="47">
        <f>DATE(2024,3,31)</f>
        <v/>
      </c>
      <c r="AI2" s="47">
        <f>DATE(2025,3,31)</f>
        <v/>
      </c>
      <c r="AJ2" s="47">
        <f>DATE(2026,3,31)</f>
        <v/>
      </c>
      <c r="AK2" s="47">
        <f>DATE(2027,3,31)</f>
        <v/>
      </c>
      <c r="AL2" s="47">
        <f>DATE(2028,3,31)</f>
        <v/>
      </c>
      <c r="AM2" s="47">
        <f>DATE(2029,3,31)</f>
        <v/>
      </c>
      <c r="AN2" s="47">
        <f>DATE(2030,3,31)</f>
        <v/>
      </c>
    </row>
    <row r="3">
      <c r="A3" s="17" t="inlineStr">
        <is>
          <t>All figures in INR Mn unless stated otherwise. This sheet is a reported-format presentation, linked to the Projections sheet (KPI/PnL/BS builds) and to Raw Data - financials (for historical line-item granularity Projections doesn't carry). Where the Projections sheet only models a combined or summarized figure, the projected columns (FY27E-30E) show that combined value on ONE representative line within the group and leave the other reported sub-lines blank -- add your own split assumptions there if/when you want more granularity. Historical quarters/years are actuals, linked either from Projections (for figures already tied there) or directly from Raw Data - financials. Balance Sheet follows Nykaa's own disclosure cadence (Q2/Q4 only); Cash Flow is disclosed annually only, so both sections are annual-only in the projected columns and Q2/Q4-only historically.</t>
        </is>
      </c>
      <c r="AB3" s="19" t="n"/>
    </row>
    <row r="4">
      <c r="A4" s="5" t="inlineStr">
        <is>
          <t>PROFIT &amp; LOSS (CONSOLIDATED, REPORTED FORMAT)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44" t="n"/>
      <c r="AC4" s="5" t="n"/>
      <c r="AD4" s="5" t="n"/>
      <c r="AE4" s="5" t="n"/>
      <c r="AF4" s="5" t="n"/>
      <c r="AG4" s="5" t="n"/>
      <c r="AH4" s="5" t="n"/>
      <c r="AI4" s="5" t="n"/>
      <c r="AJ4" s="5" t="n"/>
      <c r="AK4" s="5" t="n"/>
      <c r="AL4" s="5" t="n"/>
      <c r="AM4" s="5" t="n"/>
      <c r="AN4" s="5" t="n"/>
    </row>
    <row r="5">
      <c r="A5" s="17" t="inlineStr">
        <is>
          <t>Revenue, Other income, COGS (combined), Employee benefits, Finance costs, D&amp;A, Other expenses (plug), Tax (combined) and PAT/EPS are the SAME figures as the Projections sheet's Consolidated P&amp;L block -- linked, not re-derived. The individual reported sub-lines below each combined line (e.g. 'Purchase of traded goods', 'Current tax pertaining to earlier years') are actuals for historical periods but are not separately modeled for FY27E-30E, so they show 0 there -- the full projected value sits on the first sub-line of each group (Cost of material consumed; Current tax).</t>
        </is>
      </c>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45" t="n"/>
      <c r="AC5" s="17" t="n"/>
      <c r="AD5" s="17" t="n"/>
      <c r="AE5" s="17" t="n"/>
      <c r="AF5" s="17" t="n"/>
      <c r="AG5" s="17" t="n"/>
      <c r="AH5" s="17" t="n"/>
      <c r="AI5" s="17" t="n"/>
      <c r="AJ5" s="17" t="n"/>
      <c r="AK5" s="17" t="n"/>
      <c r="AL5" s="17" t="n"/>
      <c r="AM5" s="17" t="n"/>
      <c r="AN5" s="17" t="n"/>
    </row>
    <row r="6" outlineLevel="1">
      <c r="A6" s="20" t="inlineStr">
        <is>
          <t>Revenue from operations</t>
        </is>
      </c>
      <c r="B6" s="17" t="inlineStr">
        <is>
          <t>Rs Mn</t>
        </is>
      </c>
      <c r="D6" s="71">
        <f>IF('Raw Data - financials'!D5="","",'Raw Data - financials'!D5)</f>
        <v/>
      </c>
      <c r="E6" s="71">
        <f>IF('Raw Data - financials'!E5="","",'Raw Data - financials'!E5)</f>
        <v/>
      </c>
      <c r="F6" s="71">
        <f>IF('Raw Data - financials'!F5="","",'Raw Data - financials'!F5)</f>
        <v/>
      </c>
      <c r="G6" s="71">
        <f>IF('Raw Data - financials'!G5="","",'Raw Data - financials'!G5)</f>
        <v/>
      </c>
      <c r="H6" s="71">
        <f>IF('Raw Data - financials'!H5="","",'Raw Data - financials'!H5)</f>
        <v/>
      </c>
      <c r="I6" s="71">
        <f>IF('Raw Data - financials'!I5="","",'Raw Data - financials'!I5)</f>
        <v/>
      </c>
      <c r="J6" s="71">
        <f>IF('Raw Data - financials'!J5="","",'Raw Data - financials'!J5)</f>
        <v/>
      </c>
      <c r="K6" s="71">
        <f>IF('Raw Data - financials'!K5="","",'Raw Data - financials'!K5)</f>
        <v/>
      </c>
      <c r="L6" s="71">
        <f>IF('Raw Data - financials'!L5="","",'Raw Data - financials'!L5)</f>
        <v/>
      </c>
      <c r="M6" s="71">
        <f>IF('Raw Data - financials'!M5="","",'Raw Data - financials'!M5)</f>
        <v/>
      </c>
      <c r="N6" s="71">
        <f>IF('Raw Data - financials'!N5="","",'Raw Data - financials'!N5)</f>
        <v/>
      </c>
      <c r="O6" s="71">
        <f>IF('Raw Data - financials'!O5="","",'Raw Data - financials'!O5)</f>
        <v/>
      </c>
      <c r="P6" s="71">
        <f>IF('Raw Data - financials'!P5="","",'Raw Data - financials'!P5)</f>
        <v/>
      </c>
      <c r="Q6" s="71">
        <f>IF('Raw Data - financials'!Q5="","",'Raw Data - financials'!Q5)</f>
        <v/>
      </c>
      <c r="R6" s="71">
        <f>IF('Raw Data - financials'!R5="","",'Raw Data - financials'!R5)</f>
        <v/>
      </c>
      <c r="S6" s="71">
        <f>IF('Raw Data - financials'!S5="","",'Raw Data - financials'!S5)</f>
        <v/>
      </c>
      <c r="T6" s="71">
        <f>IF('Raw Data - financials'!T5="","",'Raw Data - financials'!T5)</f>
        <v/>
      </c>
      <c r="U6" s="71">
        <f>IF('Raw Data - financials'!U5="","",'Raw Data - financials'!U5)</f>
        <v/>
      </c>
      <c r="V6" s="71">
        <f>IF('Raw Data - financials'!V5="","",'Raw Data - financials'!V5)</f>
        <v/>
      </c>
      <c r="W6" s="71">
        <f>IF('Raw Data - financials'!W5="","",'Raw Data - financials'!W5)</f>
        <v/>
      </c>
      <c r="AB6" s="19" t="n"/>
      <c r="AC6" s="72">
        <f>IF('Raw Data - financials'!AC5="","",'Raw Data - financials'!AC5)</f>
        <v/>
      </c>
      <c r="AD6" s="72">
        <f>IF('Raw Data - financials'!AD5="","",'Raw Data - financials'!AD5)</f>
        <v/>
      </c>
      <c r="AE6" s="72">
        <f>IF('Raw Data - financials'!AE5="","",'Raw Data - financials'!AE5)</f>
        <v/>
      </c>
      <c r="AF6" s="72">
        <f>IF('Raw Data - financials'!AF5="","",'Raw Data - financials'!AF5)</f>
        <v/>
      </c>
      <c r="AG6" s="72">
        <f>IF('Raw Data - financials'!AG5="","",'Raw Data - financials'!AG5)</f>
        <v/>
      </c>
      <c r="AH6" s="72">
        <f>IF('Raw Data - financials'!AH5="","",'Raw Data - financials'!AH5)</f>
        <v/>
      </c>
      <c r="AI6" s="72">
        <f>IF('Raw Data - financials'!AI5="","",'Raw Data - financials'!AI5)</f>
        <v/>
      </c>
      <c r="AJ6" s="72">
        <f>IF('Raw Data - financials'!AJ5="","",'Raw Data - financials'!AJ5)</f>
        <v/>
      </c>
      <c r="AK6" s="72">
        <f>IF('Projections'!AK118="","",'Projections'!AK118)</f>
        <v/>
      </c>
      <c r="AL6" s="72">
        <f>IF('Projections'!AL118="","",'Projections'!AL118)</f>
        <v/>
      </c>
      <c r="AM6" s="72">
        <f>IF('Projections'!AM118="","",'Projections'!AM118)</f>
        <v/>
      </c>
      <c r="AN6" s="72">
        <f>IF('Projections'!AN118="","",'Projections'!AN118)</f>
        <v/>
      </c>
    </row>
    <row r="7" outlineLevel="1">
      <c r="A7" s="20" t="inlineStr">
        <is>
          <t>Other income</t>
        </is>
      </c>
      <c r="B7" s="17" t="inlineStr">
        <is>
          <t>Rs Mn</t>
        </is>
      </c>
      <c r="D7" s="71">
        <f>IF('Projections'!D119="","",'Projections'!D119)</f>
        <v/>
      </c>
      <c r="E7" s="71">
        <f>IF('Projections'!E119="","",'Projections'!E119)</f>
        <v/>
      </c>
      <c r="F7" s="71">
        <f>IF('Projections'!F119="","",'Projections'!F119)</f>
        <v/>
      </c>
      <c r="G7" s="71">
        <f>IF('Projections'!G119="","",'Projections'!G119)</f>
        <v/>
      </c>
      <c r="H7" s="71">
        <f>IF('Projections'!H119="","",'Projections'!H119)</f>
        <v/>
      </c>
      <c r="I7" s="71">
        <f>IF('Projections'!I119="","",'Projections'!I119)</f>
        <v/>
      </c>
      <c r="J7" s="71">
        <f>IF('Projections'!J119="","",'Projections'!J119)</f>
        <v/>
      </c>
      <c r="K7" s="71">
        <f>IF('Projections'!K119="","",'Projections'!K119)</f>
        <v/>
      </c>
      <c r="L7" s="71">
        <f>IF('Projections'!L119="","",'Projections'!L119)</f>
        <v/>
      </c>
      <c r="M7" s="71">
        <f>IF('Projections'!M119="","",'Projections'!M119)</f>
        <v/>
      </c>
      <c r="N7" s="71">
        <f>IF('Projections'!N119="","",'Projections'!N119)</f>
        <v/>
      </c>
      <c r="O7" s="71">
        <f>IF('Projections'!O119="","",'Projections'!O119)</f>
        <v/>
      </c>
      <c r="P7" s="71">
        <f>IF('Projections'!P119="","",'Projections'!P119)</f>
        <v/>
      </c>
      <c r="Q7" s="71">
        <f>IF('Projections'!Q119="","",'Projections'!Q119)</f>
        <v/>
      </c>
      <c r="R7" s="71">
        <f>IF('Projections'!R119="","",'Projections'!R119)</f>
        <v/>
      </c>
      <c r="S7" s="71">
        <f>IF('Projections'!S119="","",'Projections'!S119)</f>
        <v/>
      </c>
      <c r="T7" s="71">
        <f>IF('Projections'!T119="","",'Projections'!T119)</f>
        <v/>
      </c>
      <c r="U7" s="71">
        <f>IF('Projections'!U119="","",'Projections'!U119)</f>
        <v/>
      </c>
      <c r="V7" s="71">
        <f>IF('Projections'!V119="","",'Projections'!V119)</f>
        <v/>
      </c>
      <c r="W7" s="71">
        <f>IF('Projections'!W119="","",'Projections'!W119)</f>
        <v/>
      </c>
      <c r="AB7" s="19" t="n"/>
      <c r="AC7" s="72">
        <f>IF('Projections'!AC119="","",'Projections'!AC119)</f>
        <v/>
      </c>
      <c r="AD7" s="72">
        <f>IF('Projections'!AD119="","",'Projections'!AD119)</f>
        <v/>
      </c>
      <c r="AE7" s="72">
        <f>IF('Projections'!AE119="","",'Projections'!AE119)</f>
        <v/>
      </c>
      <c r="AF7" s="72">
        <f>IF('Projections'!AF119="","",'Projections'!AF119)</f>
        <v/>
      </c>
      <c r="AG7" s="72">
        <f>IF('Projections'!AG119="","",'Projections'!AG119)</f>
        <v/>
      </c>
      <c r="AH7" s="72">
        <f>IF('Projections'!AH119="","",'Projections'!AH119)</f>
        <v/>
      </c>
      <c r="AI7" s="72">
        <f>IF('Projections'!AI119="","",'Projections'!AI119)</f>
        <v/>
      </c>
      <c r="AJ7" s="72">
        <f>IF('Projections'!AJ119="","",'Projections'!AJ119)</f>
        <v/>
      </c>
      <c r="AK7" s="72">
        <f>IF('Projections'!AK119="","",'Projections'!AK119)</f>
        <v/>
      </c>
      <c r="AL7" s="72">
        <f>IF('Projections'!AL119="","",'Projections'!AL119)</f>
        <v/>
      </c>
      <c r="AM7" s="72">
        <f>IF('Projections'!AM119="","",'Projections'!AM119)</f>
        <v/>
      </c>
      <c r="AN7" s="72">
        <f>IF('Projections'!AN119="","",'Projections'!AN119)</f>
        <v/>
      </c>
    </row>
    <row r="8">
      <c r="A8" s="74" t="inlineStr">
        <is>
          <t>Total Income</t>
        </is>
      </c>
      <c r="B8" s="17" t="inlineStr">
        <is>
          <t>Rs Mn</t>
        </is>
      </c>
      <c r="D8" s="71">
        <f>IFERROR(D6+D7,"")</f>
        <v/>
      </c>
      <c r="E8" s="71">
        <f>IFERROR(E6+E7,"")</f>
        <v/>
      </c>
      <c r="F8" s="71">
        <f>IFERROR(F6+F7,"")</f>
        <v/>
      </c>
      <c r="G8" s="71">
        <f>IFERROR(G6+G7,"")</f>
        <v/>
      </c>
      <c r="H8" s="71">
        <f>IFERROR(H6+H7,"")</f>
        <v/>
      </c>
      <c r="I8" s="71">
        <f>IFERROR(I6+I7,"")</f>
        <v/>
      </c>
      <c r="J8" s="71">
        <f>IFERROR(J6+J7,"")</f>
        <v/>
      </c>
      <c r="K8" s="71">
        <f>IFERROR(K6+K7,"")</f>
        <v/>
      </c>
      <c r="L8" s="71">
        <f>IFERROR(L6+L7,"")</f>
        <v/>
      </c>
      <c r="M8" s="71">
        <f>IFERROR(M6+M7,"")</f>
        <v/>
      </c>
      <c r="N8" s="71">
        <f>IFERROR(N6+N7,"")</f>
        <v/>
      </c>
      <c r="O8" s="71">
        <f>IFERROR(O6+O7,"")</f>
        <v/>
      </c>
      <c r="P8" s="71">
        <f>IFERROR(P6+P7,"")</f>
        <v/>
      </c>
      <c r="Q8" s="71">
        <f>IFERROR(Q6+Q7,"")</f>
        <v/>
      </c>
      <c r="R8" s="71">
        <f>IFERROR(R6+R7,"")</f>
        <v/>
      </c>
      <c r="S8" s="71">
        <f>IFERROR(S6+S7,"")</f>
        <v/>
      </c>
      <c r="T8" s="71">
        <f>IFERROR(T6+T7,"")</f>
        <v/>
      </c>
      <c r="U8" s="71">
        <f>IFERROR(U6+U7,"")</f>
        <v/>
      </c>
      <c r="V8" s="71">
        <f>IFERROR(V6+V7,"")</f>
        <v/>
      </c>
      <c r="W8" s="71">
        <f>IFERROR(W6+W7,"")</f>
        <v/>
      </c>
      <c r="AB8" s="19" t="n"/>
      <c r="AC8" s="72">
        <f>IFERROR(AC6+AC7,"")</f>
        <v/>
      </c>
      <c r="AD8" s="72">
        <f>IFERROR(AD6+AD7,"")</f>
        <v/>
      </c>
      <c r="AE8" s="72">
        <f>IFERROR(AE6+AE7,"")</f>
        <v/>
      </c>
      <c r="AF8" s="72">
        <f>IFERROR(AF6+AF7,"")</f>
        <v/>
      </c>
      <c r="AG8" s="72">
        <f>IFERROR(AG6+AG7,"")</f>
        <v/>
      </c>
      <c r="AH8" s="72">
        <f>IFERROR(AH6+AH7,"")</f>
        <v/>
      </c>
      <c r="AI8" s="72">
        <f>IFERROR(AI6+AI7,"")</f>
        <v/>
      </c>
      <c r="AJ8" s="72">
        <f>IFERROR(AJ6+AJ7,"")</f>
        <v/>
      </c>
      <c r="AK8" s="72">
        <f>IFERROR(AK6+AK7,"")</f>
        <v/>
      </c>
      <c r="AL8" s="72">
        <f>IFERROR(AL6+AL7,"")</f>
        <v/>
      </c>
      <c r="AM8" s="72">
        <f>IFERROR(AM6+AM7,"")</f>
        <v/>
      </c>
      <c r="AN8" s="72">
        <f>IFERROR(AN6+AN7,"")</f>
        <v/>
      </c>
    </row>
    <row r="9">
      <c r="AB9" s="19" t="n"/>
    </row>
    <row r="10">
      <c r="A10" s="9" t="inlineStr">
        <is>
          <t>Expenses</t>
        </is>
      </c>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46" t="n"/>
      <c r="AC10" s="9" t="n"/>
      <c r="AD10" s="9" t="n"/>
      <c r="AE10" s="9" t="n"/>
      <c r="AF10" s="9" t="n"/>
      <c r="AG10" s="9" t="n"/>
      <c r="AH10" s="9" t="n"/>
      <c r="AI10" s="9" t="n"/>
      <c r="AJ10" s="9" t="n"/>
      <c r="AK10" s="9" t="n"/>
      <c r="AL10" s="9" t="n"/>
      <c r="AM10" s="9" t="n"/>
      <c r="AN10" s="9" t="n"/>
    </row>
    <row r="11" outlineLevel="1">
      <c r="A11" s="20" t="inlineStr">
        <is>
          <t>Cost of material consumed</t>
        </is>
      </c>
      <c r="B11" s="17" t="inlineStr">
        <is>
          <t>Rs Mn</t>
        </is>
      </c>
      <c r="D11" s="71">
        <f>IF('Raw Data - financials'!D10="","",'Raw Data - financials'!D10)</f>
        <v/>
      </c>
      <c r="E11" s="71">
        <f>IF('Raw Data - financials'!E10="","",'Raw Data - financials'!E10)</f>
        <v/>
      </c>
      <c r="F11" s="71">
        <f>IF('Raw Data - financials'!F10="","",'Raw Data - financials'!F10)</f>
        <v/>
      </c>
      <c r="G11" s="71">
        <f>IF('Raw Data - financials'!G10="","",'Raw Data - financials'!G10)</f>
        <v/>
      </c>
      <c r="H11" s="71">
        <f>IF('Raw Data - financials'!H10="","",'Raw Data - financials'!H10)</f>
        <v/>
      </c>
      <c r="I11" s="71">
        <f>IF('Raw Data - financials'!I10="","",'Raw Data - financials'!I10)</f>
        <v/>
      </c>
      <c r="J11" s="71">
        <f>IF('Raw Data - financials'!J10="","",'Raw Data - financials'!J10)</f>
        <v/>
      </c>
      <c r="K11" s="71">
        <f>IF('Raw Data - financials'!K10="","",'Raw Data - financials'!K10)</f>
        <v/>
      </c>
      <c r="L11" s="71">
        <f>IF('Raw Data - financials'!L10="","",'Raw Data - financials'!L10)</f>
        <v/>
      </c>
      <c r="M11" s="71">
        <f>IF('Raw Data - financials'!M10="","",'Raw Data - financials'!M10)</f>
        <v/>
      </c>
      <c r="N11" s="71">
        <f>IF('Raw Data - financials'!N10="","",'Raw Data - financials'!N10)</f>
        <v/>
      </c>
      <c r="O11" s="71">
        <f>IF('Raw Data - financials'!O10="","",'Raw Data - financials'!O10)</f>
        <v/>
      </c>
      <c r="P11" s="71">
        <f>IF('Raw Data - financials'!P10="","",'Raw Data - financials'!P10)</f>
        <v/>
      </c>
      <c r="Q11" s="71">
        <f>IF('Raw Data - financials'!Q10="","",'Raw Data - financials'!Q10)</f>
        <v/>
      </c>
      <c r="R11" s="71">
        <f>IF('Raw Data - financials'!R10="","",'Raw Data - financials'!R10)</f>
        <v/>
      </c>
      <c r="S11" s="71">
        <f>IF('Raw Data - financials'!S10="","",'Raw Data - financials'!S10)</f>
        <v/>
      </c>
      <c r="T11" s="71">
        <f>IF('Raw Data - financials'!T10="","",'Raw Data - financials'!T10)</f>
        <v/>
      </c>
      <c r="U11" s="71">
        <f>IF('Raw Data - financials'!U10="","",'Raw Data - financials'!U10)</f>
        <v/>
      </c>
      <c r="V11" s="71">
        <f>IF('Raw Data - financials'!V10="","",'Raw Data - financials'!V10)</f>
        <v/>
      </c>
      <c r="W11" s="71">
        <f>IF('Raw Data - financials'!W10="","",'Raw Data - financials'!W10)</f>
        <v/>
      </c>
      <c r="AB11" s="19" t="n"/>
      <c r="AC11" s="72">
        <f>IF('Raw Data - financials'!AC10="","",'Raw Data - financials'!AC10)</f>
        <v/>
      </c>
      <c r="AD11" s="72">
        <f>IF('Raw Data - financials'!AD10="","",'Raw Data - financials'!AD10)</f>
        <v/>
      </c>
      <c r="AE11" s="72">
        <f>IF('Raw Data - financials'!AE10="","",'Raw Data - financials'!AE10)</f>
        <v/>
      </c>
      <c r="AF11" s="72">
        <f>IF('Raw Data - financials'!AF10="","",'Raw Data - financials'!AF10)</f>
        <v/>
      </c>
      <c r="AG11" s="72">
        <f>IF('Raw Data - financials'!AG10="","",'Raw Data - financials'!AG10)</f>
        <v/>
      </c>
      <c r="AH11" s="72">
        <f>IF('Raw Data - financials'!AH10="","",'Raw Data - financials'!AH10)</f>
        <v/>
      </c>
      <c r="AI11" s="72">
        <f>IF('Raw Data - financials'!AI10="","",'Raw Data - financials'!AI10)</f>
        <v/>
      </c>
      <c r="AJ11" s="72">
        <f>IF('Raw Data - financials'!AJ10="","",'Raw Data - financials'!AJ10)</f>
        <v/>
      </c>
      <c r="AK11" s="72">
        <f>IF('Projections'!AK123="","",'Projections'!AK123)</f>
        <v/>
      </c>
      <c r="AL11" s="72">
        <f>IF('Projections'!AL123="","",'Projections'!AL123)</f>
        <v/>
      </c>
      <c r="AM11" s="72">
        <f>IF('Projections'!AM123="","",'Projections'!AM123)</f>
        <v/>
      </c>
      <c r="AN11" s="72">
        <f>IF('Projections'!AN123="","",'Projections'!AN123)</f>
        <v/>
      </c>
    </row>
    <row r="12" outlineLevel="1">
      <c r="A12" s="20" t="inlineStr">
        <is>
          <t>Purchase of traded goods</t>
        </is>
      </c>
      <c r="B12" s="17" t="inlineStr">
        <is>
          <t>Rs Mn</t>
        </is>
      </c>
      <c r="D12" s="71">
        <f>IF('Raw Data - financials'!D11="","",'Raw Data - financials'!D11)</f>
        <v/>
      </c>
      <c r="E12" s="71">
        <f>IF('Raw Data - financials'!E11="","",'Raw Data - financials'!E11)</f>
        <v/>
      </c>
      <c r="F12" s="71">
        <f>IF('Raw Data - financials'!F11="","",'Raw Data - financials'!F11)</f>
        <v/>
      </c>
      <c r="G12" s="71">
        <f>IF('Raw Data - financials'!G11="","",'Raw Data - financials'!G11)</f>
        <v/>
      </c>
      <c r="H12" s="71">
        <f>IF('Raw Data - financials'!H11="","",'Raw Data - financials'!H11)</f>
        <v/>
      </c>
      <c r="I12" s="71">
        <f>IF('Raw Data - financials'!I11="","",'Raw Data - financials'!I11)</f>
        <v/>
      </c>
      <c r="J12" s="71">
        <f>IF('Raw Data - financials'!J11="","",'Raw Data - financials'!J11)</f>
        <v/>
      </c>
      <c r="K12" s="71">
        <f>IF('Raw Data - financials'!K11="","",'Raw Data - financials'!K11)</f>
        <v/>
      </c>
      <c r="L12" s="71">
        <f>IF('Raw Data - financials'!L11="","",'Raw Data - financials'!L11)</f>
        <v/>
      </c>
      <c r="M12" s="71">
        <f>IF('Raw Data - financials'!M11="","",'Raw Data - financials'!M11)</f>
        <v/>
      </c>
      <c r="N12" s="71">
        <f>IF('Raw Data - financials'!N11="","",'Raw Data - financials'!N11)</f>
        <v/>
      </c>
      <c r="O12" s="71">
        <f>IF('Raw Data - financials'!O11="","",'Raw Data - financials'!O11)</f>
        <v/>
      </c>
      <c r="P12" s="71">
        <f>IF('Raw Data - financials'!P11="","",'Raw Data - financials'!P11)</f>
        <v/>
      </c>
      <c r="Q12" s="71">
        <f>IF('Raw Data - financials'!Q11="","",'Raw Data - financials'!Q11)</f>
        <v/>
      </c>
      <c r="R12" s="71">
        <f>IF('Raw Data - financials'!R11="","",'Raw Data - financials'!R11)</f>
        <v/>
      </c>
      <c r="S12" s="71">
        <f>IF('Raw Data - financials'!S11="","",'Raw Data - financials'!S11)</f>
        <v/>
      </c>
      <c r="T12" s="71">
        <f>IF('Raw Data - financials'!T11="","",'Raw Data - financials'!T11)</f>
        <v/>
      </c>
      <c r="U12" s="71">
        <f>IF('Raw Data - financials'!U11="","",'Raw Data - financials'!U11)</f>
        <v/>
      </c>
      <c r="V12" s="71">
        <f>IF('Raw Data - financials'!V11="","",'Raw Data - financials'!V11)</f>
        <v/>
      </c>
      <c r="W12" s="71">
        <f>IF('Raw Data - financials'!W11="","",'Raw Data - financials'!W11)</f>
        <v/>
      </c>
      <c r="AB12" s="19" t="n"/>
      <c r="AC12" s="72">
        <f>IF('Raw Data - financials'!AC11="","",'Raw Data - financials'!AC11)</f>
        <v/>
      </c>
      <c r="AD12" s="72">
        <f>IF('Raw Data - financials'!AD11="","",'Raw Data - financials'!AD11)</f>
        <v/>
      </c>
      <c r="AE12" s="72">
        <f>IF('Raw Data - financials'!AE11="","",'Raw Data - financials'!AE11)</f>
        <v/>
      </c>
      <c r="AF12" s="72">
        <f>IF('Raw Data - financials'!AF11="","",'Raw Data - financials'!AF11)</f>
        <v/>
      </c>
      <c r="AG12" s="72">
        <f>IF('Raw Data - financials'!AG11="","",'Raw Data - financials'!AG11)</f>
        <v/>
      </c>
      <c r="AH12" s="72">
        <f>IF('Raw Data - financials'!AH11="","",'Raw Data - financials'!AH11)</f>
        <v/>
      </c>
      <c r="AI12" s="72">
        <f>IF('Raw Data - financials'!AI11="","",'Raw Data - financials'!AI11)</f>
        <v/>
      </c>
      <c r="AJ12" s="72">
        <f>IF('Raw Data - financials'!AJ11="","",'Raw Data - financials'!AJ11)</f>
        <v/>
      </c>
      <c r="AK12" s="72" t="n">
        <v>0</v>
      </c>
      <c r="AL12" s="72" t="n">
        <v>0</v>
      </c>
      <c r="AM12" s="72" t="n">
        <v>0</v>
      </c>
      <c r="AN12" s="72" t="n">
        <v>0</v>
      </c>
    </row>
    <row r="13" outlineLevel="1">
      <c r="A13" s="20" t="inlineStr">
        <is>
          <t>Changes in inventories of finished goods and stock-in-trade</t>
        </is>
      </c>
      <c r="B13" s="17" t="inlineStr">
        <is>
          <t>Rs Mn</t>
        </is>
      </c>
      <c r="D13" s="71">
        <f>IF('Raw Data - financials'!D12="","",'Raw Data - financials'!D12)</f>
        <v/>
      </c>
      <c r="E13" s="71">
        <f>IF('Raw Data - financials'!E12="","",'Raw Data - financials'!E12)</f>
        <v/>
      </c>
      <c r="F13" s="71">
        <f>IF('Raw Data - financials'!F12="","",'Raw Data - financials'!F12)</f>
        <v/>
      </c>
      <c r="G13" s="71">
        <f>IF('Raw Data - financials'!G12="","",'Raw Data - financials'!G12)</f>
        <v/>
      </c>
      <c r="H13" s="71">
        <f>IF('Raw Data - financials'!H12="","",'Raw Data - financials'!H12)</f>
        <v/>
      </c>
      <c r="I13" s="71">
        <f>IF('Raw Data - financials'!I12="","",'Raw Data - financials'!I12)</f>
        <v/>
      </c>
      <c r="J13" s="71">
        <f>IF('Raw Data - financials'!J12="","",'Raw Data - financials'!J12)</f>
        <v/>
      </c>
      <c r="K13" s="71">
        <f>IF('Raw Data - financials'!K12="","",'Raw Data - financials'!K12)</f>
        <v/>
      </c>
      <c r="L13" s="71">
        <f>IF('Raw Data - financials'!L12="","",'Raw Data - financials'!L12)</f>
        <v/>
      </c>
      <c r="M13" s="71">
        <f>IF('Raw Data - financials'!M12="","",'Raw Data - financials'!M12)</f>
        <v/>
      </c>
      <c r="N13" s="71">
        <f>IF('Raw Data - financials'!N12="","",'Raw Data - financials'!N12)</f>
        <v/>
      </c>
      <c r="O13" s="71">
        <f>IF('Raw Data - financials'!O12="","",'Raw Data - financials'!O12)</f>
        <v/>
      </c>
      <c r="P13" s="71">
        <f>IF('Raw Data - financials'!P12="","",'Raw Data - financials'!P12)</f>
        <v/>
      </c>
      <c r="Q13" s="71">
        <f>IF('Raw Data - financials'!Q12="","",'Raw Data - financials'!Q12)</f>
        <v/>
      </c>
      <c r="R13" s="71">
        <f>IF('Raw Data - financials'!R12="","",'Raw Data - financials'!R12)</f>
        <v/>
      </c>
      <c r="S13" s="71">
        <f>IF('Raw Data - financials'!S12="","",'Raw Data - financials'!S12)</f>
        <v/>
      </c>
      <c r="T13" s="71">
        <f>IF('Raw Data - financials'!T12="","",'Raw Data - financials'!T12)</f>
        <v/>
      </c>
      <c r="U13" s="71">
        <f>IF('Raw Data - financials'!U12="","",'Raw Data - financials'!U12)</f>
        <v/>
      </c>
      <c r="V13" s="71">
        <f>IF('Raw Data - financials'!V12="","",'Raw Data - financials'!V12)</f>
        <v/>
      </c>
      <c r="W13" s="71">
        <f>IF('Raw Data - financials'!W12="","",'Raw Data - financials'!W12)</f>
        <v/>
      </c>
      <c r="AB13" s="19" t="n"/>
      <c r="AC13" s="72">
        <f>IF('Raw Data - financials'!AC12="","",'Raw Data - financials'!AC12)</f>
        <v/>
      </c>
      <c r="AD13" s="72">
        <f>IF('Raw Data - financials'!AD12="","",'Raw Data - financials'!AD12)</f>
        <v/>
      </c>
      <c r="AE13" s="72">
        <f>IF('Raw Data - financials'!AE12="","",'Raw Data - financials'!AE12)</f>
        <v/>
      </c>
      <c r="AF13" s="72">
        <f>IF('Raw Data - financials'!AF12="","",'Raw Data - financials'!AF12)</f>
        <v/>
      </c>
      <c r="AG13" s="72">
        <f>IF('Raw Data - financials'!AG12="","",'Raw Data - financials'!AG12)</f>
        <v/>
      </c>
      <c r="AH13" s="72">
        <f>IF('Raw Data - financials'!AH12="","",'Raw Data - financials'!AH12)</f>
        <v/>
      </c>
      <c r="AI13" s="72">
        <f>IF('Raw Data - financials'!AI12="","",'Raw Data - financials'!AI12)</f>
        <v/>
      </c>
      <c r="AJ13" s="72">
        <f>IF('Raw Data - financials'!AJ12="","",'Raw Data - financials'!AJ12)</f>
        <v/>
      </c>
      <c r="AK13" s="72" t="n">
        <v>0</v>
      </c>
      <c r="AL13" s="72" t="n">
        <v>0</v>
      </c>
      <c r="AM13" s="72" t="n">
        <v>0</v>
      </c>
      <c r="AN13" s="72" t="n">
        <v>0</v>
      </c>
    </row>
    <row r="14" outlineLevel="1">
      <c r="A14" s="20" t="inlineStr">
        <is>
          <t>Employee benefits expense</t>
        </is>
      </c>
      <c r="B14" s="17" t="inlineStr">
        <is>
          <t>Rs Mn</t>
        </is>
      </c>
      <c r="D14" s="71">
        <f>IF('Projections'!D125="","",'Projections'!D125)</f>
        <v/>
      </c>
      <c r="E14" s="71">
        <f>IF('Projections'!E125="","",'Projections'!E125)</f>
        <v/>
      </c>
      <c r="F14" s="71">
        <f>IF('Projections'!F125="","",'Projections'!F125)</f>
        <v/>
      </c>
      <c r="G14" s="71">
        <f>IF('Projections'!G125="","",'Projections'!G125)</f>
        <v/>
      </c>
      <c r="H14" s="71">
        <f>IF('Projections'!H125="","",'Projections'!H125)</f>
        <v/>
      </c>
      <c r="I14" s="71">
        <f>IF('Projections'!I125="","",'Projections'!I125)</f>
        <v/>
      </c>
      <c r="J14" s="71">
        <f>IF('Projections'!J125="","",'Projections'!J125)</f>
        <v/>
      </c>
      <c r="K14" s="71">
        <f>IF('Projections'!K125="","",'Projections'!K125)</f>
        <v/>
      </c>
      <c r="L14" s="71">
        <f>IF('Projections'!L125="","",'Projections'!L125)</f>
        <v/>
      </c>
      <c r="M14" s="71">
        <f>IF('Projections'!M125="","",'Projections'!M125)</f>
        <v/>
      </c>
      <c r="N14" s="71">
        <f>IF('Projections'!N125="","",'Projections'!N125)</f>
        <v/>
      </c>
      <c r="O14" s="71">
        <f>IF('Projections'!O125="","",'Projections'!O125)</f>
        <v/>
      </c>
      <c r="P14" s="71">
        <f>IF('Projections'!P125="","",'Projections'!P125)</f>
        <v/>
      </c>
      <c r="Q14" s="71">
        <f>IF('Projections'!Q125="","",'Projections'!Q125)</f>
        <v/>
      </c>
      <c r="R14" s="71">
        <f>IF('Projections'!R125="","",'Projections'!R125)</f>
        <v/>
      </c>
      <c r="S14" s="71">
        <f>IF('Projections'!S125="","",'Projections'!S125)</f>
        <v/>
      </c>
      <c r="T14" s="71">
        <f>IF('Projections'!T125="","",'Projections'!T125)</f>
        <v/>
      </c>
      <c r="U14" s="71">
        <f>IF('Projections'!U125="","",'Projections'!U125)</f>
        <v/>
      </c>
      <c r="V14" s="71">
        <f>IF('Projections'!V125="","",'Projections'!V125)</f>
        <v/>
      </c>
      <c r="W14" s="71">
        <f>IF('Projections'!W125="","",'Projections'!W125)</f>
        <v/>
      </c>
      <c r="AB14" s="19" t="n"/>
      <c r="AC14" s="72">
        <f>IF('Projections'!AC125="","",'Projections'!AC125)</f>
        <v/>
      </c>
      <c r="AD14" s="72">
        <f>IF('Projections'!AD125="","",'Projections'!AD125)</f>
        <v/>
      </c>
      <c r="AE14" s="72">
        <f>IF('Projections'!AE125="","",'Projections'!AE125)</f>
        <v/>
      </c>
      <c r="AF14" s="72">
        <f>IF('Projections'!AF125="","",'Projections'!AF125)</f>
        <v/>
      </c>
      <c r="AG14" s="72">
        <f>IF('Projections'!AG125="","",'Projections'!AG125)</f>
        <v/>
      </c>
      <c r="AH14" s="72">
        <f>IF('Projections'!AH125="","",'Projections'!AH125)</f>
        <v/>
      </c>
      <c r="AI14" s="72">
        <f>IF('Projections'!AI125="","",'Projections'!AI125)</f>
        <v/>
      </c>
      <c r="AJ14" s="72">
        <f>IF('Projections'!AJ125="","",'Projections'!AJ125)</f>
        <v/>
      </c>
      <c r="AK14" s="72">
        <f>IF('Projections'!AK125="","",'Projections'!AK125)</f>
        <v/>
      </c>
      <c r="AL14" s="72">
        <f>IF('Projections'!AL125="","",'Projections'!AL125)</f>
        <v/>
      </c>
      <c r="AM14" s="72">
        <f>IF('Projections'!AM125="","",'Projections'!AM125)</f>
        <v/>
      </c>
      <c r="AN14" s="72">
        <f>IF('Projections'!AN125="","",'Projections'!AN125)</f>
        <v/>
      </c>
    </row>
    <row r="15" outlineLevel="1">
      <c r="A15" s="20" t="inlineStr">
        <is>
          <t>Finance costs</t>
        </is>
      </c>
      <c r="B15" s="17" t="inlineStr">
        <is>
          <t>Rs Mn</t>
        </is>
      </c>
      <c r="D15" s="71">
        <f>IF('Projections'!D126="","",'Projections'!D126)</f>
        <v/>
      </c>
      <c r="E15" s="71">
        <f>IF('Projections'!E126="","",'Projections'!E126)</f>
        <v/>
      </c>
      <c r="F15" s="71">
        <f>IF('Projections'!F126="","",'Projections'!F126)</f>
        <v/>
      </c>
      <c r="G15" s="71">
        <f>IF('Projections'!G126="","",'Projections'!G126)</f>
        <v/>
      </c>
      <c r="H15" s="71">
        <f>IF('Projections'!H126="","",'Projections'!H126)</f>
        <v/>
      </c>
      <c r="I15" s="71">
        <f>IF('Projections'!I126="","",'Projections'!I126)</f>
        <v/>
      </c>
      <c r="J15" s="71">
        <f>IF('Projections'!J126="","",'Projections'!J126)</f>
        <v/>
      </c>
      <c r="K15" s="71">
        <f>IF('Projections'!K126="","",'Projections'!K126)</f>
        <v/>
      </c>
      <c r="L15" s="71">
        <f>IF('Projections'!L126="","",'Projections'!L126)</f>
        <v/>
      </c>
      <c r="M15" s="71">
        <f>IF('Projections'!M126="","",'Projections'!M126)</f>
        <v/>
      </c>
      <c r="N15" s="71">
        <f>IF('Projections'!N126="","",'Projections'!N126)</f>
        <v/>
      </c>
      <c r="O15" s="71">
        <f>IF('Projections'!O126="","",'Projections'!O126)</f>
        <v/>
      </c>
      <c r="P15" s="71">
        <f>IF('Projections'!P126="","",'Projections'!P126)</f>
        <v/>
      </c>
      <c r="Q15" s="71">
        <f>IF('Projections'!Q126="","",'Projections'!Q126)</f>
        <v/>
      </c>
      <c r="R15" s="71">
        <f>IF('Projections'!R126="","",'Projections'!R126)</f>
        <v/>
      </c>
      <c r="S15" s="71">
        <f>IF('Projections'!S126="","",'Projections'!S126)</f>
        <v/>
      </c>
      <c r="T15" s="71">
        <f>IF('Projections'!T126="","",'Projections'!T126)</f>
        <v/>
      </c>
      <c r="U15" s="71">
        <f>IF('Projections'!U126="","",'Projections'!U126)</f>
        <v/>
      </c>
      <c r="V15" s="71">
        <f>IF('Projections'!V126="","",'Projections'!V126)</f>
        <v/>
      </c>
      <c r="W15" s="71">
        <f>IF('Projections'!W126="","",'Projections'!W126)</f>
        <v/>
      </c>
      <c r="AB15" s="19" t="n"/>
      <c r="AC15" s="72">
        <f>IF('Projections'!AC126="","",'Projections'!AC126)</f>
        <v/>
      </c>
      <c r="AD15" s="72">
        <f>IF('Projections'!AD126="","",'Projections'!AD126)</f>
        <v/>
      </c>
      <c r="AE15" s="72">
        <f>IF('Projections'!AE126="","",'Projections'!AE126)</f>
        <v/>
      </c>
      <c r="AF15" s="72">
        <f>IF('Projections'!AF126="","",'Projections'!AF126)</f>
        <v/>
      </c>
      <c r="AG15" s="72">
        <f>IF('Projections'!AG126="","",'Projections'!AG126)</f>
        <v/>
      </c>
      <c r="AH15" s="72">
        <f>IF('Projections'!AH126="","",'Projections'!AH126)</f>
        <v/>
      </c>
      <c r="AI15" s="72">
        <f>IF('Projections'!AI126="","",'Projections'!AI126)</f>
        <v/>
      </c>
      <c r="AJ15" s="72">
        <f>IF('Projections'!AJ126="","",'Projections'!AJ126)</f>
        <v/>
      </c>
      <c r="AK15" s="72">
        <f>IF('Projections'!AK126="","",'Projections'!AK126)</f>
        <v/>
      </c>
      <c r="AL15" s="72">
        <f>IF('Projections'!AL126="","",'Projections'!AL126)</f>
        <v/>
      </c>
      <c r="AM15" s="72">
        <f>IF('Projections'!AM126="","",'Projections'!AM126)</f>
        <v/>
      </c>
      <c r="AN15" s="72">
        <f>IF('Projections'!AN126="","",'Projections'!AN126)</f>
        <v/>
      </c>
    </row>
    <row r="16" outlineLevel="1">
      <c r="A16" s="20" t="inlineStr">
        <is>
          <t>Depreciation and amortisation expense</t>
        </is>
      </c>
      <c r="B16" s="17" t="inlineStr">
        <is>
          <t>Rs Mn</t>
        </is>
      </c>
      <c r="D16" s="71">
        <f>IF('Projections'!D127="","",'Projections'!D127)</f>
        <v/>
      </c>
      <c r="E16" s="71">
        <f>IF('Projections'!E127="","",'Projections'!E127)</f>
        <v/>
      </c>
      <c r="F16" s="71">
        <f>IF('Projections'!F127="","",'Projections'!F127)</f>
        <v/>
      </c>
      <c r="G16" s="71">
        <f>IF('Projections'!G127="","",'Projections'!G127)</f>
        <v/>
      </c>
      <c r="H16" s="71">
        <f>IF('Projections'!H127="","",'Projections'!H127)</f>
        <v/>
      </c>
      <c r="I16" s="71">
        <f>IF('Projections'!I127="","",'Projections'!I127)</f>
        <v/>
      </c>
      <c r="J16" s="71">
        <f>IF('Projections'!J127="","",'Projections'!J127)</f>
        <v/>
      </c>
      <c r="K16" s="71">
        <f>IF('Projections'!K127="","",'Projections'!K127)</f>
        <v/>
      </c>
      <c r="L16" s="71">
        <f>IF('Projections'!L127="","",'Projections'!L127)</f>
        <v/>
      </c>
      <c r="M16" s="71">
        <f>IF('Projections'!M127="","",'Projections'!M127)</f>
        <v/>
      </c>
      <c r="N16" s="71">
        <f>IF('Projections'!N127="","",'Projections'!N127)</f>
        <v/>
      </c>
      <c r="O16" s="71">
        <f>IF('Projections'!O127="","",'Projections'!O127)</f>
        <v/>
      </c>
      <c r="P16" s="71">
        <f>IF('Projections'!P127="","",'Projections'!P127)</f>
        <v/>
      </c>
      <c r="Q16" s="71">
        <f>IF('Projections'!Q127="","",'Projections'!Q127)</f>
        <v/>
      </c>
      <c r="R16" s="71">
        <f>IF('Projections'!R127="","",'Projections'!R127)</f>
        <v/>
      </c>
      <c r="S16" s="71">
        <f>IF('Projections'!S127="","",'Projections'!S127)</f>
        <v/>
      </c>
      <c r="T16" s="71">
        <f>IF('Projections'!T127="","",'Projections'!T127)</f>
        <v/>
      </c>
      <c r="U16" s="71">
        <f>IF('Projections'!U127="","",'Projections'!U127)</f>
        <v/>
      </c>
      <c r="V16" s="71">
        <f>IF('Projections'!V127="","",'Projections'!V127)</f>
        <v/>
      </c>
      <c r="W16" s="71">
        <f>IF('Projections'!W127="","",'Projections'!W127)</f>
        <v/>
      </c>
      <c r="AB16" s="19" t="n"/>
      <c r="AC16" s="72">
        <f>IF('Projections'!AC127="","",'Projections'!AC127)</f>
        <v/>
      </c>
      <c r="AD16" s="72">
        <f>IF('Projections'!AD127="","",'Projections'!AD127)</f>
        <v/>
      </c>
      <c r="AE16" s="72">
        <f>IF('Projections'!AE127="","",'Projections'!AE127)</f>
        <v/>
      </c>
      <c r="AF16" s="72">
        <f>IF('Projections'!AF127="","",'Projections'!AF127)</f>
        <v/>
      </c>
      <c r="AG16" s="72">
        <f>IF('Projections'!AG127="","",'Projections'!AG127)</f>
        <v/>
      </c>
      <c r="AH16" s="72">
        <f>IF('Projections'!AH127="","",'Projections'!AH127)</f>
        <v/>
      </c>
      <c r="AI16" s="72">
        <f>IF('Projections'!AI127="","",'Projections'!AI127)</f>
        <v/>
      </c>
      <c r="AJ16" s="72">
        <f>IF('Projections'!AJ127="","",'Projections'!AJ127)</f>
        <v/>
      </c>
      <c r="AK16" s="72">
        <f>IF('Projections'!AK127="","",'Projections'!AK127)</f>
        <v/>
      </c>
      <c r="AL16" s="72">
        <f>IF('Projections'!AL127="","",'Projections'!AL127)</f>
        <v/>
      </c>
      <c r="AM16" s="72">
        <f>IF('Projections'!AM127="","",'Projections'!AM127)</f>
        <v/>
      </c>
      <c r="AN16" s="72">
        <f>IF('Projections'!AN127="","",'Projections'!AN127)</f>
        <v/>
      </c>
    </row>
    <row r="17" outlineLevel="1">
      <c r="A17" s="20" t="inlineStr">
        <is>
          <t>Other expenses</t>
        </is>
      </c>
      <c r="B17" s="17" t="inlineStr">
        <is>
          <t>Rs Mn</t>
        </is>
      </c>
      <c r="D17" s="71">
        <f>IF('Projections'!D128="","",'Projections'!D128)</f>
        <v/>
      </c>
      <c r="E17" s="71">
        <f>IF('Projections'!E128="","",'Projections'!E128)</f>
        <v/>
      </c>
      <c r="F17" s="71">
        <f>IF('Projections'!F128="","",'Projections'!F128)</f>
        <v/>
      </c>
      <c r="G17" s="71">
        <f>IF('Projections'!G128="","",'Projections'!G128)</f>
        <v/>
      </c>
      <c r="H17" s="71">
        <f>IF('Projections'!H128="","",'Projections'!H128)</f>
        <v/>
      </c>
      <c r="I17" s="71">
        <f>IF('Projections'!I128="","",'Projections'!I128)</f>
        <v/>
      </c>
      <c r="J17" s="71">
        <f>IF('Projections'!J128="","",'Projections'!J128)</f>
        <v/>
      </c>
      <c r="K17" s="71">
        <f>IF('Projections'!K128="","",'Projections'!K128)</f>
        <v/>
      </c>
      <c r="L17" s="71">
        <f>IF('Projections'!L128="","",'Projections'!L128)</f>
        <v/>
      </c>
      <c r="M17" s="71">
        <f>IF('Projections'!M128="","",'Projections'!M128)</f>
        <v/>
      </c>
      <c r="N17" s="71">
        <f>IF('Projections'!N128="","",'Projections'!N128)</f>
        <v/>
      </c>
      <c r="O17" s="71">
        <f>IF('Projections'!O128="","",'Projections'!O128)</f>
        <v/>
      </c>
      <c r="P17" s="71">
        <f>IF('Projections'!P128="","",'Projections'!P128)</f>
        <v/>
      </c>
      <c r="Q17" s="71">
        <f>IF('Projections'!Q128="","",'Projections'!Q128)</f>
        <v/>
      </c>
      <c r="R17" s="71">
        <f>IF('Projections'!R128="","",'Projections'!R128)</f>
        <v/>
      </c>
      <c r="S17" s="71">
        <f>IF('Projections'!S128="","",'Projections'!S128)</f>
        <v/>
      </c>
      <c r="T17" s="71">
        <f>IF('Projections'!T128="","",'Projections'!T128)</f>
        <v/>
      </c>
      <c r="U17" s="71">
        <f>IF('Projections'!U128="","",'Projections'!U128)</f>
        <v/>
      </c>
      <c r="V17" s="71">
        <f>IF('Projections'!V128="","",'Projections'!V128)</f>
        <v/>
      </c>
      <c r="W17" s="71">
        <f>IF('Projections'!W128="","",'Projections'!W128)</f>
        <v/>
      </c>
      <c r="AB17" s="19" t="n"/>
      <c r="AC17" s="72">
        <f>IF('Projections'!AC128="","",'Projections'!AC128)</f>
        <v/>
      </c>
      <c r="AD17" s="72">
        <f>IF('Projections'!AD128="","",'Projections'!AD128)</f>
        <v/>
      </c>
      <c r="AE17" s="72">
        <f>IF('Projections'!AE128="","",'Projections'!AE128)</f>
        <v/>
      </c>
      <c r="AF17" s="72">
        <f>IF('Projections'!AF128="","",'Projections'!AF128)</f>
        <v/>
      </c>
      <c r="AG17" s="72">
        <f>IF('Projections'!AG128="","",'Projections'!AG128)</f>
        <v/>
      </c>
      <c r="AH17" s="72">
        <f>IF('Projections'!AH128="","",'Projections'!AH128)</f>
        <v/>
      </c>
      <c r="AI17" s="72">
        <f>IF('Projections'!AI128="","",'Projections'!AI128)</f>
        <v/>
      </c>
      <c r="AJ17" s="72">
        <f>IF('Projections'!AJ128="","",'Projections'!AJ128)</f>
        <v/>
      </c>
      <c r="AK17" s="72">
        <f>IF('Projections'!AK128="","",'Projections'!AK128)</f>
        <v/>
      </c>
      <c r="AL17" s="72">
        <f>IF('Projections'!AL128="","",'Projections'!AL128)</f>
        <v/>
      </c>
      <c r="AM17" s="72">
        <f>IF('Projections'!AM128="","",'Projections'!AM128)</f>
        <v/>
      </c>
      <c r="AN17" s="72">
        <f>IF('Projections'!AN128="","",'Projections'!AN128)</f>
        <v/>
      </c>
    </row>
    <row r="18">
      <c r="A18" s="74" t="inlineStr">
        <is>
          <t>Total Expenses</t>
        </is>
      </c>
      <c r="B18" s="17" t="inlineStr">
        <is>
          <t>Rs Mn</t>
        </is>
      </c>
      <c r="D18" s="75">
        <f>IFERROR(D11+D12+D13+D14+D15+D16+D17,"")</f>
        <v/>
      </c>
      <c r="E18" s="75">
        <f>IFERROR(E11+E12+E13+E14+E15+E16+E17,"")</f>
        <v/>
      </c>
      <c r="F18" s="75">
        <f>IFERROR(F11+F12+F13+F14+F15+F16+F17,"")</f>
        <v/>
      </c>
      <c r="G18" s="75">
        <f>IFERROR(G11+G12+G13+G14+G15+G16+G17,"")</f>
        <v/>
      </c>
      <c r="H18" s="75">
        <f>IFERROR(H11+H12+H13+H14+H15+H16+H17,"")</f>
        <v/>
      </c>
      <c r="I18" s="75">
        <f>IFERROR(I11+I12+I13+I14+I15+I16+I17,"")</f>
        <v/>
      </c>
      <c r="J18" s="75">
        <f>IFERROR(J11+J12+J13+J14+J15+J16+J17,"")</f>
        <v/>
      </c>
      <c r="K18" s="75">
        <f>IFERROR(K11+K12+K13+K14+K15+K16+K17,"")</f>
        <v/>
      </c>
      <c r="L18" s="75">
        <f>IFERROR(L11+L12+L13+L14+L15+L16+L17,"")</f>
        <v/>
      </c>
      <c r="M18" s="75">
        <f>IFERROR(M11+M12+M13+M14+M15+M16+M17,"")</f>
        <v/>
      </c>
      <c r="N18" s="75">
        <f>IFERROR(N11+N12+N13+N14+N15+N16+N17,"")</f>
        <v/>
      </c>
      <c r="O18" s="75">
        <f>IFERROR(O11+O12+O13+O14+O15+O16+O17,"")</f>
        <v/>
      </c>
      <c r="P18" s="75">
        <f>IFERROR(P11+P12+P13+P14+P15+P16+P17,"")</f>
        <v/>
      </c>
      <c r="Q18" s="75">
        <f>IFERROR(Q11+Q12+Q13+Q14+Q15+Q16+Q17,"")</f>
        <v/>
      </c>
      <c r="R18" s="75">
        <f>IFERROR(R11+R12+R13+R14+R15+R16+R17,"")</f>
        <v/>
      </c>
      <c r="S18" s="75">
        <f>IFERROR(S11+S12+S13+S14+S15+S16+S17,"")</f>
        <v/>
      </c>
      <c r="T18" s="75">
        <f>IFERROR(T11+T12+T13+T14+T15+T16+T17,"")</f>
        <v/>
      </c>
      <c r="U18" s="75">
        <f>IFERROR(U11+U12+U13+U14+U15+U16+U17,"")</f>
        <v/>
      </c>
      <c r="V18" s="75">
        <f>IFERROR(V11+V12+V13+V14+V15+V16+V17,"")</f>
        <v/>
      </c>
      <c r="W18" s="75">
        <f>IFERROR(W11+W12+W13+W14+W15+W16+W17,"")</f>
        <v/>
      </c>
      <c r="AB18" s="19" t="n"/>
      <c r="AC18" s="76">
        <f>IFERROR(AC11+AC12+AC13+AC14+AC15+AC16+AC17,"")</f>
        <v/>
      </c>
      <c r="AD18" s="76">
        <f>IFERROR(AD11+AD12+AD13+AD14+AD15+AD16+AD17,"")</f>
        <v/>
      </c>
      <c r="AE18" s="76">
        <f>IFERROR(AE11+AE12+AE13+AE14+AE15+AE16+AE17,"")</f>
        <v/>
      </c>
      <c r="AF18" s="76">
        <f>IFERROR(AF11+AF12+AF13+AF14+AF15+AF16+AF17,"")</f>
        <v/>
      </c>
      <c r="AG18" s="76">
        <f>IFERROR(AG11+AG12+AG13+AG14+AG15+AG16+AG17,"")</f>
        <v/>
      </c>
      <c r="AH18" s="76">
        <f>IFERROR(AH11+AH12+AH13+AH14+AH15+AH16+AH17,"")</f>
        <v/>
      </c>
      <c r="AI18" s="76">
        <f>IFERROR(AI11+AI12+AI13+AI14+AI15+AI16+AI17,"")</f>
        <v/>
      </c>
      <c r="AJ18" s="76">
        <f>IFERROR(AJ11+AJ12+AJ13+AJ14+AJ15+AJ16+AJ17,"")</f>
        <v/>
      </c>
      <c r="AK18" s="76">
        <f>IFERROR(AK11+AK12+AK13+AK14+AK15+AK16+AK17,"")</f>
        <v/>
      </c>
      <c r="AL18" s="76">
        <f>IFERROR(AL11+AL12+AL13+AL14+AL15+AL16+AL17,"")</f>
        <v/>
      </c>
      <c r="AM18" s="76">
        <f>IFERROR(AM11+AM12+AM13+AM14+AM15+AM16+AM17,"")</f>
        <v/>
      </c>
      <c r="AN18" s="76">
        <f>IFERROR(AN11+AN12+AN13+AN14+AN15+AN16+AN17,"")</f>
        <v/>
      </c>
    </row>
    <row r="19">
      <c r="AB19" s="19" t="n"/>
    </row>
    <row r="20">
      <c r="A20" s="74" t="inlineStr">
        <is>
          <t>Profit Before Exceptional Items and Tax</t>
        </is>
      </c>
      <c r="B20" s="17" t="inlineStr">
        <is>
          <t>Rs Mn</t>
        </is>
      </c>
      <c r="D20" s="75">
        <f>IFERROR(D8-D18,"")</f>
        <v/>
      </c>
      <c r="E20" s="75">
        <f>IFERROR(E8-E18,"")</f>
        <v/>
      </c>
      <c r="F20" s="75">
        <f>IFERROR(F8-F18,"")</f>
        <v/>
      </c>
      <c r="G20" s="75">
        <f>IFERROR(G8-G18,"")</f>
        <v/>
      </c>
      <c r="H20" s="75">
        <f>IFERROR(H8-H18,"")</f>
        <v/>
      </c>
      <c r="I20" s="75">
        <f>IFERROR(I8-I18,"")</f>
        <v/>
      </c>
      <c r="J20" s="75">
        <f>IFERROR(J8-J18,"")</f>
        <v/>
      </c>
      <c r="K20" s="75">
        <f>IFERROR(K8-K18,"")</f>
        <v/>
      </c>
      <c r="L20" s="75">
        <f>IFERROR(L8-L18,"")</f>
        <v/>
      </c>
      <c r="M20" s="75">
        <f>IFERROR(M8-M18,"")</f>
        <v/>
      </c>
      <c r="N20" s="75">
        <f>IFERROR(N8-N18,"")</f>
        <v/>
      </c>
      <c r="O20" s="75">
        <f>IFERROR(O8-O18,"")</f>
        <v/>
      </c>
      <c r="P20" s="75">
        <f>IFERROR(P8-P18,"")</f>
        <v/>
      </c>
      <c r="Q20" s="75">
        <f>IFERROR(Q8-Q18,"")</f>
        <v/>
      </c>
      <c r="R20" s="75">
        <f>IFERROR(R8-R18,"")</f>
        <v/>
      </c>
      <c r="S20" s="75">
        <f>IFERROR(S8-S18,"")</f>
        <v/>
      </c>
      <c r="T20" s="75">
        <f>IFERROR(T8-T18,"")</f>
        <v/>
      </c>
      <c r="U20" s="75">
        <f>IFERROR(U8-U18,"")</f>
        <v/>
      </c>
      <c r="V20" s="75">
        <f>IFERROR(V8-V18,"")</f>
        <v/>
      </c>
      <c r="W20" s="75">
        <f>IFERROR(W8-W18,"")</f>
        <v/>
      </c>
      <c r="AB20" s="19" t="n"/>
      <c r="AC20" s="76">
        <f>IFERROR(AC8-AC18,"")</f>
        <v/>
      </c>
      <c r="AD20" s="76">
        <f>IFERROR(AD8-AD18,"")</f>
        <v/>
      </c>
      <c r="AE20" s="76">
        <f>IFERROR(AE8-AE18,"")</f>
        <v/>
      </c>
      <c r="AF20" s="76">
        <f>IFERROR(AF8-AF18,"")</f>
        <v/>
      </c>
      <c r="AG20" s="76">
        <f>IFERROR(AG8-AG18,"")</f>
        <v/>
      </c>
      <c r="AH20" s="76">
        <f>IFERROR(AH8-AH18,"")</f>
        <v/>
      </c>
      <c r="AI20" s="76">
        <f>IFERROR(AI8-AI18,"")</f>
        <v/>
      </c>
      <c r="AJ20" s="76">
        <f>IFERROR(AJ8-AJ18,"")</f>
        <v/>
      </c>
      <c r="AK20" s="76">
        <f>IFERROR(AK8-AK18,"")</f>
        <v/>
      </c>
      <c r="AL20" s="76">
        <f>IFERROR(AL8-AL18,"")</f>
        <v/>
      </c>
      <c r="AM20" s="76">
        <f>IFERROR(AM8-AM18,"")</f>
        <v/>
      </c>
      <c r="AN20" s="76">
        <f>IFERROR(AN8-AN18,"")</f>
        <v/>
      </c>
    </row>
    <row r="21" outlineLevel="1">
      <c r="A21" s="20" t="inlineStr">
        <is>
          <t>Exceptional items, net</t>
        </is>
      </c>
      <c r="B21" s="17" t="inlineStr">
        <is>
          <t>Rs Mn</t>
        </is>
      </c>
      <c r="D21" s="71">
        <f>IF('Raw Data - financials'!D20="","",'Raw Data - financials'!D20)</f>
        <v/>
      </c>
      <c r="E21" s="71">
        <f>IF('Raw Data - financials'!E20="","",'Raw Data - financials'!E20)</f>
        <v/>
      </c>
      <c r="F21" s="71">
        <f>IF('Raw Data - financials'!F20="","",'Raw Data - financials'!F20)</f>
        <v/>
      </c>
      <c r="G21" s="71">
        <f>IF('Raw Data - financials'!G20="","",'Raw Data - financials'!G20)</f>
        <v/>
      </c>
      <c r="H21" s="71">
        <f>IF('Raw Data - financials'!H20="","",'Raw Data - financials'!H20)</f>
        <v/>
      </c>
      <c r="I21" s="71">
        <f>IF('Raw Data - financials'!I20="","",'Raw Data - financials'!I20)</f>
        <v/>
      </c>
      <c r="J21" s="71">
        <f>IF('Raw Data - financials'!J20="","",'Raw Data - financials'!J20)</f>
        <v/>
      </c>
      <c r="K21" s="71">
        <f>IF('Raw Data - financials'!K20="","",'Raw Data - financials'!K20)</f>
        <v/>
      </c>
      <c r="L21" s="71">
        <f>IF('Raw Data - financials'!L20="","",'Raw Data - financials'!L20)</f>
        <v/>
      </c>
      <c r="M21" s="71">
        <f>IF('Raw Data - financials'!M20="","",'Raw Data - financials'!M20)</f>
        <v/>
      </c>
      <c r="N21" s="71">
        <f>IF('Raw Data - financials'!N20="","",'Raw Data - financials'!N20)</f>
        <v/>
      </c>
      <c r="O21" s="71">
        <f>IF('Raw Data - financials'!O20="","",'Raw Data - financials'!O20)</f>
        <v/>
      </c>
      <c r="P21" s="71">
        <f>IF('Raw Data - financials'!P20="","",'Raw Data - financials'!P20)</f>
        <v/>
      </c>
      <c r="Q21" s="71">
        <f>IF('Raw Data - financials'!Q20="","",'Raw Data - financials'!Q20)</f>
        <v/>
      </c>
      <c r="R21" s="71">
        <f>IF('Raw Data - financials'!R20="","",'Raw Data - financials'!R20)</f>
        <v/>
      </c>
      <c r="S21" s="71">
        <f>IF('Raw Data - financials'!S20="","",'Raw Data - financials'!S20)</f>
        <v/>
      </c>
      <c r="T21" s="71">
        <f>IF('Raw Data - financials'!T20="","",'Raw Data - financials'!T20)</f>
        <v/>
      </c>
      <c r="U21" s="71">
        <f>IF('Raw Data - financials'!U20="","",'Raw Data - financials'!U20)</f>
        <v/>
      </c>
      <c r="V21" s="71">
        <f>IF('Raw Data - financials'!V20="","",'Raw Data - financials'!V20)</f>
        <v/>
      </c>
      <c r="W21" s="71">
        <f>IF('Raw Data - financials'!W20="","",'Raw Data - financials'!W20)</f>
        <v/>
      </c>
      <c r="AB21" s="19" t="n"/>
      <c r="AC21" s="72">
        <f>IF('Raw Data - financials'!AC20="","",'Raw Data - financials'!AC20)</f>
        <v/>
      </c>
      <c r="AD21" s="72">
        <f>IF('Raw Data - financials'!AD20="","",'Raw Data - financials'!AD20)</f>
        <v/>
      </c>
      <c r="AE21" s="72">
        <f>IF('Raw Data - financials'!AE20="","",'Raw Data - financials'!AE20)</f>
        <v/>
      </c>
      <c r="AF21" s="72">
        <f>IF('Raw Data - financials'!AF20="","",'Raw Data - financials'!AF20)</f>
        <v/>
      </c>
      <c r="AG21" s="72">
        <f>IF('Raw Data - financials'!AG20="","",'Raw Data - financials'!AG20)</f>
        <v/>
      </c>
      <c r="AH21" s="72">
        <f>IF('Raw Data - financials'!AH20="","",'Raw Data - financials'!AH20)</f>
        <v/>
      </c>
      <c r="AI21" s="72">
        <f>IF('Raw Data - financials'!AI20="","",'Raw Data - financials'!AI20)</f>
        <v/>
      </c>
      <c r="AJ21" s="72">
        <f>IF('Raw Data - financials'!AJ20="","",'Raw Data - financials'!AJ20)</f>
        <v/>
      </c>
      <c r="AK21" s="72" t="n">
        <v>0</v>
      </c>
      <c r="AL21" s="72" t="n">
        <v>0</v>
      </c>
      <c r="AM21" s="72" t="n">
        <v>0</v>
      </c>
      <c r="AN21" s="72" t="n">
        <v>0</v>
      </c>
    </row>
    <row r="22">
      <c r="A22" s="74" t="inlineStr">
        <is>
          <t>Profit Before Tax</t>
        </is>
      </c>
      <c r="B22" s="17" t="inlineStr">
        <is>
          <t>Rs Mn</t>
        </is>
      </c>
      <c r="D22" s="75">
        <f>IFERROR(D20-D21,"")</f>
        <v/>
      </c>
      <c r="E22" s="75">
        <f>IFERROR(E20-E21,"")</f>
        <v/>
      </c>
      <c r="F22" s="75">
        <f>IFERROR(F20-F21,"")</f>
        <v/>
      </c>
      <c r="G22" s="75">
        <f>IFERROR(G20-G21,"")</f>
        <v/>
      </c>
      <c r="H22" s="75">
        <f>IFERROR(H20-H21,"")</f>
        <v/>
      </c>
      <c r="I22" s="75">
        <f>IFERROR(I20-I21,"")</f>
        <v/>
      </c>
      <c r="J22" s="75">
        <f>IFERROR(J20-J21,"")</f>
        <v/>
      </c>
      <c r="K22" s="75">
        <f>IFERROR(K20-K21,"")</f>
        <v/>
      </c>
      <c r="L22" s="75">
        <f>IFERROR(L20-L21,"")</f>
        <v/>
      </c>
      <c r="M22" s="75">
        <f>IFERROR(M20-M21,"")</f>
        <v/>
      </c>
      <c r="N22" s="75">
        <f>IFERROR(N20-N21,"")</f>
        <v/>
      </c>
      <c r="O22" s="75">
        <f>IFERROR(O20-O21,"")</f>
        <v/>
      </c>
      <c r="P22" s="75">
        <f>IFERROR(P20-P21,"")</f>
        <v/>
      </c>
      <c r="Q22" s="75">
        <f>IFERROR(Q20-Q21,"")</f>
        <v/>
      </c>
      <c r="R22" s="75">
        <f>IFERROR(R20-R21,"")</f>
        <v/>
      </c>
      <c r="S22" s="75">
        <f>IFERROR(S20-S21,"")</f>
        <v/>
      </c>
      <c r="T22" s="75">
        <f>IFERROR(T20-T21,"")</f>
        <v/>
      </c>
      <c r="U22" s="75">
        <f>IFERROR(U20-U21,"")</f>
        <v/>
      </c>
      <c r="V22" s="75">
        <f>IFERROR(V20-V21,"")</f>
        <v/>
      </c>
      <c r="W22" s="75">
        <f>IFERROR(W20-W21,"")</f>
        <v/>
      </c>
      <c r="AB22" s="19" t="n"/>
      <c r="AC22" s="76">
        <f>IFERROR(AC20-AC21,"")</f>
        <v/>
      </c>
      <c r="AD22" s="76">
        <f>IFERROR(AD20-AD21,"")</f>
        <v/>
      </c>
      <c r="AE22" s="76">
        <f>IFERROR(AE20-AE21,"")</f>
        <v/>
      </c>
      <c r="AF22" s="76">
        <f>IFERROR(AF20-AF21,"")</f>
        <v/>
      </c>
      <c r="AG22" s="76">
        <f>IFERROR(AG20-AG21,"")</f>
        <v/>
      </c>
      <c r="AH22" s="76">
        <f>IFERROR(AH20-AH21,"")</f>
        <v/>
      </c>
      <c r="AI22" s="76">
        <f>IFERROR(AI20-AI21,"")</f>
        <v/>
      </c>
      <c r="AJ22" s="76">
        <f>IFERROR(AJ20-AJ21,"")</f>
        <v/>
      </c>
      <c r="AK22" s="76">
        <f>IFERROR(AK20-AK21,"")</f>
        <v/>
      </c>
      <c r="AL22" s="76">
        <f>IFERROR(AL20-AL21,"")</f>
        <v/>
      </c>
      <c r="AM22" s="76">
        <f>IFERROR(AM20-AM21,"")</f>
        <v/>
      </c>
      <c r="AN22" s="76">
        <f>IFERROR(AN20-AN21,"")</f>
        <v/>
      </c>
    </row>
    <row r="23">
      <c r="AB23" s="19" t="n"/>
    </row>
    <row r="24">
      <c r="A24" s="9" t="inlineStr">
        <is>
          <t>Tax expense</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46" t="n"/>
      <c r="AC24" s="9" t="n"/>
      <c r="AD24" s="9" t="n"/>
      <c r="AE24" s="9" t="n"/>
      <c r="AF24" s="9" t="n"/>
      <c r="AG24" s="9" t="n"/>
      <c r="AH24" s="9" t="n"/>
      <c r="AI24" s="9" t="n"/>
      <c r="AJ24" s="9" t="n"/>
      <c r="AK24" s="9" t="n"/>
      <c r="AL24" s="9" t="n"/>
      <c r="AM24" s="9" t="n"/>
      <c r="AN24" s="9" t="n"/>
    </row>
    <row r="25" outlineLevel="1">
      <c r="A25" s="20" t="inlineStr">
        <is>
          <t>Current tax</t>
        </is>
      </c>
      <c r="B25" s="17" t="inlineStr">
        <is>
          <t>Rs Mn</t>
        </is>
      </c>
      <c r="D25" s="71">
        <f>IF('Raw Data - financials'!D24="","",'Raw Data - financials'!D24)</f>
        <v/>
      </c>
      <c r="E25" s="71">
        <f>IF('Raw Data - financials'!E24="","",'Raw Data - financials'!E24)</f>
        <v/>
      </c>
      <c r="F25" s="71">
        <f>IF('Raw Data - financials'!F24="","",'Raw Data - financials'!F24)</f>
        <v/>
      </c>
      <c r="G25" s="71">
        <f>IF('Raw Data - financials'!G24="","",'Raw Data - financials'!G24)</f>
        <v/>
      </c>
      <c r="H25" s="71">
        <f>IF('Raw Data - financials'!H24="","",'Raw Data - financials'!H24)</f>
        <v/>
      </c>
      <c r="I25" s="71">
        <f>IF('Raw Data - financials'!I24="","",'Raw Data - financials'!I24)</f>
        <v/>
      </c>
      <c r="J25" s="71">
        <f>IF('Raw Data - financials'!J24="","",'Raw Data - financials'!J24)</f>
        <v/>
      </c>
      <c r="K25" s="71">
        <f>IF('Raw Data - financials'!K24="","",'Raw Data - financials'!K24)</f>
        <v/>
      </c>
      <c r="L25" s="71">
        <f>IF('Raw Data - financials'!L24="","",'Raw Data - financials'!L24)</f>
        <v/>
      </c>
      <c r="M25" s="71">
        <f>IF('Raw Data - financials'!M24="","",'Raw Data - financials'!M24)</f>
        <v/>
      </c>
      <c r="N25" s="71">
        <f>IF('Raw Data - financials'!N24="","",'Raw Data - financials'!N24)</f>
        <v/>
      </c>
      <c r="O25" s="71">
        <f>IF('Raw Data - financials'!O24="","",'Raw Data - financials'!O24)</f>
        <v/>
      </c>
      <c r="P25" s="71">
        <f>IF('Raw Data - financials'!P24="","",'Raw Data - financials'!P24)</f>
        <v/>
      </c>
      <c r="Q25" s="71">
        <f>IF('Raw Data - financials'!Q24="","",'Raw Data - financials'!Q24)</f>
        <v/>
      </c>
      <c r="R25" s="71">
        <f>IF('Raw Data - financials'!R24="","",'Raw Data - financials'!R24)</f>
        <v/>
      </c>
      <c r="S25" s="71">
        <f>IF('Raw Data - financials'!S24="","",'Raw Data - financials'!S24)</f>
        <v/>
      </c>
      <c r="T25" s="71">
        <f>IF('Raw Data - financials'!T24="","",'Raw Data - financials'!T24)</f>
        <v/>
      </c>
      <c r="U25" s="71">
        <f>IF('Raw Data - financials'!U24="","",'Raw Data - financials'!U24)</f>
        <v/>
      </c>
      <c r="V25" s="71">
        <f>IF('Raw Data - financials'!V24="","",'Raw Data - financials'!V24)</f>
        <v/>
      </c>
      <c r="W25" s="71">
        <f>IF('Raw Data - financials'!W24="","",'Raw Data - financials'!W24)</f>
        <v/>
      </c>
      <c r="AB25" s="19" t="n"/>
      <c r="AC25" s="72">
        <f>IF('Raw Data - financials'!AC24="","",'Raw Data - financials'!AC24)</f>
        <v/>
      </c>
      <c r="AD25" s="72">
        <f>IF('Raw Data - financials'!AD24="","",'Raw Data - financials'!AD24)</f>
        <v/>
      </c>
      <c r="AE25" s="72">
        <f>IF('Raw Data - financials'!AE24="","",'Raw Data - financials'!AE24)</f>
        <v/>
      </c>
      <c r="AF25" s="72">
        <f>IF('Raw Data - financials'!AF24="","",'Raw Data - financials'!AF24)</f>
        <v/>
      </c>
      <c r="AG25" s="72">
        <f>IF('Raw Data - financials'!AG24="","",'Raw Data - financials'!AG24)</f>
        <v/>
      </c>
      <c r="AH25" s="72">
        <f>IF('Raw Data - financials'!AH24="","",'Raw Data - financials'!AH24)</f>
        <v/>
      </c>
      <c r="AI25" s="72">
        <f>IF('Raw Data - financials'!AI24="","",'Raw Data - financials'!AI24)</f>
        <v/>
      </c>
      <c r="AJ25" s="72">
        <f>IF('Raw Data - financials'!AJ24="","",'Raw Data - financials'!AJ24)</f>
        <v/>
      </c>
      <c r="AK25" s="72">
        <f>IF('Projections'!AK131="","",'Projections'!AK131)</f>
        <v/>
      </c>
      <c r="AL25" s="72">
        <f>IF('Projections'!AL131="","",'Projections'!AL131)</f>
        <v/>
      </c>
      <c r="AM25" s="72">
        <f>IF('Projections'!AM131="","",'Projections'!AM131)</f>
        <v/>
      </c>
      <c r="AN25" s="72">
        <f>IF('Projections'!AN131="","",'Projections'!AN131)</f>
        <v/>
      </c>
    </row>
    <row r="26" outlineLevel="1">
      <c r="A26" s="20" t="inlineStr">
        <is>
          <t>Current tax pertaining to earlier years</t>
        </is>
      </c>
      <c r="B26" s="17" t="inlineStr">
        <is>
          <t>Rs Mn</t>
        </is>
      </c>
      <c r="D26" s="71">
        <f>IF('Raw Data - financials'!D25="","",'Raw Data - financials'!D25)</f>
        <v/>
      </c>
      <c r="E26" s="71">
        <f>IF('Raw Data - financials'!E25="","",'Raw Data - financials'!E25)</f>
        <v/>
      </c>
      <c r="F26" s="71">
        <f>IF('Raw Data - financials'!F25="","",'Raw Data - financials'!F25)</f>
        <v/>
      </c>
      <c r="G26" s="71">
        <f>IF('Raw Data - financials'!G25="","",'Raw Data - financials'!G25)</f>
        <v/>
      </c>
      <c r="H26" s="71">
        <f>IF('Raw Data - financials'!H25="","",'Raw Data - financials'!H25)</f>
        <v/>
      </c>
      <c r="I26" s="71">
        <f>IF('Raw Data - financials'!I25="","",'Raw Data - financials'!I25)</f>
        <v/>
      </c>
      <c r="J26" s="71">
        <f>IF('Raw Data - financials'!J25="","",'Raw Data - financials'!J25)</f>
        <v/>
      </c>
      <c r="K26" s="71">
        <f>IF('Raw Data - financials'!K25="","",'Raw Data - financials'!K25)</f>
        <v/>
      </c>
      <c r="L26" s="71">
        <f>IF('Raw Data - financials'!L25="","",'Raw Data - financials'!L25)</f>
        <v/>
      </c>
      <c r="M26" s="71">
        <f>IF('Raw Data - financials'!M25="","",'Raw Data - financials'!M25)</f>
        <v/>
      </c>
      <c r="N26" s="71">
        <f>IF('Raw Data - financials'!N25="","",'Raw Data - financials'!N25)</f>
        <v/>
      </c>
      <c r="O26" s="71">
        <f>IF('Raw Data - financials'!O25="","",'Raw Data - financials'!O25)</f>
        <v/>
      </c>
      <c r="P26" s="71">
        <f>IF('Raw Data - financials'!P25="","",'Raw Data - financials'!P25)</f>
        <v/>
      </c>
      <c r="Q26" s="71">
        <f>IF('Raw Data - financials'!Q25="","",'Raw Data - financials'!Q25)</f>
        <v/>
      </c>
      <c r="R26" s="71">
        <f>IF('Raw Data - financials'!R25="","",'Raw Data - financials'!R25)</f>
        <v/>
      </c>
      <c r="S26" s="71">
        <f>IF('Raw Data - financials'!S25="","",'Raw Data - financials'!S25)</f>
        <v/>
      </c>
      <c r="T26" s="71">
        <f>IF('Raw Data - financials'!T25="","",'Raw Data - financials'!T25)</f>
        <v/>
      </c>
      <c r="U26" s="71">
        <f>IF('Raw Data - financials'!U25="","",'Raw Data - financials'!U25)</f>
        <v/>
      </c>
      <c r="V26" s="71">
        <f>IF('Raw Data - financials'!V25="","",'Raw Data - financials'!V25)</f>
        <v/>
      </c>
      <c r="W26" s="71">
        <f>IF('Raw Data - financials'!W25="","",'Raw Data - financials'!W25)</f>
        <v/>
      </c>
      <c r="AB26" s="19" t="n"/>
      <c r="AC26" s="72">
        <f>IF('Raw Data - financials'!AC25="","",'Raw Data - financials'!AC25)</f>
        <v/>
      </c>
      <c r="AD26" s="72">
        <f>IF('Raw Data - financials'!AD25="","",'Raw Data - financials'!AD25)</f>
        <v/>
      </c>
      <c r="AE26" s="72">
        <f>IF('Raw Data - financials'!AE25="","",'Raw Data - financials'!AE25)</f>
        <v/>
      </c>
      <c r="AF26" s="72">
        <f>IF('Raw Data - financials'!AF25="","",'Raw Data - financials'!AF25)</f>
        <v/>
      </c>
      <c r="AG26" s="72">
        <f>IF('Raw Data - financials'!AG25="","",'Raw Data - financials'!AG25)</f>
        <v/>
      </c>
      <c r="AH26" s="72">
        <f>IF('Raw Data - financials'!AH25="","",'Raw Data - financials'!AH25)</f>
        <v/>
      </c>
      <c r="AI26" s="72">
        <f>IF('Raw Data - financials'!AI25="","",'Raw Data - financials'!AI25)</f>
        <v/>
      </c>
      <c r="AJ26" s="72">
        <f>IF('Raw Data - financials'!AJ25="","",'Raw Data - financials'!AJ25)</f>
        <v/>
      </c>
      <c r="AK26" s="72" t="n">
        <v>0</v>
      </c>
      <c r="AL26" s="72" t="n">
        <v>0</v>
      </c>
      <c r="AM26" s="72" t="n">
        <v>0</v>
      </c>
      <c r="AN26" s="72" t="n">
        <v>0</v>
      </c>
    </row>
    <row r="27" outlineLevel="1">
      <c r="A27" s="20" t="inlineStr">
        <is>
          <t>Deferred tax expense/(credit)</t>
        </is>
      </c>
      <c r="B27" s="17" t="inlineStr">
        <is>
          <t>Rs Mn</t>
        </is>
      </c>
      <c r="D27" s="71">
        <f>IF('Raw Data - financials'!D26="","",'Raw Data - financials'!D26)</f>
        <v/>
      </c>
      <c r="E27" s="71">
        <f>IF('Raw Data - financials'!E26="","",'Raw Data - financials'!E26)</f>
        <v/>
      </c>
      <c r="F27" s="71">
        <f>IF('Raw Data - financials'!F26="","",'Raw Data - financials'!F26)</f>
        <v/>
      </c>
      <c r="G27" s="71">
        <f>IF('Raw Data - financials'!G26="","",'Raw Data - financials'!G26)</f>
        <v/>
      </c>
      <c r="H27" s="71">
        <f>IF('Raw Data - financials'!H26="","",'Raw Data - financials'!H26)</f>
        <v/>
      </c>
      <c r="I27" s="71">
        <f>IF('Raw Data - financials'!I26="","",'Raw Data - financials'!I26)</f>
        <v/>
      </c>
      <c r="J27" s="71">
        <f>IF('Raw Data - financials'!J26="","",'Raw Data - financials'!J26)</f>
        <v/>
      </c>
      <c r="K27" s="71">
        <f>IF('Raw Data - financials'!K26="","",'Raw Data - financials'!K26)</f>
        <v/>
      </c>
      <c r="L27" s="71">
        <f>IF('Raw Data - financials'!L26="","",'Raw Data - financials'!L26)</f>
        <v/>
      </c>
      <c r="M27" s="71">
        <f>IF('Raw Data - financials'!M26="","",'Raw Data - financials'!M26)</f>
        <v/>
      </c>
      <c r="N27" s="71">
        <f>IF('Raw Data - financials'!N26="","",'Raw Data - financials'!N26)</f>
        <v/>
      </c>
      <c r="O27" s="71">
        <f>IF('Raw Data - financials'!O26="","",'Raw Data - financials'!O26)</f>
        <v/>
      </c>
      <c r="P27" s="71">
        <f>IF('Raw Data - financials'!P26="","",'Raw Data - financials'!P26)</f>
        <v/>
      </c>
      <c r="Q27" s="71">
        <f>IF('Raw Data - financials'!Q26="","",'Raw Data - financials'!Q26)</f>
        <v/>
      </c>
      <c r="R27" s="71">
        <f>IF('Raw Data - financials'!R26="","",'Raw Data - financials'!R26)</f>
        <v/>
      </c>
      <c r="S27" s="71">
        <f>IF('Raw Data - financials'!S26="","",'Raw Data - financials'!S26)</f>
        <v/>
      </c>
      <c r="T27" s="71">
        <f>IF('Raw Data - financials'!T26="","",'Raw Data - financials'!T26)</f>
        <v/>
      </c>
      <c r="U27" s="71">
        <f>IF('Raw Data - financials'!U26="","",'Raw Data - financials'!U26)</f>
        <v/>
      </c>
      <c r="V27" s="71">
        <f>IF('Raw Data - financials'!V26="","",'Raw Data - financials'!V26)</f>
        <v/>
      </c>
      <c r="W27" s="71">
        <f>IF('Raw Data - financials'!W26="","",'Raw Data - financials'!W26)</f>
        <v/>
      </c>
      <c r="AB27" s="19" t="n"/>
      <c r="AC27" s="72">
        <f>IF('Raw Data - financials'!AC26="","",'Raw Data - financials'!AC26)</f>
        <v/>
      </c>
      <c r="AD27" s="72">
        <f>IF('Raw Data - financials'!AD26="","",'Raw Data - financials'!AD26)</f>
        <v/>
      </c>
      <c r="AE27" s="72">
        <f>IF('Raw Data - financials'!AE26="","",'Raw Data - financials'!AE26)</f>
        <v/>
      </c>
      <c r="AF27" s="72">
        <f>IF('Raw Data - financials'!AF26="","",'Raw Data - financials'!AF26)</f>
        <v/>
      </c>
      <c r="AG27" s="72">
        <f>IF('Raw Data - financials'!AG26="","",'Raw Data - financials'!AG26)</f>
        <v/>
      </c>
      <c r="AH27" s="72">
        <f>IF('Raw Data - financials'!AH26="","",'Raw Data - financials'!AH26)</f>
        <v/>
      </c>
      <c r="AI27" s="72">
        <f>IF('Raw Data - financials'!AI26="","",'Raw Data - financials'!AI26)</f>
        <v/>
      </c>
      <c r="AJ27" s="72">
        <f>IF('Raw Data - financials'!AJ26="","",'Raw Data - financials'!AJ26)</f>
        <v/>
      </c>
      <c r="AK27" s="72" t="n">
        <v>0</v>
      </c>
      <c r="AL27" s="72" t="n">
        <v>0</v>
      </c>
      <c r="AM27" s="72" t="n">
        <v>0</v>
      </c>
      <c r="AN27" s="72" t="n">
        <v>0</v>
      </c>
    </row>
    <row r="28" outlineLevel="1">
      <c r="A28" s="20" t="inlineStr">
        <is>
          <t>Deferred tax credit for unrecognised business loss (earlier years)</t>
        </is>
      </c>
      <c r="B28" s="17" t="inlineStr">
        <is>
          <t>Rs Mn</t>
        </is>
      </c>
      <c r="D28" s="71">
        <f>IF('Raw Data - financials'!D27="","",'Raw Data - financials'!D27)</f>
        <v/>
      </c>
      <c r="E28" s="71">
        <f>IF('Raw Data - financials'!E27="","",'Raw Data - financials'!E27)</f>
        <v/>
      </c>
      <c r="F28" s="71">
        <f>IF('Raw Data - financials'!F27="","",'Raw Data - financials'!F27)</f>
        <v/>
      </c>
      <c r="G28" s="71">
        <f>IF('Raw Data - financials'!G27="","",'Raw Data - financials'!G27)</f>
        <v/>
      </c>
      <c r="H28" s="71">
        <f>IF('Raw Data - financials'!H27="","",'Raw Data - financials'!H27)</f>
        <v/>
      </c>
      <c r="I28" s="71">
        <f>IF('Raw Data - financials'!I27="","",'Raw Data - financials'!I27)</f>
        <v/>
      </c>
      <c r="J28" s="71">
        <f>IF('Raw Data - financials'!J27="","",'Raw Data - financials'!J27)</f>
        <v/>
      </c>
      <c r="K28" s="71">
        <f>IF('Raw Data - financials'!K27="","",'Raw Data - financials'!K27)</f>
        <v/>
      </c>
      <c r="L28" s="71">
        <f>IF('Raw Data - financials'!L27="","",'Raw Data - financials'!L27)</f>
        <v/>
      </c>
      <c r="M28" s="71">
        <f>IF('Raw Data - financials'!M27="","",'Raw Data - financials'!M27)</f>
        <v/>
      </c>
      <c r="N28" s="71">
        <f>IF('Raw Data - financials'!N27="","",'Raw Data - financials'!N27)</f>
        <v/>
      </c>
      <c r="O28" s="71">
        <f>IF('Raw Data - financials'!O27="","",'Raw Data - financials'!O27)</f>
        <v/>
      </c>
      <c r="P28" s="71">
        <f>IF('Raw Data - financials'!P27="","",'Raw Data - financials'!P27)</f>
        <v/>
      </c>
      <c r="Q28" s="71">
        <f>IF('Raw Data - financials'!Q27="","",'Raw Data - financials'!Q27)</f>
        <v/>
      </c>
      <c r="R28" s="71">
        <f>IF('Raw Data - financials'!R27="","",'Raw Data - financials'!R27)</f>
        <v/>
      </c>
      <c r="S28" s="71">
        <f>IF('Raw Data - financials'!S27="","",'Raw Data - financials'!S27)</f>
        <v/>
      </c>
      <c r="T28" s="71">
        <f>IF('Raw Data - financials'!T27="","",'Raw Data - financials'!T27)</f>
        <v/>
      </c>
      <c r="U28" s="71">
        <f>IF('Raw Data - financials'!U27="","",'Raw Data - financials'!U27)</f>
        <v/>
      </c>
      <c r="V28" s="71">
        <f>IF('Raw Data - financials'!V27="","",'Raw Data - financials'!V27)</f>
        <v/>
      </c>
      <c r="W28" s="71">
        <f>IF('Raw Data - financials'!W27="","",'Raw Data - financials'!W27)</f>
        <v/>
      </c>
      <c r="AB28" s="19" t="n"/>
      <c r="AC28" s="72">
        <f>IF('Raw Data - financials'!AC27="","",'Raw Data - financials'!AC27)</f>
        <v/>
      </c>
      <c r="AD28" s="72">
        <f>IF('Raw Data - financials'!AD27="","",'Raw Data - financials'!AD27)</f>
        <v/>
      </c>
      <c r="AE28" s="72">
        <f>IF('Raw Data - financials'!AE27="","",'Raw Data - financials'!AE27)</f>
        <v/>
      </c>
      <c r="AF28" s="72">
        <f>IF('Raw Data - financials'!AF27="","",'Raw Data - financials'!AF27)</f>
        <v/>
      </c>
      <c r="AG28" s="72">
        <f>IF('Raw Data - financials'!AG27="","",'Raw Data - financials'!AG27)</f>
        <v/>
      </c>
      <c r="AH28" s="72">
        <f>IF('Raw Data - financials'!AH27="","",'Raw Data - financials'!AH27)</f>
        <v/>
      </c>
      <c r="AI28" s="72">
        <f>IF('Raw Data - financials'!AI27="","",'Raw Data - financials'!AI27)</f>
        <v/>
      </c>
      <c r="AJ28" s="72">
        <f>IF('Raw Data - financials'!AJ27="","",'Raw Data - financials'!AJ27)</f>
        <v/>
      </c>
      <c r="AK28" s="72" t="n">
        <v>0</v>
      </c>
      <c r="AL28" s="72" t="n">
        <v>0</v>
      </c>
      <c r="AM28" s="72" t="n">
        <v>0</v>
      </c>
      <c r="AN28" s="72" t="n">
        <v>0</v>
      </c>
    </row>
    <row r="29">
      <c r="A29" s="74" t="inlineStr">
        <is>
          <t>Total Tax Expense/(Income)</t>
        </is>
      </c>
      <c r="B29" s="17" t="inlineStr">
        <is>
          <t>Rs Mn</t>
        </is>
      </c>
      <c r="D29" s="75">
        <f>IFERROR(D25+D26+D27+D28,"")</f>
        <v/>
      </c>
      <c r="E29" s="75">
        <f>IFERROR(E25+E26+E27+E28,"")</f>
        <v/>
      </c>
      <c r="F29" s="75">
        <f>IFERROR(F25+F26+F27+F28,"")</f>
        <v/>
      </c>
      <c r="G29" s="75">
        <f>IFERROR(G25+G26+G27+G28,"")</f>
        <v/>
      </c>
      <c r="H29" s="75">
        <f>IFERROR(H25+H26+H27+H28,"")</f>
        <v/>
      </c>
      <c r="I29" s="75">
        <f>IFERROR(I25+I26+I27+I28,"")</f>
        <v/>
      </c>
      <c r="J29" s="75">
        <f>IFERROR(J25+J26+J27+J28,"")</f>
        <v/>
      </c>
      <c r="K29" s="75">
        <f>IFERROR(K25+K26+K27+K28,"")</f>
        <v/>
      </c>
      <c r="L29" s="75">
        <f>IFERROR(L25+L26+L27+L28,"")</f>
        <v/>
      </c>
      <c r="M29" s="75">
        <f>IFERROR(M25+M26+M27+M28,"")</f>
        <v/>
      </c>
      <c r="N29" s="75">
        <f>IFERROR(N25+N26+N27+N28,"")</f>
        <v/>
      </c>
      <c r="O29" s="75">
        <f>IFERROR(O25+O26+O27+O28,"")</f>
        <v/>
      </c>
      <c r="P29" s="75">
        <f>IFERROR(P25+P26+P27+P28,"")</f>
        <v/>
      </c>
      <c r="Q29" s="75">
        <f>IFERROR(Q25+Q26+Q27+Q28,"")</f>
        <v/>
      </c>
      <c r="R29" s="75">
        <f>IFERROR(R25+R26+R27+R28,"")</f>
        <v/>
      </c>
      <c r="S29" s="75">
        <f>IFERROR(S25+S26+S27+S28,"")</f>
        <v/>
      </c>
      <c r="T29" s="75">
        <f>IFERROR(T25+T26+T27+T28,"")</f>
        <v/>
      </c>
      <c r="U29" s="75">
        <f>IFERROR(U25+U26+U27+U28,"")</f>
        <v/>
      </c>
      <c r="V29" s="75">
        <f>IFERROR(V25+V26+V27+V28,"")</f>
        <v/>
      </c>
      <c r="W29" s="75">
        <f>IFERROR(W25+W26+W27+W28,"")</f>
        <v/>
      </c>
      <c r="AB29" s="19" t="n"/>
      <c r="AC29" s="76">
        <f>IFERROR(AC25+AC26+AC27+AC28,"")</f>
        <v/>
      </c>
      <c r="AD29" s="76">
        <f>IFERROR(AD25+AD26+AD27+AD28,"")</f>
        <v/>
      </c>
      <c r="AE29" s="76">
        <f>IFERROR(AE25+AE26+AE27+AE28,"")</f>
        <v/>
      </c>
      <c r="AF29" s="76">
        <f>IFERROR(AF25+AF26+AF27+AF28,"")</f>
        <v/>
      </c>
      <c r="AG29" s="76">
        <f>IFERROR(AG25+AG26+AG27+AG28,"")</f>
        <v/>
      </c>
      <c r="AH29" s="76">
        <f>IFERROR(AH25+AH26+AH27+AH28,"")</f>
        <v/>
      </c>
      <c r="AI29" s="76">
        <f>IFERROR(AI25+AI26+AI27+AI28,"")</f>
        <v/>
      </c>
      <c r="AJ29" s="76">
        <f>IFERROR(AJ25+AJ26+AJ27+AJ28,"")</f>
        <v/>
      </c>
      <c r="AK29" s="76">
        <f>IFERROR(AK25+AK26+AK27+AK28,"")</f>
        <v/>
      </c>
      <c r="AL29" s="76">
        <f>IFERROR(AL25+AL26+AL27+AL28,"")</f>
        <v/>
      </c>
      <c r="AM29" s="76">
        <f>IFERROR(AM25+AM26+AM27+AM28,"")</f>
        <v/>
      </c>
      <c r="AN29" s="76">
        <f>IFERROR(AN25+AN26+AN27+AN28,"")</f>
        <v/>
      </c>
    </row>
    <row r="30">
      <c r="AB30" s="19" t="n"/>
    </row>
    <row r="31">
      <c r="A31" s="74" t="inlineStr">
        <is>
          <t>Profit After Tax (PAT)</t>
        </is>
      </c>
      <c r="B31" s="17" t="inlineStr">
        <is>
          <t>Rs Mn</t>
        </is>
      </c>
      <c r="D31" s="75">
        <f>IFERROR(D22-D29,"")</f>
        <v/>
      </c>
      <c r="E31" s="75">
        <f>IFERROR(E22-E29,"")</f>
        <v/>
      </c>
      <c r="F31" s="75">
        <f>IFERROR(F22-F29,"")</f>
        <v/>
      </c>
      <c r="G31" s="75">
        <f>IFERROR(G22-G29,"")</f>
        <v/>
      </c>
      <c r="H31" s="75">
        <f>IFERROR(H22-H29,"")</f>
        <v/>
      </c>
      <c r="I31" s="75">
        <f>IFERROR(I22-I29,"")</f>
        <v/>
      </c>
      <c r="J31" s="75">
        <f>IFERROR(J22-J29,"")</f>
        <v/>
      </c>
      <c r="K31" s="75">
        <f>IFERROR(K22-K29,"")</f>
        <v/>
      </c>
      <c r="L31" s="75">
        <f>IFERROR(L22-L29,"")</f>
        <v/>
      </c>
      <c r="M31" s="75">
        <f>IFERROR(M22-M29,"")</f>
        <v/>
      </c>
      <c r="N31" s="75">
        <f>IFERROR(N22-N29,"")</f>
        <v/>
      </c>
      <c r="O31" s="75">
        <f>IFERROR(O22-O29,"")</f>
        <v/>
      </c>
      <c r="P31" s="75">
        <f>IFERROR(P22-P29,"")</f>
        <v/>
      </c>
      <c r="Q31" s="75">
        <f>IFERROR(Q22-Q29,"")</f>
        <v/>
      </c>
      <c r="R31" s="75">
        <f>IFERROR(R22-R29,"")</f>
        <v/>
      </c>
      <c r="S31" s="75">
        <f>IFERROR(S22-S29,"")</f>
        <v/>
      </c>
      <c r="T31" s="75">
        <f>IFERROR(T22-T29,"")</f>
        <v/>
      </c>
      <c r="U31" s="75">
        <f>IFERROR(U22-U29,"")</f>
        <v/>
      </c>
      <c r="V31" s="75">
        <f>IFERROR(V22-V29,"")</f>
        <v/>
      </c>
      <c r="W31" s="75">
        <f>IFERROR(W22-W29,"")</f>
        <v/>
      </c>
      <c r="AB31" s="19" t="n"/>
      <c r="AC31" s="76">
        <f>IFERROR(AC22-AC29,"")</f>
        <v/>
      </c>
      <c r="AD31" s="76">
        <f>IFERROR(AD22-AD29,"")</f>
        <v/>
      </c>
      <c r="AE31" s="76">
        <f>IFERROR(AE22-AE29,"")</f>
        <v/>
      </c>
      <c r="AF31" s="76">
        <f>IFERROR(AF22-AF29,"")</f>
        <v/>
      </c>
      <c r="AG31" s="76">
        <f>IFERROR(AG22-AG29,"")</f>
        <v/>
      </c>
      <c r="AH31" s="76">
        <f>IFERROR(AH22-AH29,"")</f>
        <v/>
      </c>
      <c r="AI31" s="76">
        <f>IFERROR(AI22-AI29,"")</f>
        <v/>
      </c>
      <c r="AJ31" s="76">
        <f>IFERROR(AJ22-AJ29,"")</f>
        <v/>
      </c>
      <c r="AK31" s="76">
        <f>IFERROR(AK22-AK29,"")</f>
        <v/>
      </c>
      <c r="AL31" s="76">
        <f>IFERROR(AL22-AL29,"")</f>
        <v/>
      </c>
      <c r="AM31" s="76">
        <f>IFERROR(AM22-AM29,"")</f>
        <v/>
      </c>
      <c r="AN31" s="76">
        <f>IFERROR(AN22-AN29,"")</f>
        <v/>
      </c>
    </row>
    <row r="32" outlineLevel="1">
      <c r="A32" s="20" t="inlineStr">
        <is>
          <t>EPS (diluted)</t>
        </is>
      </c>
      <c r="B32" s="17" t="inlineStr">
        <is>
          <t>Rs</t>
        </is>
      </c>
      <c r="D32" s="54">
        <f>IF('Projections'!D133="","",'Projections'!D133)</f>
        <v/>
      </c>
      <c r="E32" s="54">
        <f>IF('Projections'!E133="","",'Projections'!E133)</f>
        <v/>
      </c>
      <c r="F32" s="54">
        <f>IF('Projections'!F133="","",'Projections'!F133)</f>
        <v/>
      </c>
      <c r="G32" s="54">
        <f>IF('Projections'!G133="","",'Projections'!G133)</f>
        <v/>
      </c>
      <c r="H32" s="54">
        <f>IF('Projections'!H133="","",'Projections'!H133)</f>
        <v/>
      </c>
      <c r="I32" s="54">
        <f>IF('Projections'!I133="","",'Projections'!I133)</f>
        <v/>
      </c>
      <c r="J32" s="54">
        <f>IF('Projections'!J133="","",'Projections'!J133)</f>
        <v/>
      </c>
      <c r="K32" s="54">
        <f>IF('Projections'!K133="","",'Projections'!K133)</f>
        <v/>
      </c>
      <c r="L32" s="54">
        <f>IF('Projections'!L133="","",'Projections'!L133)</f>
        <v/>
      </c>
      <c r="M32" s="54">
        <f>IF('Projections'!M133="","",'Projections'!M133)</f>
        <v/>
      </c>
      <c r="N32" s="54">
        <f>IF('Projections'!N133="","",'Projections'!N133)</f>
        <v/>
      </c>
      <c r="O32" s="54">
        <f>IF('Projections'!O133="","",'Projections'!O133)</f>
        <v/>
      </c>
      <c r="P32" s="54">
        <f>IF('Projections'!P133="","",'Projections'!P133)</f>
        <v/>
      </c>
      <c r="Q32" s="54">
        <f>IF('Projections'!Q133="","",'Projections'!Q133)</f>
        <v/>
      </c>
      <c r="R32" s="54">
        <f>IF('Projections'!R133="","",'Projections'!R133)</f>
        <v/>
      </c>
      <c r="S32" s="54">
        <f>IF('Projections'!S133="","",'Projections'!S133)</f>
        <v/>
      </c>
      <c r="T32" s="54">
        <f>IF('Projections'!T133="","",'Projections'!T133)</f>
        <v/>
      </c>
      <c r="U32" s="54">
        <f>IF('Projections'!U133="","",'Projections'!U133)</f>
        <v/>
      </c>
      <c r="V32" s="54">
        <f>IF('Projections'!V133="","",'Projections'!V133)</f>
        <v/>
      </c>
      <c r="W32" s="54">
        <f>IF('Projections'!W133="","",'Projections'!W133)</f>
        <v/>
      </c>
      <c r="AB32" s="19" t="n"/>
      <c r="AC32" s="13">
        <f>IF('Projections'!AC133="","",'Projections'!AC133)</f>
        <v/>
      </c>
      <c r="AD32" s="13">
        <f>IF('Projections'!AD133="","",'Projections'!AD133)</f>
        <v/>
      </c>
      <c r="AE32" s="13">
        <f>IF('Projections'!AE133="","",'Projections'!AE133)</f>
        <v/>
      </c>
      <c r="AF32" s="13">
        <f>IF('Projections'!AF133="","",'Projections'!AF133)</f>
        <v/>
      </c>
      <c r="AG32" s="13">
        <f>IF('Projections'!AG133="","",'Projections'!AG133)</f>
        <v/>
      </c>
      <c r="AH32" s="13">
        <f>IF('Projections'!AH133="","",'Projections'!AH133)</f>
        <v/>
      </c>
      <c r="AI32" s="13">
        <f>IF('Projections'!AI133="","",'Projections'!AI133)</f>
        <v/>
      </c>
      <c r="AJ32" s="13">
        <f>IF('Projections'!AJ133="","",'Projections'!AJ133)</f>
        <v/>
      </c>
      <c r="AK32" s="13">
        <f>IF('Projections'!AK133="","",'Projections'!AK133)</f>
        <v/>
      </c>
      <c r="AL32" s="13">
        <f>IF('Projections'!AL133="","",'Projections'!AL133)</f>
        <v/>
      </c>
      <c r="AM32" s="13">
        <f>IF('Projections'!AM133="","",'Projections'!AM133)</f>
        <v/>
      </c>
      <c r="AN32" s="13">
        <f>IF('Projections'!AN133="","",'Projections'!AN133)</f>
        <v/>
      </c>
    </row>
    <row r="33">
      <c r="AB33" s="19" t="n"/>
    </row>
    <row r="34">
      <c r="A34" s="5" t="inlineStr">
        <is>
          <t>BALANCE SHEET (CONSOLIDATED, REPORTED FORMAT)</t>
        </is>
      </c>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44" t="n"/>
      <c r="AC34" s="5" t="n"/>
      <c r="AD34" s="5" t="n"/>
      <c r="AE34" s="5" t="n"/>
      <c r="AF34" s="5" t="n"/>
      <c r="AG34" s="5" t="n"/>
      <c r="AH34" s="5" t="n"/>
      <c r="AI34" s="5" t="n"/>
      <c r="AJ34" s="5" t="n"/>
      <c r="AK34" s="5" t="n"/>
      <c r="AL34" s="5" t="n"/>
      <c r="AM34" s="5" t="n"/>
      <c r="AN34" s="5" t="n"/>
    </row>
    <row r="35">
      <c r="A35" s="17" t="inlineStr">
        <is>
          <t>Historical quarters/years link straight to Raw Data - financials actuals (full granularity). For FY27E-30E, only the lines that map to the Projections sheet's summarized Balance Sheet are populated (Property, plant and equipment carries the full 'Fixed assets &amp; intangibles, net' figure; Financial assets - Investments carries the combined Investments figure; Other non-current assets carries the combined Other assets figure; Borrowings [non-current] carries total Borrowings; Trade payables - other creditors carries total Trade payables; Other current liabilities carries combined Other liabilities) -- the remaining reported sub-lines in each group are left blank/0 for projected years. Subtotals (Total Non-Current/Current Assets etc.) are formulas here, not links, so they work for both historical and projected columns; they tie to the Raw Data actuals historically and to the Projections summarized Balance Sheet for FY27E-30E.</t>
        </is>
      </c>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45" t="n"/>
      <c r="AC35" s="17" t="n"/>
      <c r="AD35" s="17" t="n"/>
      <c r="AE35" s="17" t="n"/>
      <c r="AF35" s="17" t="n"/>
      <c r="AG35" s="17" t="n"/>
      <c r="AH35" s="17" t="n"/>
      <c r="AI35" s="17" t="n"/>
      <c r="AJ35" s="17" t="n"/>
      <c r="AK35" s="17" t="n"/>
      <c r="AL35" s="17" t="n"/>
      <c r="AM35" s="17" t="n"/>
      <c r="AN35" s="17" t="n"/>
    </row>
    <row r="36">
      <c r="A36" s="9" t="inlineStr">
        <is>
          <t>ASSETS</t>
        </is>
      </c>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46" t="n"/>
      <c r="AC36" s="9" t="n"/>
      <c r="AD36" s="9" t="n"/>
      <c r="AE36" s="9" t="n"/>
      <c r="AF36" s="9" t="n"/>
      <c r="AG36" s="9" t="n"/>
      <c r="AH36" s="9" t="n"/>
      <c r="AI36" s="9" t="n"/>
      <c r="AJ36" s="9" t="n"/>
      <c r="AK36" s="9" t="n"/>
      <c r="AL36" s="9" t="n"/>
      <c r="AM36" s="9" t="n"/>
      <c r="AN36" s="9" t="n"/>
    </row>
    <row r="37">
      <c r="A37" s="9" t="inlineStr">
        <is>
          <t>Non-current assets</t>
        </is>
      </c>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46" t="n"/>
      <c r="AC37" s="9" t="n"/>
      <c r="AD37" s="9" t="n"/>
      <c r="AE37" s="9" t="n"/>
      <c r="AF37" s="9" t="n"/>
      <c r="AG37" s="9" t="n"/>
      <c r="AH37" s="9" t="n"/>
      <c r="AI37" s="9" t="n"/>
      <c r="AJ37" s="9" t="n"/>
      <c r="AK37" s="9" t="n"/>
      <c r="AL37" s="9" t="n"/>
      <c r="AM37" s="9" t="n"/>
      <c r="AN37" s="9" t="n"/>
    </row>
    <row r="38" outlineLevel="1">
      <c r="A38" s="20" t="inlineStr">
        <is>
          <t>Property, plant and equipment</t>
        </is>
      </c>
      <c r="B38" s="17" t="inlineStr">
        <is>
          <t>Rs Mn</t>
        </is>
      </c>
      <c r="E38" s="71">
        <f>IF('Raw Data - financials'!E49="","",'Raw Data - financials'!E49)</f>
        <v/>
      </c>
      <c r="G38" s="71">
        <f>IF('Raw Data - financials'!G49="","",'Raw Data - financials'!G49)</f>
        <v/>
      </c>
      <c r="I38" s="71">
        <f>IF('Raw Data - financials'!I49="","",'Raw Data - financials'!I49)</f>
        <v/>
      </c>
      <c r="K38" s="71">
        <f>IF('Raw Data - financials'!K49="","",'Raw Data - financials'!K49)</f>
        <v/>
      </c>
      <c r="M38" s="71">
        <f>IF('Raw Data - financials'!M49="","",'Raw Data - financials'!M49)</f>
        <v/>
      </c>
      <c r="O38" s="71">
        <f>IF('Raw Data - financials'!O49="","",'Raw Data - financials'!O49)</f>
        <v/>
      </c>
      <c r="Q38" s="71">
        <f>IF('Raw Data - financials'!Q49="","",'Raw Data - financials'!Q49)</f>
        <v/>
      </c>
      <c r="S38" s="71">
        <f>IF('Raw Data - financials'!S49="","",'Raw Data - financials'!S49)</f>
        <v/>
      </c>
      <c r="U38" s="71">
        <f>IF('Raw Data - financials'!U49="","",'Raw Data - financials'!U49)</f>
        <v/>
      </c>
      <c r="W38" s="71">
        <f>IF('Raw Data - financials'!W49="","",'Raw Data - financials'!W49)</f>
        <v/>
      </c>
      <c r="AB38" s="19" t="n"/>
      <c r="AC38" s="72">
        <f>IF('Raw Data - financials'!AC49="","",'Raw Data - financials'!AC49)</f>
        <v/>
      </c>
      <c r="AD38" s="72">
        <f>IF('Raw Data - financials'!AD49="","",'Raw Data - financials'!AD49)</f>
        <v/>
      </c>
      <c r="AE38" s="72">
        <f>IF('Raw Data - financials'!AE49="","",'Raw Data - financials'!AE49)</f>
        <v/>
      </c>
      <c r="AF38" s="72">
        <f>IF('Raw Data - financials'!AF49="","",'Raw Data - financials'!AF49)</f>
        <v/>
      </c>
      <c r="AG38" s="72">
        <f>IF('Raw Data - financials'!AG49="","",'Raw Data - financials'!AG49)</f>
        <v/>
      </c>
      <c r="AH38" s="72">
        <f>IF('Raw Data - financials'!AH49="","",'Raw Data - financials'!AH49)</f>
        <v/>
      </c>
      <c r="AI38" s="72">
        <f>IF('Raw Data - financials'!AI49="","",'Raw Data - financials'!AI49)</f>
        <v/>
      </c>
      <c r="AJ38" s="72">
        <f>IF('Raw Data - financials'!AJ49="","",'Raw Data - financials'!AJ49)</f>
        <v/>
      </c>
      <c r="AK38" s="72">
        <f>IF('Projections'!AK139="","",'Projections'!AK139)</f>
        <v/>
      </c>
      <c r="AL38" s="72">
        <f>IF('Projections'!AL139="","",'Projections'!AL139)</f>
        <v/>
      </c>
      <c r="AM38" s="72">
        <f>IF('Projections'!AM139="","",'Projections'!AM139)</f>
        <v/>
      </c>
      <c r="AN38" s="72">
        <f>IF('Projections'!AN139="","",'Projections'!AN139)</f>
        <v/>
      </c>
    </row>
    <row r="39" outlineLevel="1">
      <c r="A39" s="20" t="inlineStr">
        <is>
          <t>Capital work-in-progress</t>
        </is>
      </c>
      <c r="B39" s="17" t="inlineStr">
        <is>
          <t>Rs Mn</t>
        </is>
      </c>
      <c r="E39" s="71">
        <f>IF('Raw Data - financials'!E50="","",'Raw Data - financials'!E50)</f>
        <v/>
      </c>
      <c r="G39" s="71">
        <f>IF('Raw Data - financials'!G50="","",'Raw Data - financials'!G50)</f>
        <v/>
      </c>
      <c r="I39" s="71">
        <f>IF('Raw Data - financials'!I50="","",'Raw Data - financials'!I50)</f>
        <v/>
      </c>
      <c r="K39" s="71">
        <f>IF('Raw Data - financials'!K50="","",'Raw Data - financials'!K50)</f>
        <v/>
      </c>
      <c r="M39" s="71">
        <f>IF('Raw Data - financials'!M50="","",'Raw Data - financials'!M50)</f>
        <v/>
      </c>
      <c r="O39" s="71">
        <f>IF('Raw Data - financials'!O50="","",'Raw Data - financials'!O50)</f>
        <v/>
      </c>
      <c r="Q39" s="71">
        <f>IF('Raw Data - financials'!Q50="","",'Raw Data - financials'!Q50)</f>
        <v/>
      </c>
      <c r="S39" s="71">
        <f>IF('Raw Data - financials'!S50="","",'Raw Data - financials'!S50)</f>
        <v/>
      </c>
      <c r="U39" s="71">
        <f>IF('Raw Data - financials'!U50="","",'Raw Data - financials'!U50)</f>
        <v/>
      </c>
      <c r="W39" s="71">
        <f>IF('Raw Data - financials'!W50="","",'Raw Data - financials'!W50)</f>
        <v/>
      </c>
      <c r="AB39" s="19" t="n"/>
      <c r="AC39" s="72">
        <f>IF('Raw Data - financials'!AC50="","",'Raw Data - financials'!AC50)</f>
        <v/>
      </c>
      <c r="AD39" s="72">
        <f>IF('Raw Data - financials'!AD50="","",'Raw Data - financials'!AD50)</f>
        <v/>
      </c>
      <c r="AE39" s="72">
        <f>IF('Raw Data - financials'!AE50="","",'Raw Data - financials'!AE50)</f>
        <v/>
      </c>
      <c r="AF39" s="72">
        <f>IF('Raw Data - financials'!AF50="","",'Raw Data - financials'!AF50)</f>
        <v/>
      </c>
      <c r="AG39" s="72">
        <f>IF('Raw Data - financials'!AG50="","",'Raw Data - financials'!AG50)</f>
        <v/>
      </c>
      <c r="AH39" s="72">
        <f>IF('Raw Data - financials'!AH50="","",'Raw Data - financials'!AH50)</f>
        <v/>
      </c>
      <c r="AI39" s="72">
        <f>IF('Raw Data - financials'!AI50="","",'Raw Data - financials'!AI50)</f>
        <v/>
      </c>
      <c r="AJ39" s="72">
        <f>IF('Raw Data - financials'!AJ50="","",'Raw Data - financials'!AJ50)</f>
        <v/>
      </c>
      <c r="AK39" s="72" t="n">
        <v>0</v>
      </c>
      <c r="AL39" s="72" t="n">
        <v>0</v>
      </c>
      <c r="AM39" s="72" t="n">
        <v>0</v>
      </c>
      <c r="AN39" s="72" t="n">
        <v>0</v>
      </c>
    </row>
    <row r="40" outlineLevel="1">
      <c r="A40" s="20" t="inlineStr">
        <is>
          <t>Goodwill</t>
        </is>
      </c>
      <c r="B40" s="17" t="inlineStr">
        <is>
          <t>Rs Mn</t>
        </is>
      </c>
      <c r="E40" s="71">
        <f>IF('Raw Data - financials'!E51="","",'Raw Data - financials'!E51)</f>
        <v/>
      </c>
      <c r="G40" s="71">
        <f>IF('Raw Data - financials'!G51="","",'Raw Data - financials'!G51)</f>
        <v/>
      </c>
      <c r="I40" s="71">
        <f>IF('Raw Data - financials'!I51="","",'Raw Data - financials'!I51)</f>
        <v/>
      </c>
      <c r="K40" s="71">
        <f>IF('Raw Data - financials'!K51="","",'Raw Data - financials'!K51)</f>
        <v/>
      </c>
      <c r="M40" s="71">
        <f>IF('Raw Data - financials'!M51="","",'Raw Data - financials'!M51)</f>
        <v/>
      </c>
      <c r="O40" s="71">
        <f>IF('Raw Data - financials'!O51="","",'Raw Data - financials'!O51)</f>
        <v/>
      </c>
      <c r="Q40" s="71">
        <f>IF('Raw Data - financials'!Q51="","",'Raw Data - financials'!Q51)</f>
        <v/>
      </c>
      <c r="S40" s="71">
        <f>IF('Raw Data - financials'!S51="","",'Raw Data - financials'!S51)</f>
        <v/>
      </c>
      <c r="U40" s="71">
        <f>IF('Raw Data - financials'!U51="","",'Raw Data - financials'!U51)</f>
        <v/>
      </c>
      <c r="W40" s="71">
        <f>IF('Raw Data - financials'!W51="","",'Raw Data - financials'!W51)</f>
        <v/>
      </c>
      <c r="AB40" s="19" t="n"/>
      <c r="AC40" s="72">
        <f>IF('Raw Data - financials'!AC51="","",'Raw Data - financials'!AC51)</f>
        <v/>
      </c>
      <c r="AD40" s="72">
        <f>IF('Raw Data - financials'!AD51="","",'Raw Data - financials'!AD51)</f>
        <v/>
      </c>
      <c r="AE40" s="72">
        <f>IF('Raw Data - financials'!AE51="","",'Raw Data - financials'!AE51)</f>
        <v/>
      </c>
      <c r="AF40" s="72">
        <f>IF('Raw Data - financials'!AF51="","",'Raw Data - financials'!AF51)</f>
        <v/>
      </c>
      <c r="AG40" s="72">
        <f>IF('Raw Data - financials'!AG51="","",'Raw Data - financials'!AG51)</f>
        <v/>
      </c>
      <c r="AH40" s="72">
        <f>IF('Raw Data - financials'!AH51="","",'Raw Data - financials'!AH51)</f>
        <v/>
      </c>
      <c r="AI40" s="72">
        <f>IF('Raw Data - financials'!AI51="","",'Raw Data - financials'!AI51)</f>
        <v/>
      </c>
      <c r="AJ40" s="72">
        <f>IF('Raw Data - financials'!AJ51="","",'Raw Data - financials'!AJ51)</f>
        <v/>
      </c>
      <c r="AK40" s="72" t="n">
        <v>0</v>
      </c>
      <c r="AL40" s="72" t="n">
        <v>0</v>
      </c>
      <c r="AM40" s="72" t="n">
        <v>0</v>
      </c>
      <c r="AN40" s="72" t="n">
        <v>0</v>
      </c>
    </row>
    <row r="41" outlineLevel="1">
      <c r="A41" s="20" t="inlineStr">
        <is>
          <t>Other intangible assets</t>
        </is>
      </c>
      <c r="B41" s="17" t="inlineStr">
        <is>
          <t>Rs Mn</t>
        </is>
      </c>
      <c r="E41" s="71">
        <f>IF('Raw Data - financials'!E52="","",'Raw Data - financials'!E52)</f>
        <v/>
      </c>
      <c r="G41" s="71">
        <f>IF('Raw Data - financials'!G52="","",'Raw Data - financials'!G52)</f>
        <v/>
      </c>
      <c r="I41" s="71">
        <f>IF('Raw Data - financials'!I52="","",'Raw Data - financials'!I52)</f>
        <v/>
      </c>
      <c r="K41" s="71">
        <f>IF('Raw Data - financials'!K52="","",'Raw Data - financials'!K52)</f>
        <v/>
      </c>
      <c r="M41" s="71">
        <f>IF('Raw Data - financials'!M52="","",'Raw Data - financials'!M52)</f>
        <v/>
      </c>
      <c r="O41" s="71">
        <f>IF('Raw Data - financials'!O52="","",'Raw Data - financials'!O52)</f>
        <v/>
      </c>
      <c r="Q41" s="71">
        <f>IF('Raw Data - financials'!Q52="","",'Raw Data - financials'!Q52)</f>
        <v/>
      </c>
      <c r="S41" s="71">
        <f>IF('Raw Data - financials'!S52="","",'Raw Data - financials'!S52)</f>
        <v/>
      </c>
      <c r="U41" s="71">
        <f>IF('Raw Data - financials'!U52="","",'Raw Data - financials'!U52)</f>
        <v/>
      </c>
      <c r="W41" s="71">
        <f>IF('Raw Data - financials'!W52="","",'Raw Data - financials'!W52)</f>
        <v/>
      </c>
      <c r="AB41" s="19" t="n"/>
      <c r="AC41" s="72">
        <f>IF('Raw Data - financials'!AC52="","",'Raw Data - financials'!AC52)</f>
        <v/>
      </c>
      <c r="AD41" s="72">
        <f>IF('Raw Data - financials'!AD52="","",'Raw Data - financials'!AD52)</f>
        <v/>
      </c>
      <c r="AE41" s="72">
        <f>IF('Raw Data - financials'!AE52="","",'Raw Data - financials'!AE52)</f>
        <v/>
      </c>
      <c r="AF41" s="72">
        <f>IF('Raw Data - financials'!AF52="","",'Raw Data - financials'!AF52)</f>
        <v/>
      </c>
      <c r="AG41" s="72">
        <f>IF('Raw Data - financials'!AG52="","",'Raw Data - financials'!AG52)</f>
        <v/>
      </c>
      <c r="AH41" s="72">
        <f>IF('Raw Data - financials'!AH52="","",'Raw Data - financials'!AH52)</f>
        <v/>
      </c>
      <c r="AI41" s="72">
        <f>IF('Raw Data - financials'!AI52="","",'Raw Data - financials'!AI52)</f>
        <v/>
      </c>
      <c r="AJ41" s="72">
        <f>IF('Raw Data - financials'!AJ52="","",'Raw Data - financials'!AJ52)</f>
        <v/>
      </c>
      <c r="AK41" s="72" t="n">
        <v>0</v>
      </c>
      <c r="AL41" s="72" t="n">
        <v>0</v>
      </c>
      <c r="AM41" s="72" t="n">
        <v>0</v>
      </c>
      <c r="AN41" s="72" t="n">
        <v>0</v>
      </c>
    </row>
    <row r="42" outlineLevel="1">
      <c r="A42" s="20" t="inlineStr">
        <is>
          <t>Right of use assets</t>
        </is>
      </c>
      <c r="B42" s="17" t="inlineStr">
        <is>
          <t>Rs Mn</t>
        </is>
      </c>
      <c r="E42" s="71">
        <f>IF('Raw Data - financials'!E53="","",'Raw Data - financials'!E53)</f>
        <v/>
      </c>
      <c r="G42" s="71">
        <f>IF('Raw Data - financials'!G53="","",'Raw Data - financials'!G53)</f>
        <v/>
      </c>
      <c r="I42" s="71">
        <f>IF('Raw Data - financials'!I53="","",'Raw Data - financials'!I53)</f>
        <v/>
      </c>
      <c r="K42" s="71">
        <f>IF('Raw Data - financials'!K53="","",'Raw Data - financials'!K53)</f>
        <v/>
      </c>
      <c r="M42" s="71">
        <f>IF('Raw Data - financials'!M53="","",'Raw Data - financials'!M53)</f>
        <v/>
      </c>
      <c r="O42" s="71">
        <f>IF('Raw Data - financials'!O53="","",'Raw Data - financials'!O53)</f>
        <v/>
      </c>
      <c r="Q42" s="71">
        <f>IF('Raw Data - financials'!Q53="","",'Raw Data - financials'!Q53)</f>
        <v/>
      </c>
      <c r="S42" s="71">
        <f>IF('Raw Data - financials'!S53="","",'Raw Data - financials'!S53)</f>
        <v/>
      </c>
      <c r="U42" s="71">
        <f>IF('Raw Data - financials'!U53="","",'Raw Data - financials'!U53)</f>
        <v/>
      </c>
      <c r="W42" s="71">
        <f>IF('Raw Data - financials'!W53="","",'Raw Data - financials'!W53)</f>
        <v/>
      </c>
      <c r="AB42" s="19" t="n"/>
      <c r="AC42" s="72">
        <f>IF('Raw Data - financials'!AC53="","",'Raw Data - financials'!AC53)</f>
        <v/>
      </c>
      <c r="AD42" s="72">
        <f>IF('Raw Data - financials'!AD53="","",'Raw Data - financials'!AD53)</f>
        <v/>
      </c>
      <c r="AE42" s="72">
        <f>IF('Raw Data - financials'!AE53="","",'Raw Data - financials'!AE53)</f>
        <v/>
      </c>
      <c r="AF42" s="72">
        <f>IF('Raw Data - financials'!AF53="","",'Raw Data - financials'!AF53)</f>
        <v/>
      </c>
      <c r="AG42" s="72">
        <f>IF('Raw Data - financials'!AG53="","",'Raw Data - financials'!AG53)</f>
        <v/>
      </c>
      <c r="AH42" s="72">
        <f>IF('Raw Data - financials'!AH53="","",'Raw Data - financials'!AH53)</f>
        <v/>
      </c>
      <c r="AI42" s="72">
        <f>IF('Raw Data - financials'!AI53="","",'Raw Data - financials'!AI53)</f>
        <v/>
      </c>
      <c r="AJ42" s="72">
        <f>IF('Raw Data - financials'!AJ53="","",'Raw Data - financials'!AJ53)</f>
        <v/>
      </c>
      <c r="AK42" s="72" t="n">
        <v>0</v>
      </c>
      <c r="AL42" s="72" t="n">
        <v>0</v>
      </c>
      <c r="AM42" s="72" t="n">
        <v>0</v>
      </c>
      <c r="AN42" s="72" t="n">
        <v>0</v>
      </c>
    </row>
    <row r="43" outlineLevel="1">
      <c r="A43" s="20" t="inlineStr">
        <is>
          <t>Intangible assets under development</t>
        </is>
      </c>
      <c r="B43" s="17" t="inlineStr">
        <is>
          <t>Rs Mn</t>
        </is>
      </c>
      <c r="E43" s="71">
        <f>IF('Raw Data - financials'!E54="","",'Raw Data - financials'!E54)</f>
        <v/>
      </c>
      <c r="G43" s="71">
        <f>IF('Raw Data - financials'!G54="","",'Raw Data - financials'!G54)</f>
        <v/>
      </c>
      <c r="I43" s="71">
        <f>IF('Raw Data - financials'!I54="","",'Raw Data - financials'!I54)</f>
        <v/>
      </c>
      <c r="K43" s="71">
        <f>IF('Raw Data - financials'!K54="","",'Raw Data - financials'!K54)</f>
        <v/>
      </c>
      <c r="M43" s="71">
        <f>IF('Raw Data - financials'!M54="","",'Raw Data - financials'!M54)</f>
        <v/>
      </c>
      <c r="O43" s="71">
        <f>IF('Raw Data - financials'!O54="","",'Raw Data - financials'!O54)</f>
        <v/>
      </c>
      <c r="Q43" s="71">
        <f>IF('Raw Data - financials'!Q54="","",'Raw Data - financials'!Q54)</f>
        <v/>
      </c>
      <c r="S43" s="71">
        <f>IF('Raw Data - financials'!S54="","",'Raw Data - financials'!S54)</f>
        <v/>
      </c>
      <c r="U43" s="71">
        <f>IF('Raw Data - financials'!U54="","",'Raw Data - financials'!U54)</f>
        <v/>
      </c>
      <c r="W43" s="71">
        <f>IF('Raw Data - financials'!W54="","",'Raw Data - financials'!W54)</f>
        <v/>
      </c>
      <c r="AB43" s="19" t="n"/>
      <c r="AC43" s="72">
        <f>IF('Raw Data - financials'!AC54="","",'Raw Data - financials'!AC54)</f>
        <v/>
      </c>
      <c r="AD43" s="72">
        <f>IF('Raw Data - financials'!AD54="","",'Raw Data - financials'!AD54)</f>
        <v/>
      </c>
      <c r="AE43" s="72">
        <f>IF('Raw Data - financials'!AE54="","",'Raw Data - financials'!AE54)</f>
        <v/>
      </c>
      <c r="AF43" s="72">
        <f>IF('Raw Data - financials'!AF54="","",'Raw Data - financials'!AF54)</f>
        <v/>
      </c>
      <c r="AG43" s="72">
        <f>IF('Raw Data - financials'!AG54="","",'Raw Data - financials'!AG54)</f>
        <v/>
      </c>
      <c r="AH43" s="72">
        <f>IF('Raw Data - financials'!AH54="","",'Raw Data - financials'!AH54)</f>
        <v/>
      </c>
      <c r="AI43" s="72">
        <f>IF('Raw Data - financials'!AI54="","",'Raw Data - financials'!AI54)</f>
        <v/>
      </c>
      <c r="AJ43" s="72">
        <f>IF('Raw Data - financials'!AJ54="","",'Raw Data - financials'!AJ54)</f>
        <v/>
      </c>
      <c r="AK43" s="72" t="n">
        <v>0</v>
      </c>
      <c r="AL43" s="72" t="n">
        <v>0</v>
      </c>
      <c r="AM43" s="72" t="n">
        <v>0</v>
      </c>
      <c r="AN43" s="72" t="n">
        <v>0</v>
      </c>
    </row>
    <row r="44" outlineLevel="1">
      <c r="A44" s="20" t="inlineStr">
        <is>
          <t>Investments accounted for using equity method</t>
        </is>
      </c>
      <c r="B44" s="17" t="inlineStr">
        <is>
          <t>Rs Mn</t>
        </is>
      </c>
      <c r="E44" s="71">
        <f>IF('Raw Data - financials'!E55="","",'Raw Data - financials'!E55)</f>
        <v/>
      </c>
      <c r="G44" s="71">
        <f>IF('Raw Data - financials'!G55="","",'Raw Data - financials'!G55)</f>
        <v/>
      </c>
      <c r="I44" s="71">
        <f>IF('Raw Data - financials'!I55="","",'Raw Data - financials'!I55)</f>
        <v/>
      </c>
      <c r="K44" s="71">
        <f>IF('Raw Data - financials'!K55="","",'Raw Data - financials'!K55)</f>
        <v/>
      </c>
      <c r="M44" s="71">
        <f>IF('Raw Data - financials'!M55="","",'Raw Data - financials'!M55)</f>
        <v/>
      </c>
      <c r="O44" s="71">
        <f>IF('Raw Data - financials'!O55="","",'Raw Data - financials'!O55)</f>
        <v/>
      </c>
      <c r="Q44" s="71">
        <f>IF('Raw Data - financials'!Q55="","",'Raw Data - financials'!Q55)</f>
        <v/>
      </c>
      <c r="S44" s="71">
        <f>IF('Raw Data - financials'!S55="","",'Raw Data - financials'!S55)</f>
        <v/>
      </c>
      <c r="U44" s="71">
        <f>IF('Raw Data - financials'!U55="","",'Raw Data - financials'!U55)</f>
        <v/>
      </c>
      <c r="W44" s="71">
        <f>IF('Raw Data - financials'!W55="","",'Raw Data - financials'!W55)</f>
        <v/>
      </c>
      <c r="AB44" s="19" t="n"/>
      <c r="AC44" s="72">
        <f>IF('Raw Data - financials'!AC55="","",'Raw Data - financials'!AC55)</f>
        <v/>
      </c>
      <c r="AD44" s="72">
        <f>IF('Raw Data - financials'!AD55="","",'Raw Data - financials'!AD55)</f>
        <v/>
      </c>
      <c r="AE44" s="72">
        <f>IF('Raw Data - financials'!AE55="","",'Raw Data - financials'!AE55)</f>
        <v/>
      </c>
      <c r="AF44" s="72">
        <f>IF('Raw Data - financials'!AF55="","",'Raw Data - financials'!AF55)</f>
        <v/>
      </c>
      <c r="AG44" s="72">
        <f>IF('Raw Data - financials'!AG55="","",'Raw Data - financials'!AG55)</f>
        <v/>
      </c>
      <c r="AH44" s="72">
        <f>IF('Raw Data - financials'!AH55="","",'Raw Data - financials'!AH55)</f>
        <v/>
      </c>
      <c r="AI44" s="72">
        <f>IF('Raw Data - financials'!AI55="","",'Raw Data - financials'!AI55)</f>
        <v/>
      </c>
      <c r="AJ44" s="72">
        <f>IF('Raw Data - financials'!AJ55="","",'Raw Data - financials'!AJ55)</f>
        <v/>
      </c>
      <c r="AK44" s="72" t="n">
        <v>0</v>
      </c>
      <c r="AL44" s="72" t="n">
        <v>0</v>
      </c>
      <c r="AM44" s="72" t="n">
        <v>0</v>
      </c>
      <c r="AN44" s="72" t="n">
        <v>0</v>
      </c>
    </row>
    <row r="45" outlineLevel="1">
      <c r="A45" s="20" t="inlineStr">
        <is>
          <t>Financial assets - Investments</t>
        </is>
      </c>
      <c r="B45" s="17" t="inlineStr">
        <is>
          <t>Rs Mn</t>
        </is>
      </c>
      <c r="E45" s="71">
        <f>IF('Raw Data - financials'!E56="","",'Raw Data - financials'!E56)</f>
        <v/>
      </c>
      <c r="G45" s="71">
        <f>IF('Raw Data - financials'!G56="","",'Raw Data - financials'!G56)</f>
        <v/>
      </c>
      <c r="I45" s="71">
        <f>IF('Raw Data - financials'!I56="","",'Raw Data - financials'!I56)</f>
        <v/>
      </c>
      <c r="K45" s="71">
        <f>IF('Raw Data - financials'!K56="","",'Raw Data - financials'!K56)</f>
        <v/>
      </c>
      <c r="M45" s="71">
        <f>IF('Raw Data - financials'!M56="","",'Raw Data - financials'!M56)</f>
        <v/>
      </c>
      <c r="O45" s="71">
        <f>IF('Raw Data - financials'!O56="","",'Raw Data - financials'!O56)</f>
        <v/>
      </c>
      <c r="Q45" s="71">
        <f>IF('Raw Data - financials'!Q56="","",'Raw Data - financials'!Q56)</f>
        <v/>
      </c>
      <c r="S45" s="71">
        <f>IF('Raw Data - financials'!S56="","",'Raw Data - financials'!S56)</f>
        <v/>
      </c>
      <c r="U45" s="71">
        <f>IF('Raw Data - financials'!U56="","",'Raw Data - financials'!U56)</f>
        <v/>
      </c>
      <c r="W45" s="71">
        <f>IF('Raw Data - financials'!W56="","",'Raw Data - financials'!W56)</f>
        <v/>
      </c>
      <c r="AB45" s="19" t="n"/>
      <c r="AC45" s="72">
        <f>IF('Raw Data - financials'!AC56="","",'Raw Data - financials'!AC56)</f>
        <v/>
      </c>
      <c r="AD45" s="72">
        <f>IF('Raw Data - financials'!AD56="","",'Raw Data - financials'!AD56)</f>
        <v/>
      </c>
      <c r="AE45" s="72">
        <f>IF('Raw Data - financials'!AE56="","",'Raw Data - financials'!AE56)</f>
        <v/>
      </c>
      <c r="AF45" s="72">
        <f>IF('Raw Data - financials'!AF56="","",'Raw Data - financials'!AF56)</f>
        <v/>
      </c>
      <c r="AG45" s="72">
        <f>IF('Raw Data - financials'!AG56="","",'Raw Data - financials'!AG56)</f>
        <v/>
      </c>
      <c r="AH45" s="72">
        <f>IF('Raw Data - financials'!AH56="","",'Raw Data - financials'!AH56)</f>
        <v/>
      </c>
      <c r="AI45" s="72">
        <f>IF('Raw Data - financials'!AI56="","",'Raw Data - financials'!AI56)</f>
        <v/>
      </c>
      <c r="AJ45" s="72">
        <f>IF('Raw Data - financials'!AJ56="","",'Raw Data - financials'!AJ56)</f>
        <v/>
      </c>
      <c r="AK45" s="72">
        <f>IF('Projections'!AK140="","",'Projections'!AK140)</f>
        <v/>
      </c>
      <c r="AL45" s="72">
        <f>IF('Projections'!AL140="","",'Projections'!AL140)</f>
        <v/>
      </c>
      <c r="AM45" s="72">
        <f>IF('Projections'!AM140="","",'Projections'!AM140)</f>
        <v/>
      </c>
      <c r="AN45" s="72">
        <f>IF('Projections'!AN140="","",'Projections'!AN140)</f>
        <v/>
      </c>
    </row>
    <row r="46" outlineLevel="1">
      <c r="A46" s="20" t="inlineStr">
        <is>
          <t>Financial assets - Loans</t>
        </is>
      </c>
      <c r="B46" s="17" t="inlineStr">
        <is>
          <t>Rs Mn</t>
        </is>
      </c>
      <c r="E46" s="71">
        <f>IF('Raw Data - financials'!E57="","",'Raw Data - financials'!E57)</f>
        <v/>
      </c>
      <c r="G46" s="71">
        <f>IF('Raw Data - financials'!G57="","",'Raw Data - financials'!G57)</f>
        <v/>
      </c>
      <c r="I46" s="71">
        <f>IF('Raw Data - financials'!I57="","",'Raw Data - financials'!I57)</f>
        <v/>
      </c>
      <c r="K46" s="71">
        <f>IF('Raw Data - financials'!K57="","",'Raw Data - financials'!K57)</f>
        <v/>
      </c>
      <c r="M46" s="71">
        <f>IF('Raw Data - financials'!M57="","",'Raw Data - financials'!M57)</f>
        <v/>
      </c>
      <c r="O46" s="71">
        <f>IF('Raw Data - financials'!O57="","",'Raw Data - financials'!O57)</f>
        <v/>
      </c>
      <c r="Q46" s="71">
        <f>IF('Raw Data - financials'!Q57="","",'Raw Data - financials'!Q57)</f>
        <v/>
      </c>
      <c r="S46" s="71">
        <f>IF('Raw Data - financials'!S57="","",'Raw Data - financials'!S57)</f>
        <v/>
      </c>
      <c r="U46" s="71">
        <f>IF('Raw Data - financials'!U57="","",'Raw Data - financials'!U57)</f>
        <v/>
      </c>
      <c r="W46" s="71">
        <f>IF('Raw Data - financials'!W57="","",'Raw Data - financials'!W57)</f>
        <v/>
      </c>
      <c r="AB46" s="19" t="n"/>
      <c r="AC46" s="72">
        <f>IF('Raw Data - financials'!AC57="","",'Raw Data - financials'!AC57)</f>
        <v/>
      </c>
      <c r="AD46" s="72">
        <f>IF('Raw Data - financials'!AD57="","",'Raw Data - financials'!AD57)</f>
        <v/>
      </c>
      <c r="AE46" s="72">
        <f>IF('Raw Data - financials'!AE57="","",'Raw Data - financials'!AE57)</f>
        <v/>
      </c>
      <c r="AF46" s="72">
        <f>IF('Raw Data - financials'!AF57="","",'Raw Data - financials'!AF57)</f>
        <v/>
      </c>
      <c r="AG46" s="72">
        <f>IF('Raw Data - financials'!AG57="","",'Raw Data - financials'!AG57)</f>
        <v/>
      </c>
      <c r="AH46" s="72">
        <f>IF('Raw Data - financials'!AH57="","",'Raw Data - financials'!AH57)</f>
        <v/>
      </c>
      <c r="AI46" s="72">
        <f>IF('Raw Data - financials'!AI57="","",'Raw Data - financials'!AI57)</f>
        <v/>
      </c>
      <c r="AJ46" s="72">
        <f>IF('Raw Data - financials'!AJ57="","",'Raw Data - financials'!AJ57)</f>
        <v/>
      </c>
      <c r="AK46" s="72" t="n">
        <v>0</v>
      </c>
      <c r="AL46" s="72" t="n">
        <v>0</v>
      </c>
      <c r="AM46" s="72" t="n">
        <v>0</v>
      </c>
      <c r="AN46" s="72" t="n">
        <v>0</v>
      </c>
    </row>
    <row r="47" outlineLevel="1">
      <c r="A47" s="20" t="inlineStr">
        <is>
          <t>Financial assets - Other financial assets</t>
        </is>
      </c>
      <c r="B47" s="17" t="inlineStr">
        <is>
          <t>Rs Mn</t>
        </is>
      </c>
      <c r="E47" s="71">
        <f>IF('Raw Data - financials'!E58="","",'Raw Data - financials'!E58)</f>
        <v/>
      </c>
      <c r="G47" s="71">
        <f>IF('Raw Data - financials'!G58="","",'Raw Data - financials'!G58)</f>
        <v/>
      </c>
      <c r="I47" s="71">
        <f>IF('Raw Data - financials'!I58="","",'Raw Data - financials'!I58)</f>
        <v/>
      </c>
      <c r="K47" s="71">
        <f>IF('Raw Data - financials'!K58="","",'Raw Data - financials'!K58)</f>
        <v/>
      </c>
      <c r="M47" s="71">
        <f>IF('Raw Data - financials'!M58="","",'Raw Data - financials'!M58)</f>
        <v/>
      </c>
      <c r="O47" s="71">
        <f>IF('Raw Data - financials'!O58="","",'Raw Data - financials'!O58)</f>
        <v/>
      </c>
      <c r="Q47" s="71">
        <f>IF('Raw Data - financials'!Q58="","",'Raw Data - financials'!Q58)</f>
        <v/>
      </c>
      <c r="S47" s="71">
        <f>IF('Raw Data - financials'!S58="","",'Raw Data - financials'!S58)</f>
        <v/>
      </c>
      <c r="U47" s="71">
        <f>IF('Raw Data - financials'!U58="","",'Raw Data - financials'!U58)</f>
        <v/>
      </c>
      <c r="W47" s="71">
        <f>IF('Raw Data - financials'!W58="","",'Raw Data - financials'!W58)</f>
        <v/>
      </c>
      <c r="AB47" s="19" t="n"/>
      <c r="AC47" s="72">
        <f>IF('Raw Data - financials'!AC58="","",'Raw Data - financials'!AC58)</f>
        <v/>
      </c>
      <c r="AD47" s="72">
        <f>IF('Raw Data - financials'!AD58="","",'Raw Data - financials'!AD58)</f>
        <v/>
      </c>
      <c r="AE47" s="72">
        <f>IF('Raw Data - financials'!AE58="","",'Raw Data - financials'!AE58)</f>
        <v/>
      </c>
      <c r="AF47" s="72">
        <f>IF('Raw Data - financials'!AF58="","",'Raw Data - financials'!AF58)</f>
        <v/>
      </c>
      <c r="AG47" s="72">
        <f>IF('Raw Data - financials'!AG58="","",'Raw Data - financials'!AG58)</f>
        <v/>
      </c>
      <c r="AH47" s="72">
        <f>IF('Raw Data - financials'!AH58="","",'Raw Data - financials'!AH58)</f>
        <v/>
      </c>
      <c r="AI47" s="72">
        <f>IF('Raw Data - financials'!AI58="","",'Raw Data - financials'!AI58)</f>
        <v/>
      </c>
      <c r="AJ47" s="72">
        <f>IF('Raw Data - financials'!AJ58="","",'Raw Data - financials'!AJ58)</f>
        <v/>
      </c>
      <c r="AK47" s="72" t="n">
        <v>0</v>
      </c>
      <c r="AL47" s="72" t="n">
        <v>0</v>
      </c>
      <c r="AM47" s="72" t="n">
        <v>0</v>
      </c>
      <c r="AN47" s="72" t="n">
        <v>0</v>
      </c>
    </row>
    <row r="48" outlineLevel="1">
      <c r="A48" s="20" t="inlineStr">
        <is>
          <t>Deferred tax assets (net)</t>
        </is>
      </c>
      <c r="B48" s="17" t="inlineStr">
        <is>
          <t>Rs Mn</t>
        </is>
      </c>
      <c r="E48" s="71">
        <f>IF('Raw Data - financials'!E59="","",'Raw Data - financials'!E59)</f>
        <v/>
      </c>
      <c r="G48" s="71">
        <f>IF('Raw Data - financials'!G59="","",'Raw Data - financials'!G59)</f>
        <v/>
      </c>
      <c r="I48" s="71">
        <f>IF('Raw Data - financials'!I59="","",'Raw Data - financials'!I59)</f>
        <v/>
      </c>
      <c r="K48" s="71">
        <f>IF('Raw Data - financials'!K59="","",'Raw Data - financials'!K59)</f>
        <v/>
      </c>
      <c r="M48" s="71">
        <f>IF('Raw Data - financials'!M59="","",'Raw Data - financials'!M59)</f>
        <v/>
      </c>
      <c r="O48" s="71">
        <f>IF('Raw Data - financials'!O59="","",'Raw Data - financials'!O59)</f>
        <v/>
      </c>
      <c r="Q48" s="71">
        <f>IF('Raw Data - financials'!Q59="","",'Raw Data - financials'!Q59)</f>
        <v/>
      </c>
      <c r="S48" s="71">
        <f>IF('Raw Data - financials'!S59="","",'Raw Data - financials'!S59)</f>
        <v/>
      </c>
      <c r="U48" s="71">
        <f>IF('Raw Data - financials'!U59="","",'Raw Data - financials'!U59)</f>
        <v/>
      </c>
      <c r="W48" s="71">
        <f>IF('Raw Data - financials'!W59="","",'Raw Data - financials'!W59)</f>
        <v/>
      </c>
      <c r="AB48" s="19" t="n"/>
      <c r="AC48" s="72">
        <f>IF('Raw Data - financials'!AC59="","",'Raw Data - financials'!AC59)</f>
        <v/>
      </c>
      <c r="AD48" s="72">
        <f>IF('Raw Data - financials'!AD59="","",'Raw Data - financials'!AD59)</f>
        <v/>
      </c>
      <c r="AE48" s="72">
        <f>IF('Raw Data - financials'!AE59="","",'Raw Data - financials'!AE59)</f>
        <v/>
      </c>
      <c r="AF48" s="72">
        <f>IF('Raw Data - financials'!AF59="","",'Raw Data - financials'!AF59)</f>
        <v/>
      </c>
      <c r="AG48" s="72">
        <f>IF('Raw Data - financials'!AG59="","",'Raw Data - financials'!AG59)</f>
        <v/>
      </c>
      <c r="AH48" s="72">
        <f>IF('Raw Data - financials'!AH59="","",'Raw Data - financials'!AH59)</f>
        <v/>
      </c>
      <c r="AI48" s="72">
        <f>IF('Raw Data - financials'!AI59="","",'Raw Data - financials'!AI59)</f>
        <v/>
      </c>
      <c r="AJ48" s="72">
        <f>IF('Raw Data - financials'!AJ59="","",'Raw Data - financials'!AJ59)</f>
        <v/>
      </c>
      <c r="AK48" s="72" t="n">
        <v>0</v>
      </c>
      <c r="AL48" s="72" t="n">
        <v>0</v>
      </c>
      <c r="AM48" s="72" t="n">
        <v>0</v>
      </c>
      <c r="AN48" s="72" t="n">
        <v>0</v>
      </c>
    </row>
    <row r="49" outlineLevel="1">
      <c r="A49" s="20" t="inlineStr">
        <is>
          <t>Non-current tax assets (net)</t>
        </is>
      </c>
      <c r="B49" s="17" t="inlineStr">
        <is>
          <t>Rs Mn</t>
        </is>
      </c>
      <c r="E49" s="71">
        <f>IF('Raw Data - financials'!E60="","",'Raw Data - financials'!E60)</f>
        <v/>
      </c>
      <c r="G49" s="71">
        <f>IF('Raw Data - financials'!G60="","",'Raw Data - financials'!G60)</f>
        <v/>
      </c>
      <c r="I49" s="71">
        <f>IF('Raw Data - financials'!I60="","",'Raw Data - financials'!I60)</f>
        <v/>
      </c>
      <c r="K49" s="71">
        <f>IF('Raw Data - financials'!K60="","",'Raw Data - financials'!K60)</f>
        <v/>
      </c>
      <c r="M49" s="71">
        <f>IF('Raw Data - financials'!M60="","",'Raw Data - financials'!M60)</f>
        <v/>
      </c>
      <c r="O49" s="71">
        <f>IF('Raw Data - financials'!O60="","",'Raw Data - financials'!O60)</f>
        <v/>
      </c>
      <c r="Q49" s="71">
        <f>IF('Raw Data - financials'!Q60="","",'Raw Data - financials'!Q60)</f>
        <v/>
      </c>
      <c r="S49" s="71">
        <f>IF('Raw Data - financials'!S60="","",'Raw Data - financials'!S60)</f>
        <v/>
      </c>
      <c r="U49" s="71">
        <f>IF('Raw Data - financials'!U60="","",'Raw Data - financials'!U60)</f>
        <v/>
      </c>
      <c r="W49" s="71">
        <f>IF('Raw Data - financials'!W60="","",'Raw Data - financials'!W60)</f>
        <v/>
      </c>
      <c r="AB49" s="19" t="n"/>
      <c r="AC49" s="72">
        <f>IF('Raw Data - financials'!AC60="","",'Raw Data - financials'!AC60)</f>
        <v/>
      </c>
      <c r="AD49" s="72">
        <f>IF('Raw Data - financials'!AD60="","",'Raw Data - financials'!AD60)</f>
        <v/>
      </c>
      <c r="AE49" s="72">
        <f>IF('Raw Data - financials'!AE60="","",'Raw Data - financials'!AE60)</f>
        <v/>
      </c>
      <c r="AF49" s="72">
        <f>IF('Raw Data - financials'!AF60="","",'Raw Data - financials'!AF60)</f>
        <v/>
      </c>
      <c r="AG49" s="72">
        <f>IF('Raw Data - financials'!AG60="","",'Raw Data - financials'!AG60)</f>
        <v/>
      </c>
      <c r="AH49" s="72">
        <f>IF('Raw Data - financials'!AH60="","",'Raw Data - financials'!AH60)</f>
        <v/>
      </c>
      <c r="AI49" s="72">
        <f>IF('Raw Data - financials'!AI60="","",'Raw Data - financials'!AI60)</f>
        <v/>
      </c>
      <c r="AJ49" s="72">
        <f>IF('Raw Data - financials'!AJ60="","",'Raw Data - financials'!AJ60)</f>
        <v/>
      </c>
      <c r="AK49" s="72" t="n">
        <v>0</v>
      </c>
      <c r="AL49" s="72" t="n">
        <v>0</v>
      </c>
      <c r="AM49" s="72" t="n">
        <v>0</v>
      </c>
      <c r="AN49" s="72" t="n">
        <v>0</v>
      </c>
    </row>
    <row r="50" outlineLevel="1">
      <c r="A50" s="20" t="inlineStr">
        <is>
          <t>Other non-current assets</t>
        </is>
      </c>
      <c r="B50" s="17" t="inlineStr">
        <is>
          <t>Rs Mn</t>
        </is>
      </c>
      <c r="E50" s="71">
        <f>IF('Raw Data - financials'!E61="","",'Raw Data - financials'!E61)</f>
        <v/>
      </c>
      <c r="G50" s="71">
        <f>IF('Raw Data - financials'!G61="","",'Raw Data - financials'!G61)</f>
        <v/>
      </c>
      <c r="I50" s="71">
        <f>IF('Raw Data - financials'!I61="","",'Raw Data - financials'!I61)</f>
        <v/>
      </c>
      <c r="K50" s="71">
        <f>IF('Raw Data - financials'!K61="","",'Raw Data - financials'!K61)</f>
        <v/>
      </c>
      <c r="M50" s="71">
        <f>IF('Raw Data - financials'!M61="","",'Raw Data - financials'!M61)</f>
        <v/>
      </c>
      <c r="O50" s="71">
        <f>IF('Raw Data - financials'!O61="","",'Raw Data - financials'!O61)</f>
        <v/>
      </c>
      <c r="Q50" s="71">
        <f>IF('Raw Data - financials'!Q61="","",'Raw Data - financials'!Q61)</f>
        <v/>
      </c>
      <c r="S50" s="71">
        <f>IF('Raw Data - financials'!S61="","",'Raw Data - financials'!S61)</f>
        <v/>
      </c>
      <c r="U50" s="71">
        <f>IF('Raw Data - financials'!U61="","",'Raw Data - financials'!U61)</f>
        <v/>
      </c>
      <c r="W50" s="71">
        <f>IF('Raw Data - financials'!W61="","",'Raw Data - financials'!W61)</f>
        <v/>
      </c>
      <c r="AB50" s="19" t="n"/>
      <c r="AC50" s="72">
        <f>IF('Raw Data - financials'!AC61="","",'Raw Data - financials'!AC61)</f>
        <v/>
      </c>
      <c r="AD50" s="72">
        <f>IF('Raw Data - financials'!AD61="","",'Raw Data - financials'!AD61)</f>
        <v/>
      </c>
      <c r="AE50" s="72">
        <f>IF('Raw Data - financials'!AE61="","",'Raw Data - financials'!AE61)</f>
        <v/>
      </c>
      <c r="AF50" s="72">
        <f>IF('Raw Data - financials'!AF61="","",'Raw Data - financials'!AF61)</f>
        <v/>
      </c>
      <c r="AG50" s="72">
        <f>IF('Raw Data - financials'!AG61="","",'Raw Data - financials'!AG61)</f>
        <v/>
      </c>
      <c r="AH50" s="72">
        <f>IF('Raw Data - financials'!AH61="","",'Raw Data - financials'!AH61)</f>
        <v/>
      </c>
      <c r="AI50" s="72">
        <f>IF('Raw Data - financials'!AI61="","",'Raw Data - financials'!AI61)</f>
        <v/>
      </c>
      <c r="AJ50" s="72">
        <f>IF('Raw Data - financials'!AJ61="","",'Raw Data - financials'!AJ61)</f>
        <v/>
      </c>
      <c r="AK50" s="72">
        <f>IF('Projections'!AK146="","",'Projections'!AK146)</f>
        <v/>
      </c>
      <c r="AL50" s="72">
        <f>IF('Projections'!AL146="","",'Projections'!AL146)</f>
        <v/>
      </c>
      <c r="AM50" s="72">
        <f>IF('Projections'!AM146="","",'Projections'!AM146)</f>
        <v/>
      </c>
      <c r="AN50" s="72">
        <f>IF('Projections'!AN146="","",'Projections'!AN146)</f>
        <v/>
      </c>
    </row>
    <row r="51">
      <c r="A51" s="74" t="inlineStr">
        <is>
          <t>Total Non-Current Assets</t>
        </is>
      </c>
      <c r="B51" s="17" t="inlineStr">
        <is>
          <t>Rs Mn</t>
        </is>
      </c>
      <c r="E51" s="75">
        <f>IFERROR(E38+E39+E40+E41+E42+E43+E44+E45+E46+E47+E48+E49+E50,"")</f>
        <v/>
      </c>
      <c r="G51" s="75">
        <f>IFERROR(G38+G39+G40+G41+G42+G43+G44+G45+G46+G47+G48+G49+G50,"")</f>
        <v/>
      </c>
      <c r="I51" s="75">
        <f>IFERROR(I38+I39+I40+I41+I42+I43+I44+I45+I46+I47+I48+I49+I50,"")</f>
        <v/>
      </c>
      <c r="K51" s="75">
        <f>IFERROR(K38+K39+K40+K41+K42+K43+K44+K45+K46+K47+K48+K49+K50,"")</f>
        <v/>
      </c>
      <c r="M51" s="75">
        <f>IFERROR(M38+M39+M40+M41+M42+M43+M44+M45+M46+M47+M48+M49+M50,"")</f>
        <v/>
      </c>
      <c r="O51" s="75">
        <f>IFERROR(O38+O39+O40+O41+O42+O43+O44+O45+O46+O47+O48+O49+O50,"")</f>
        <v/>
      </c>
      <c r="Q51" s="75">
        <f>IFERROR(Q38+Q39+Q40+Q41+Q42+Q43+Q44+Q45+Q46+Q47+Q48+Q49+Q50,"")</f>
        <v/>
      </c>
      <c r="S51" s="75">
        <f>IFERROR(S38+S39+S40+S41+S42+S43+S44+S45+S46+S47+S48+S49+S50,"")</f>
        <v/>
      </c>
      <c r="U51" s="75">
        <f>IFERROR(U38+U39+U40+U41+U42+U43+U44+U45+U46+U47+U48+U49+U50,"")</f>
        <v/>
      </c>
      <c r="W51" s="75">
        <f>IFERROR(W38+W39+W40+W41+W42+W43+W44+W45+W46+W47+W48+W49+W50,"")</f>
        <v/>
      </c>
      <c r="AB51" s="19" t="n"/>
      <c r="AC51" s="76">
        <f>IFERROR(AC38+AC39+AC40+AC41+AC42+AC43+AC44+AC45+AC46+AC47+AC48+AC49+AC50,"")</f>
        <v/>
      </c>
      <c r="AD51" s="76">
        <f>IFERROR(AD38+AD39+AD40+AD41+AD42+AD43+AD44+AD45+AD46+AD47+AD48+AD49+AD50,"")</f>
        <v/>
      </c>
      <c r="AE51" s="76">
        <f>IFERROR(AE38+AE39+AE40+AE41+AE42+AE43+AE44+AE45+AE46+AE47+AE48+AE49+AE50,"")</f>
        <v/>
      </c>
      <c r="AF51" s="76">
        <f>IFERROR(AF38+AF39+AF40+AF41+AF42+AF43+AF44+AF45+AF46+AF47+AF48+AF49+AF50,"")</f>
        <v/>
      </c>
      <c r="AG51" s="76">
        <f>IFERROR(AG38+AG39+AG40+AG41+AG42+AG43+AG44+AG45+AG46+AG47+AG48+AG49+AG50,"")</f>
        <v/>
      </c>
      <c r="AH51" s="76">
        <f>IFERROR(AH38+AH39+AH40+AH41+AH42+AH43+AH44+AH45+AH46+AH47+AH48+AH49+AH50,"")</f>
        <v/>
      </c>
      <c r="AI51" s="76">
        <f>IFERROR(AI38+AI39+AI40+AI41+AI42+AI43+AI44+AI45+AI46+AI47+AI48+AI49+AI50,"")</f>
        <v/>
      </c>
      <c r="AJ51" s="76">
        <f>IFERROR(AJ38+AJ39+AJ40+AJ41+AJ42+AJ43+AJ44+AJ45+AJ46+AJ47+AJ48+AJ49+AJ50,"")</f>
        <v/>
      </c>
      <c r="AK51" s="76">
        <f>IFERROR(AK38+AK39+AK40+AK41+AK42+AK43+AK44+AK45+AK46+AK47+AK48+AK49+AK50,"")</f>
        <v/>
      </c>
      <c r="AL51" s="76">
        <f>IFERROR(AL38+AL39+AL40+AL41+AL42+AL43+AL44+AL45+AL46+AL47+AL48+AL49+AL50,"")</f>
        <v/>
      </c>
      <c r="AM51" s="76">
        <f>IFERROR(AM38+AM39+AM40+AM41+AM42+AM43+AM44+AM45+AM46+AM47+AM48+AM49+AM50,"")</f>
        <v/>
      </c>
      <c r="AN51" s="76">
        <f>IFERROR(AN38+AN39+AN40+AN41+AN42+AN43+AN44+AN45+AN46+AN47+AN48+AN49+AN50,"")</f>
        <v/>
      </c>
    </row>
    <row r="52">
      <c r="AB52" s="19" t="n"/>
    </row>
    <row r="53">
      <c r="A53" s="9" t="inlineStr">
        <is>
          <t>Current assets</t>
        </is>
      </c>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46" t="n"/>
      <c r="AC53" s="9" t="n"/>
      <c r="AD53" s="9" t="n"/>
      <c r="AE53" s="9" t="n"/>
      <c r="AF53" s="9" t="n"/>
      <c r="AG53" s="9" t="n"/>
      <c r="AH53" s="9" t="n"/>
      <c r="AI53" s="9" t="n"/>
      <c r="AJ53" s="9" t="n"/>
      <c r="AK53" s="9" t="n"/>
      <c r="AL53" s="9" t="n"/>
      <c r="AM53" s="9" t="n"/>
      <c r="AN53" s="9" t="n"/>
    </row>
    <row r="54" outlineLevel="1">
      <c r="A54" s="20" t="inlineStr">
        <is>
          <t>Inventories</t>
        </is>
      </c>
      <c r="B54" s="17" t="inlineStr">
        <is>
          <t>Rs Mn</t>
        </is>
      </c>
      <c r="E54" s="71">
        <f>IF('Raw Data - financials'!E65="","",'Raw Data - financials'!E65)</f>
        <v/>
      </c>
      <c r="G54" s="71">
        <f>IF('Raw Data - financials'!G65="","",'Raw Data - financials'!G65)</f>
        <v/>
      </c>
      <c r="I54" s="71">
        <f>IF('Raw Data - financials'!I65="","",'Raw Data - financials'!I65)</f>
        <v/>
      </c>
      <c r="K54" s="71">
        <f>IF('Raw Data - financials'!K65="","",'Raw Data - financials'!K65)</f>
        <v/>
      </c>
      <c r="M54" s="71">
        <f>IF('Raw Data - financials'!M65="","",'Raw Data - financials'!M65)</f>
        <v/>
      </c>
      <c r="O54" s="71">
        <f>IF('Raw Data - financials'!O65="","",'Raw Data - financials'!O65)</f>
        <v/>
      </c>
      <c r="Q54" s="71">
        <f>IF('Raw Data - financials'!Q65="","",'Raw Data - financials'!Q65)</f>
        <v/>
      </c>
      <c r="S54" s="71">
        <f>IF('Raw Data - financials'!S65="","",'Raw Data - financials'!S65)</f>
        <v/>
      </c>
      <c r="U54" s="71">
        <f>IF('Raw Data - financials'!U65="","",'Raw Data - financials'!U65)</f>
        <v/>
      </c>
      <c r="W54" s="71">
        <f>IF('Raw Data - financials'!W65="","",'Raw Data - financials'!W65)</f>
        <v/>
      </c>
      <c r="AB54" s="19" t="n"/>
      <c r="AC54" s="72">
        <f>IF('Raw Data - financials'!AC65="","",'Raw Data - financials'!AC65)</f>
        <v/>
      </c>
      <c r="AD54" s="72">
        <f>IF('Raw Data - financials'!AD65="","",'Raw Data - financials'!AD65)</f>
        <v/>
      </c>
      <c r="AE54" s="72">
        <f>IF('Raw Data - financials'!AE65="","",'Raw Data - financials'!AE65)</f>
        <v/>
      </c>
      <c r="AF54" s="72">
        <f>IF('Raw Data - financials'!AF65="","",'Raw Data - financials'!AF65)</f>
        <v/>
      </c>
      <c r="AG54" s="72">
        <f>IF('Raw Data - financials'!AG65="","",'Raw Data - financials'!AG65)</f>
        <v/>
      </c>
      <c r="AH54" s="72">
        <f>IF('Raw Data - financials'!AH65="","",'Raw Data - financials'!AH65)</f>
        <v/>
      </c>
      <c r="AI54" s="72">
        <f>IF('Raw Data - financials'!AI65="","",'Raw Data - financials'!AI65)</f>
        <v/>
      </c>
      <c r="AJ54" s="72">
        <f>IF('Raw Data - financials'!AJ65="","",'Raw Data - financials'!AJ65)</f>
        <v/>
      </c>
      <c r="AK54" s="72">
        <f>IF('Projections'!AK142="","",'Projections'!AK142)</f>
        <v/>
      </c>
      <c r="AL54" s="72">
        <f>IF('Projections'!AL142="","",'Projections'!AL142)</f>
        <v/>
      </c>
      <c r="AM54" s="72">
        <f>IF('Projections'!AM142="","",'Projections'!AM142)</f>
        <v/>
      </c>
      <c r="AN54" s="72">
        <f>IF('Projections'!AN142="","",'Projections'!AN142)</f>
        <v/>
      </c>
    </row>
    <row r="55" outlineLevel="1">
      <c r="A55" s="20" t="inlineStr">
        <is>
          <t>Financial assets - Investments (current)</t>
        </is>
      </c>
      <c r="B55" s="17" t="inlineStr">
        <is>
          <t>Rs Mn</t>
        </is>
      </c>
      <c r="E55" s="71">
        <f>IF('Raw Data - financials'!E66="","",'Raw Data - financials'!E66)</f>
        <v/>
      </c>
      <c r="G55" s="71">
        <f>IF('Raw Data - financials'!G66="","",'Raw Data - financials'!G66)</f>
        <v/>
      </c>
      <c r="I55" s="71">
        <f>IF('Raw Data - financials'!I66="","",'Raw Data - financials'!I66)</f>
        <v/>
      </c>
      <c r="K55" s="71">
        <f>IF('Raw Data - financials'!K66="","",'Raw Data - financials'!K66)</f>
        <v/>
      </c>
      <c r="M55" s="71">
        <f>IF('Raw Data - financials'!M66="","",'Raw Data - financials'!M66)</f>
        <v/>
      </c>
      <c r="O55" s="71">
        <f>IF('Raw Data - financials'!O66="","",'Raw Data - financials'!O66)</f>
        <v/>
      </c>
      <c r="Q55" s="71">
        <f>IF('Raw Data - financials'!Q66="","",'Raw Data - financials'!Q66)</f>
        <v/>
      </c>
      <c r="S55" s="71">
        <f>IF('Raw Data - financials'!S66="","",'Raw Data - financials'!S66)</f>
        <v/>
      </c>
      <c r="U55" s="71">
        <f>IF('Raw Data - financials'!U66="","",'Raw Data - financials'!U66)</f>
        <v/>
      </c>
      <c r="W55" s="71">
        <f>IF('Raw Data - financials'!W66="","",'Raw Data - financials'!W66)</f>
        <v/>
      </c>
      <c r="AB55" s="19" t="n"/>
      <c r="AC55" s="72">
        <f>IF('Raw Data - financials'!AC66="","",'Raw Data - financials'!AC66)</f>
        <v/>
      </c>
      <c r="AD55" s="72">
        <f>IF('Raw Data - financials'!AD66="","",'Raw Data - financials'!AD66)</f>
        <v/>
      </c>
      <c r="AE55" s="72">
        <f>IF('Raw Data - financials'!AE66="","",'Raw Data - financials'!AE66)</f>
        <v/>
      </c>
      <c r="AF55" s="72">
        <f>IF('Raw Data - financials'!AF66="","",'Raw Data - financials'!AF66)</f>
        <v/>
      </c>
      <c r="AG55" s="72">
        <f>IF('Raw Data - financials'!AG66="","",'Raw Data - financials'!AG66)</f>
        <v/>
      </c>
      <c r="AH55" s="72">
        <f>IF('Raw Data - financials'!AH66="","",'Raw Data - financials'!AH66)</f>
        <v/>
      </c>
      <c r="AI55" s="72">
        <f>IF('Raw Data - financials'!AI66="","",'Raw Data - financials'!AI66)</f>
        <v/>
      </c>
      <c r="AJ55" s="72">
        <f>IF('Raw Data - financials'!AJ66="","",'Raw Data - financials'!AJ66)</f>
        <v/>
      </c>
      <c r="AK55" s="72" t="n">
        <v>0</v>
      </c>
      <c r="AL55" s="72" t="n">
        <v>0</v>
      </c>
      <c r="AM55" s="72" t="n">
        <v>0</v>
      </c>
      <c r="AN55" s="72" t="n">
        <v>0</v>
      </c>
    </row>
    <row r="56" outlineLevel="1">
      <c r="A56" s="20" t="inlineStr">
        <is>
          <t>Trade receivables</t>
        </is>
      </c>
      <c r="B56" s="17" t="inlineStr">
        <is>
          <t>Rs Mn</t>
        </is>
      </c>
      <c r="E56" s="71">
        <f>IF('Raw Data - financials'!E67="","",'Raw Data - financials'!E67)</f>
        <v/>
      </c>
      <c r="G56" s="71">
        <f>IF('Raw Data - financials'!G67="","",'Raw Data - financials'!G67)</f>
        <v/>
      </c>
      <c r="I56" s="71">
        <f>IF('Raw Data - financials'!I67="","",'Raw Data - financials'!I67)</f>
        <v/>
      </c>
      <c r="K56" s="71">
        <f>IF('Raw Data - financials'!K67="","",'Raw Data - financials'!K67)</f>
        <v/>
      </c>
      <c r="M56" s="71">
        <f>IF('Raw Data - financials'!M67="","",'Raw Data - financials'!M67)</f>
        <v/>
      </c>
      <c r="O56" s="71">
        <f>IF('Raw Data - financials'!O67="","",'Raw Data - financials'!O67)</f>
        <v/>
      </c>
      <c r="Q56" s="71">
        <f>IF('Raw Data - financials'!Q67="","",'Raw Data - financials'!Q67)</f>
        <v/>
      </c>
      <c r="S56" s="71">
        <f>IF('Raw Data - financials'!S67="","",'Raw Data - financials'!S67)</f>
        <v/>
      </c>
      <c r="U56" s="71">
        <f>IF('Raw Data - financials'!U67="","",'Raw Data - financials'!U67)</f>
        <v/>
      </c>
      <c r="W56" s="71">
        <f>IF('Raw Data - financials'!W67="","",'Raw Data - financials'!W67)</f>
        <v/>
      </c>
      <c r="AB56" s="19" t="n"/>
      <c r="AC56" s="72">
        <f>IF('Raw Data - financials'!AC67="","",'Raw Data - financials'!AC67)</f>
        <v/>
      </c>
      <c r="AD56" s="72">
        <f>IF('Raw Data - financials'!AD67="","",'Raw Data - financials'!AD67)</f>
        <v/>
      </c>
      <c r="AE56" s="72">
        <f>IF('Raw Data - financials'!AE67="","",'Raw Data - financials'!AE67)</f>
        <v/>
      </c>
      <c r="AF56" s="72">
        <f>IF('Raw Data - financials'!AF67="","",'Raw Data - financials'!AF67)</f>
        <v/>
      </c>
      <c r="AG56" s="72">
        <f>IF('Raw Data - financials'!AG67="","",'Raw Data - financials'!AG67)</f>
        <v/>
      </c>
      <c r="AH56" s="72">
        <f>IF('Raw Data - financials'!AH67="","",'Raw Data - financials'!AH67)</f>
        <v/>
      </c>
      <c r="AI56" s="72">
        <f>IF('Raw Data - financials'!AI67="","",'Raw Data - financials'!AI67)</f>
        <v/>
      </c>
      <c r="AJ56" s="72">
        <f>IF('Raw Data - financials'!AJ67="","",'Raw Data - financials'!AJ67)</f>
        <v/>
      </c>
      <c r="AK56" s="72">
        <f>IF('Projections'!AK144="","",'Projections'!AK144)</f>
        <v/>
      </c>
      <c r="AL56" s="72">
        <f>IF('Projections'!AL144="","",'Projections'!AL144)</f>
        <v/>
      </c>
      <c r="AM56" s="72">
        <f>IF('Projections'!AM144="","",'Projections'!AM144)</f>
        <v/>
      </c>
      <c r="AN56" s="72">
        <f>IF('Projections'!AN144="","",'Projections'!AN144)</f>
        <v/>
      </c>
    </row>
    <row r="57" outlineLevel="1">
      <c r="A57" s="20" t="inlineStr">
        <is>
          <t>Cash and cash equivalents</t>
        </is>
      </c>
      <c r="B57" s="17" t="inlineStr">
        <is>
          <t>Rs Mn</t>
        </is>
      </c>
      <c r="E57" s="71">
        <f>IF('Raw Data - financials'!E68="","",'Raw Data - financials'!E68)</f>
        <v/>
      </c>
      <c r="G57" s="71">
        <f>IF('Raw Data - financials'!G68="","",'Raw Data - financials'!G68)</f>
        <v/>
      </c>
      <c r="I57" s="71">
        <f>IF('Raw Data - financials'!I68="","",'Raw Data - financials'!I68)</f>
        <v/>
      </c>
      <c r="K57" s="71">
        <f>IF('Raw Data - financials'!K68="","",'Raw Data - financials'!K68)</f>
        <v/>
      </c>
      <c r="M57" s="71">
        <f>IF('Raw Data - financials'!M68="","",'Raw Data - financials'!M68)</f>
        <v/>
      </c>
      <c r="O57" s="71">
        <f>IF('Raw Data - financials'!O68="","",'Raw Data - financials'!O68)</f>
        <v/>
      </c>
      <c r="Q57" s="71">
        <f>IF('Raw Data - financials'!Q68="","",'Raw Data - financials'!Q68)</f>
        <v/>
      </c>
      <c r="S57" s="71">
        <f>IF('Raw Data - financials'!S68="","",'Raw Data - financials'!S68)</f>
        <v/>
      </c>
      <c r="U57" s="71">
        <f>IF('Raw Data - financials'!U68="","",'Raw Data - financials'!U68)</f>
        <v/>
      </c>
      <c r="W57" s="71">
        <f>IF('Raw Data - financials'!W68="","",'Raw Data - financials'!W68)</f>
        <v/>
      </c>
      <c r="AB57" s="19" t="n"/>
      <c r="AC57" s="72">
        <f>IF('Raw Data - financials'!AC68="","",'Raw Data - financials'!AC68)</f>
        <v/>
      </c>
      <c r="AD57" s="72">
        <f>IF('Raw Data - financials'!AD68="","",'Raw Data - financials'!AD68)</f>
        <v/>
      </c>
      <c r="AE57" s="72">
        <f>IF('Raw Data - financials'!AE68="","",'Raw Data - financials'!AE68)</f>
        <v/>
      </c>
      <c r="AF57" s="72">
        <f>IF('Raw Data - financials'!AF68="","",'Raw Data - financials'!AF68)</f>
        <v/>
      </c>
      <c r="AG57" s="72">
        <f>IF('Raw Data - financials'!AG68="","",'Raw Data - financials'!AG68)</f>
        <v/>
      </c>
      <c r="AH57" s="72">
        <f>IF('Raw Data - financials'!AH68="","",'Raw Data - financials'!AH68)</f>
        <v/>
      </c>
      <c r="AI57" s="72">
        <f>IF('Raw Data - financials'!AI68="","",'Raw Data - financials'!AI68)</f>
        <v/>
      </c>
      <c r="AJ57" s="72">
        <f>IF('Raw Data - financials'!AJ68="","",'Raw Data - financials'!AJ68)</f>
        <v/>
      </c>
      <c r="AK57" s="72">
        <f>IFERROR('Projections'!AK147-AK58,"")</f>
        <v/>
      </c>
      <c r="AL57" s="72">
        <f>IFERROR('Projections'!AL147-AL58,"")</f>
        <v/>
      </c>
      <c r="AM57" s="72">
        <f>IFERROR('Projections'!AM147-AM58,"")</f>
        <v/>
      </c>
      <c r="AN57" s="72">
        <f>IFERROR('Projections'!AN147-AN58,"")</f>
        <v/>
      </c>
    </row>
    <row r="58" outlineLevel="1">
      <c r="A58" s="20" t="inlineStr">
        <is>
          <t>Bank balance other than cash and cash equivalents</t>
        </is>
      </c>
      <c r="B58" s="17" t="inlineStr">
        <is>
          <t>Rs Mn</t>
        </is>
      </c>
      <c r="C58" s="17" t="inlineStr">
        <is>
          <t>Held flat at FY26 actual</t>
        </is>
      </c>
      <c r="E58" s="71">
        <f>IF('Raw Data - financials'!E69="","",'Raw Data - financials'!E69)</f>
        <v/>
      </c>
      <c r="G58" s="71">
        <f>IF('Raw Data - financials'!G69="","",'Raw Data - financials'!G69)</f>
        <v/>
      </c>
      <c r="I58" s="71">
        <f>IF('Raw Data - financials'!I69="","",'Raw Data - financials'!I69)</f>
        <v/>
      </c>
      <c r="K58" s="71">
        <f>IF('Raw Data - financials'!K69="","",'Raw Data - financials'!K69)</f>
        <v/>
      </c>
      <c r="M58" s="71">
        <f>IF('Raw Data - financials'!M69="","",'Raw Data - financials'!M69)</f>
        <v/>
      </c>
      <c r="O58" s="71">
        <f>IF('Raw Data - financials'!O69="","",'Raw Data - financials'!O69)</f>
        <v/>
      </c>
      <c r="Q58" s="71">
        <f>IF('Raw Data - financials'!Q69="","",'Raw Data - financials'!Q69)</f>
        <v/>
      </c>
      <c r="S58" s="71">
        <f>IF('Raw Data - financials'!S69="","",'Raw Data - financials'!S69)</f>
        <v/>
      </c>
      <c r="U58" s="71">
        <f>IF('Raw Data - financials'!U69="","",'Raw Data - financials'!U69)</f>
        <v/>
      </c>
      <c r="W58" s="71">
        <f>IF('Raw Data - financials'!W69="","",'Raw Data - financials'!W69)</f>
        <v/>
      </c>
      <c r="AB58" s="19" t="n"/>
      <c r="AC58" s="72">
        <f>IF('Raw Data - financials'!AC69="","",'Raw Data - financials'!AC69)</f>
        <v/>
      </c>
      <c r="AD58" s="72">
        <f>IF('Raw Data - financials'!AD69="","",'Raw Data - financials'!AD69)</f>
        <v/>
      </c>
      <c r="AE58" s="72">
        <f>IF('Raw Data - financials'!AE69="","",'Raw Data - financials'!AE69)</f>
        <v/>
      </c>
      <c r="AF58" s="72">
        <f>IF('Raw Data - financials'!AF69="","",'Raw Data - financials'!AF69)</f>
        <v/>
      </c>
      <c r="AG58" s="72">
        <f>IF('Raw Data - financials'!AG69="","",'Raw Data - financials'!AG69)</f>
        <v/>
      </c>
      <c r="AH58" s="72">
        <f>IF('Raw Data - financials'!AH69="","",'Raw Data - financials'!AH69)</f>
        <v/>
      </c>
      <c r="AI58" s="72">
        <f>IF('Raw Data - financials'!AI69="","",'Raw Data - financials'!AI69)</f>
        <v/>
      </c>
      <c r="AJ58" s="72">
        <f>IF('Raw Data - financials'!AJ69="","",'Raw Data - financials'!AJ69)</f>
        <v/>
      </c>
      <c r="AK58" s="72">
        <f>IFERROR(AJ58,"")</f>
        <v/>
      </c>
      <c r="AL58" s="72">
        <f>IFERROR(AJ58,"")</f>
        <v/>
      </c>
      <c r="AM58" s="72">
        <f>IFERROR(AJ58,"")</f>
        <v/>
      </c>
      <c r="AN58" s="72">
        <f>IFERROR(AJ58,"")</f>
        <v/>
      </c>
    </row>
    <row r="59" outlineLevel="1">
      <c r="A59" s="20" t="inlineStr">
        <is>
          <t>Financial assets - Loans (current)</t>
        </is>
      </c>
      <c r="B59" s="17" t="inlineStr">
        <is>
          <t>Rs Mn</t>
        </is>
      </c>
      <c r="E59" s="71">
        <f>IF('Raw Data - financials'!E70="","",'Raw Data - financials'!E70)</f>
        <v/>
      </c>
      <c r="G59" s="71">
        <f>IF('Raw Data - financials'!G70="","",'Raw Data - financials'!G70)</f>
        <v/>
      </c>
      <c r="I59" s="71">
        <f>IF('Raw Data - financials'!I70="","",'Raw Data - financials'!I70)</f>
        <v/>
      </c>
      <c r="K59" s="71">
        <f>IF('Raw Data - financials'!K70="","",'Raw Data - financials'!K70)</f>
        <v/>
      </c>
      <c r="M59" s="71">
        <f>IF('Raw Data - financials'!M70="","",'Raw Data - financials'!M70)</f>
        <v/>
      </c>
      <c r="O59" s="71">
        <f>IF('Raw Data - financials'!O70="","",'Raw Data - financials'!O70)</f>
        <v/>
      </c>
      <c r="Q59" s="71">
        <f>IF('Raw Data - financials'!Q70="","",'Raw Data - financials'!Q70)</f>
        <v/>
      </c>
      <c r="S59" s="71">
        <f>IF('Raw Data - financials'!S70="","",'Raw Data - financials'!S70)</f>
        <v/>
      </c>
      <c r="U59" s="71">
        <f>IF('Raw Data - financials'!U70="","",'Raw Data - financials'!U70)</f>
        <v/>
      </c>
      <c r="W59" s="71">
        <f>IF('Raw Data - financials'!W70="","",'Raw Data - financials'!W70)</f>
        <v/>
      </c>
      <c r="AB59" s="19" t="n"/>
      <c r="AC59" s="72">
        <f>IF('Raw Data - financials'!AC70="","",'Raw Data - financials'!AC70)</f>
        <v/>
      </c>
      <c r="AD59" s="72">
        <f>IF('Raw Data - financials'!AD70="","",'Raw Data - financials'!AD70)</f>
        <v/>
      </c>
      <c r="AE59" s="72">
        <f>IF('Raw Data - financials'!AE70="","",'Raw Data - financials'!AE70)</f>
        <v/>
      </c>
      <c r="AF59" s="72">
        <f>IF('Raw Data - financials'!AF70="","",'Raw Data - financials'!AF70)</f>
        <v/>
      </c>
      <c r="AG59" s="72">
        <f>IF('Raw Data - financials'!AG70="","",'Raw Data - financials'!AG70)</f>
        <v/>
      </c>
      <c r="AH59" s="72">
        <f>IF('Raw Data - financials'!AH70="","",'Raw Data - financials'!AH70)</f>
        <v/>
      </c>
      <c r="AI59" s="72">
        <f>IF('Raw Data - financials'!AI70="","",'Raw Data - financials'!AI70)</f>
        <v/>
      </c>
      <c r="AJ59" s="72">
        <f>IF('Raw Data - financials'!AJ70="","",'Raw Data - financials'!AJ70)</f>
        <v/>
      </c>
      <c r="AK59" s="72" t="n">
        <v>0</v>
      </c>
      <c r="AL59" s="72" t="n">
        <v>0</v>
      </c>
      <c r="AM59" s="72" t="n">
        <v>0</v>
      </c>
      <c r="AN59" s="72" t="n">
        <v>0</v>
      </c>
    </row>
    <row r="60" outlineLevel="1">
      <c r="A60" s="20" t="inlineStr">
        <is>
          <t>Other financial assets (current)</t>
        </is>
      </c>
      <c r="B60" s="17" t="inlineStr">
        <is>
          <t>Rs Mn</t>
        </is>
      </c>
      <c r="E60" s="71">
        <f>IF('Raw Data - financials'!E71="","",'Raw Data - financials'!E71)</f>
        <v/>
      </c>
      <c r="G60" s="71">
        <f>IF('Raw Data - financials'!G71="","",'Raw Data - financials'!G71)</f>
        <v/>
      </c>
      <c r="I60" s="71">
        <f>IF('Raw Data - financials'!I71="","",'Raw Data - financials'!I71)</f>
        <v/>
      </c>
      <c r="K60" s="71">
        <f>IF('Raw Data - financials'!K71="","",'Raw Data - financials'!K71)</f>
        <v/>
      </c>
      <c r="M60" s="71">
        <f>IF('Raw Data - financials'!M71="","",'Raw Data - financials'!M71)</f>
        <v/>
      </c>
      <c r="O60" s="71">
        <f>IF('Raw Data - financials'!O71="","",'Raw Data - financials'!O71)</f>
        <v/>
      </c>
      <c r="Q60" s="71">
        <f>IF('Raw Data - financials'!Q71="","",'Raw Data - financials'!Q71)</f>
        <v/>
      </c>
      <c r="S60" s="71">
        <f>IF('Raw Data - financials'!S71="","",'Raw Data - financials'!S71)</f>
        <v/>
      </c>
      <c r="U60" s="71">
        <f>IF('Raw Data - financials'!U71="","",'Raw Data - financials'!U71)</f>
        <v/>
      </c>
      <c r="W60" s="71">
        <f>IF('Raw Data - financials'!W71="","",'Raw Data - financials'!W71)</f>
        <v/>
      </c>
      <c r="AB60" s="19" t="n"/>
      <c r="AC60" s="72">
        <f>IF('Raw Data - financials'!AC71="","",'Raw Data - financials'!AC71)</f>
        <v/>
      </c>
      <c r="AD60" s="72">
        <f>IF('Raw Data - financials'!AD71="","",'Raw Data - financials'!AD71)</f>
        <v/>
      </c>
      <c r="AE60" s="72">
        <f>IF('Raw Data - financials'!AE71="","",'Raw Data - financials'!AE71)</f>
        <v/>
      </c>
      <c r="AF60" s="72">
        <f>IF('Raw Data - financials'!AF71="","",'Raw Data - financials'!AF71)</f>
        <v/>
      </c>
      <c r="AG60" s="72">
        <f>IF('Raw Data - financials'!AG71="","",'Raw Data - financials'!AG71)</f>
        <v/>
      </c>
      <c r="AH60" s="72">
        <f>IF('Raw Data - financials'!AH71="","",'Raw Data - financials'!AH71)</f>
        <v/>
      </c>
      <c r="AI60" s="72">
        <f>IF('Raw Data - financials'!AI71="","",'Raw Data - financials'!AI71)</f>
        <v/>
      </c>
      <c r="AJ60" s="72">
        <f>IF('Raw Data - financials'!AJ71="","",'Raw Data - financials'!AJ71)</f>
        <v/>
      </c>
      <c r="AK60" s="72" t="n">
        <v>0</v>
      </c>
      <c r="AL60" s="72" t="n">
        <v>0</v>
      </c>
      <c r="AM60" s="72" t="n">
        <v>0</v>
      </c>
      <c r="AN60" s="72" t="n">
        <v>0</v>
      </c>
    </row>
    <row r="61" outlineLevel="1">
      <c r="A61" s="20" t="inlineStr">
        <is>
          <t>Other current assets</t>
        </is>
      </c>
      <c r="B61" s="17" t="inlineStr">
        <is>
          <t>Rs Mn</t>
        </is>
      </c>
      <c r="E61" s="71">
        <f>IF('Raw Data - financials'!E72="","",'Raw Data - financials'!E72)</f>
        <v/>
      </c>
      <c r="G61" s="71">
        <f>IF('Raw Data - financials'!G72="","",'Raw Data - financials'!G72)</f>
        <v/>
      </c>
      <c r="I61" s="71">
        <f>IF('Raw Data - financials'!I72="","",'Raw Data - financials'!I72)</f>
        <v/>
      </c>
      <c r="K61" s="71">
        <f>IF('Raw Data - financials'!K72="","",'Raw Data - financials'!K72)</f>
        <v/>
      </c>
      <c r="M61" s="71">
        <f>IF('Raw Data - financials'!M72="","",'Raw Data - financials'!M72)</f>
        <v/>
      </c>
      <c r="O61" s="71">
        <f>IF('Raw Data - financials'!O72="","",'Raw Data - financials'!O72)</f>
        <v/>
      </c>
      <c r="Q61" s="71">
        <f>IF('Raw Data - financials'!Q72="","",'Raw Data - financials'!Q72)</f>
        <v/>
      </c>
      <c r="S61" s="71">
        <f>IF('Raw Data - financials'!S72="","",'Raw Data - financials'!S72)</f>
        <v/>
      </c>
      <c r="U61" s="71">
        <f>IF('Raw Data - financials'!U72="","",'Raw Data - financials'!U72)</f>
        <v/>
      </c>
      <c r="W61" s="71">
        <f>IF('Raw Data - financials'!W72="","",'Raw Data - financials'!W72)</f>
        <v/>
      </c>
      <c r="AB61" s="19" t="n"/>
      <c r="AC61" s="72">
        <f>IF('Raw Data - financials'!AC72="","",'Raw Data - financials'!AC72)</f>
        <v/>
      </c>
      <c r="AD61" s="72">
        <f>IF('Raw Data - financials'!AD72="","",'Raw Data - financials'!AD72)</f>
        <v/>
      </c>
      <c r="AE61" s="72">
        <f>IF('Raw Data - financials'!AE72="","",'Raw Data - financials'!AE72)</f>
        <v/>
      </c>
      <c r="AF61" s="72">
        <f>IF('Raw Data - financials'!AF72="","",'Raw Data - financials'!AF72)</f>
        <v/>
      </c>
      <c r="AG61" s="72">
        <f>IF('Raw Data - financials'!AG72="","",'Raw Data - financials'!AG72)</f>
        <v/>
      </c>
      <c r="AH61" s="72">
        <f>IF('Raw Data - financials'!AH72="","",'Raw Data - financials'!AH72)</f>
        <v/>
      </c>
      <c r="AI61" s="72">
        <f>IF('Raw Data - financials'!AI72="","",'Raw Data - financials'!AI72)</f>
        <v/>
      </c>
      <c r="AJ61" s="72">
        <f>IF('Raw Data - financials'!AJ72="","",'Raw Data - financials'!AJ72)</f>
        <v/>
      </c>
      <c r="AK61" s="72" t="n">
        <v>0</v>
      </c>
      <c r="AL61" s="72" t="n">
        <v>0</v>
      </c>
      <c r="AM61" s="72" t="n">
        <v>0</v>
      </c>
      <c r="AN61" s="72" t="n">
        <v>0</v>
      </c>
    </row>
    <row r="62">
      <c r="A62" s="74" t="inlineStr">
        <is>
          <t>Total Current Assets</t>
        </is>
      </c>
      <c r="B62" s="17" t="inlineStr">
        <is>
          <t>Rs Mn</t>
        </is>
      </c>
      <c r="E62" s="75">
        <f>IFERROR(E54+E55+E56+E57+E58+E59+E60+E61,"")</f>
        <v/>
      </c>
      <c r="G62" s="75">
        <f>IFERROR(G54+G55+G56+G57+G58+G59+G60+G61,"")</f>
        <v/>
      </c>
      <c r="I62" s="75">
        <f>IFERROR(I54+I55+I56+I57+I58+I59+I60+I61,"")</f>
        <v/>
      </c>
      <c r="K62" s="75">
        <f>IFERROR(K54+K55+K56+K57+K58+K59+K60+K61,"")</f>
        <v/>
      </c>
      <c r="M62" s="75">
        <f>IFERROR(M54+M55+M56+M57+M58+M59+M60+M61,"")</f>
        <v/>
      </c>
      <c r="O62" s="75">
        <f>IFERROR(O54+O55+O56+O57+O58+O59+O60+O61,"")</f>
        <v/>
      </c>
      <c r="Q62" s="75">
        <f>IFERROR(Q54+Q55+Q56+Q57+Q58+Q59+Q60+Q61,"")</f>
        <v/>
      </c>
      <c r="S62" s="75">
        <f>IFERROR(S54+S55+S56+S57+S58+S59+S60+S61,"")</f>
        <v/>
      </c>
      <c r="U62" s="75">
        <f>IFERROR(U54+U55+U56+U57+U58+U59+U60+U61,"")</f>
        <v/>
      </c>
      <c r="W62" s="75">
        <f>IFERROR(W54+W55+W56+W57+W58+W59+W60+W61,"")</f>
        <v/>
      </c>
      <c r="AB62" s="19" t="n"/>
      <c r="AC62" s="76">
        <f>IFERROR(AC54+AC55+AC56+AC57+AC58+AC59+AC60+AC61,"")</f>
        <v/>
      </c>
      <c r="AD62" s="76">
        <f>IFERROR(AD54+AD55+AD56+AD57+AD58+AD59+AD60+AD61,"")</f>
        <v/>
      </c>
      <c r="AE62" s="76">
        <f>IFERROR(AE54+AE55+AE56+AE57+AE58+AE59+AE60+AE61,"")</f>
        <v/>
      </c>
      <c r="AF62" s="76">
        <f>IFERROR(AF54+AF55+AF56+AF57+AF58+AF59+AF60+AF61,"")</f>
        <v/>
      </c>
      <c r="AG62" s="76">
        <f>IFERROR(AG54+AG55+AG56+AG57+AG58+AG59+AG60+AG61,"")</f>
        <v/>
      </c>
      <c r="AH62" s="76">
        <f>IFERROR(AH54+AH55+AH56+AH57+AH58+AH59+AH60+AH61,"")</f>
        <v/>
      </c>
      <c r="AI62" s="76">
        <f>IFERROR(AI54+AI55+AI56+AI57+AI58+AI59+AI60+AI61,"")</f>
        <v/>
      </c>
      <c r="AJ62" s="76">
        <f>IFERROR(AJ54+AJ55+AJ56+AJ57+AJ58+AJ59+AJ60+AJ61,"")</f>
        <v/>
      </c>
      <c r="AK62" s="76">
        <f>IFERROR(AK54+AK55+AK56+AK57+AK58+AK59+AK60+AK61,"")</f>
        <v/>
      </c>
      <c r="AL62" s="76">
        <f>IFERROR(AL54+AL55+AL56+AL57+AL58+AL59+AL60+AL61,"")</f>
        <v/>
      </c>
      <c r="AM62" s="76">
        <f>IFERROR(AM54+AM55+AM56+AM57+AM58+AM59+AM60+AM61,"")</f>
        <v/>
      </c>
      <c r="AN62" s="76">
        <f>IFERROR(AN54+AN55+AN56+AN57+AN58+AN59+AN60+AN61,"")</f>
        <v/>
      </c>
    </row>
    <row r="63">
      <c r="AB63" s="19" t="n"/>
    </row>
    <row r="64">
      <c r="A64" s="74" t="inlineStr">
        <is>
          <t>TOTAL ASSETS</t>
        </is>
      </c>
      <c r="B64" s="17" t="inlineStr">
        <is>
          <t>Rs Mn</t>
        </is>
      </c>
      <c r="E64" s="75">
        <f>IFERROR(E51+E62,"")</f>
        <v/>
      </c>
      <c r="G64" s="75">
        <f>IFERROR(G51+G62,"")</f>
        <v/>
      </c>
      <c r="I64" s="75">
        <f>IFERROR(I51+I62,"")</f>
        <v/>
      </c>
      <c r="K64" s="75">
        <f>IFERROR(K51+K62,"")</f>
        <v/>
      </c>
      <c r="M64" s="75">
        <f>IFERROR(M51+M62,"")</f>
        <v/>
      </c>
      <c r="O64" s="75">
        <f>IFERROR(O51+O62,"")</f>
        <v/>
      </c>
      <c r="Q64" s="75">
        <f>IFERROR(Q51+Q62,"")</f>
        <v/>
      </c>
      <c r="S64" s="75">
        <f>IFERROR(S51+S62,"")</f>
        <v/>
      </c>
      <c r="U64" s="75">
        <f>IFERROR(U51+U62,"")</f>
        <v/>
      </c>
      <c r="W64" s="75">
        <f>IFERROR(W51+W62,"")</f>
        <v/>
      </c>
      <c r="AB64" s="19" t="n"/>
      <c r="AC64" s="76">
        <f>IFERROR(AC51+AC62,"")</f>
        <v/>
      </c>
      <c r="AD64" s="76">
        <f>IFERROR(AD51+AD62,"")</f>
        <v/>
      </c>
      <c r="AE64" s="76">
        <f>IFERROR(AE51+AE62,"")</f>
        <v/>
      </c>
      <c r="AF64" s="76">
        <f>IFERROR(AF51+AF62,"")</f>
        <v/>
      </c>
      <c r="AG64" s="76">
        <f>IFERROR(AG51+AG62,"")</f>
        <v/>
      </c>
      <c r="AH64" s="76">
        <f>IFERROR(AH51+AH62,"")</f>
        <v/>
      </c>
      <c r="AI64" s="76">
        <f>IFERROR(AI51+AI62,"")</f>
        <v/>
      </c>
      <c r="AJ64" s="76">
        <f>IFERROR(AJ51+AJ62,"")</f>
        <v/>
      </c>
      <c r="AK64" s="76">
        <f>IFERROR(AK51+AK62,"")</f>
        <v/>
      </c>
      <c r="AL64" s="76">
        <f>IFERROR(AL51+AL62,"")</f>
        <v/>
      </c>
      <c r="AM64" s="76">
        <f>IFERROR(AM51+AM62,"")</f>
        <v/>
      </c>
      <c r="AN64" s="76">
        <f>IFERROR(AN51+AN62,"")</f>
        <v/>
      </c>
    </row>
    <row r="65">
      <c r="AB65" s="19" t="n"/>
    </row>
    <row r="66">
      <c r="A66" s="9" t="inlineStr">
        <is>
          <t>EQUITY AND LIABILITIES</t>
        </is>
      </c>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46" t="n"/>
      <c r="AC66" s="9" t="n"/>
      <c r="AD66" s="9" t="n"/>
      <c r="AE66" s="9" t="n"/>
      <c r="AF66" s="9" t="n"/>
      <c r="AG66" s="9" t="n"/>
      <c r="AH66" s="9" t="n"/>
      <c r="AI66" s="9" t="n"/>
      <c r="AJ66" s="9" t="n"/>
      <c r="AK66" s="9" t="n"/>
      <c r="AL66" s="9" t="n"/>
      <c r="AM66" s="9" t="n"/>
      <c r="AN66" s="9" t="n"/>
    </row>
    <row r="67">
      <c r="A67" s="9" t="inlineStr">
        <is>
          <t>Equity</t>
        </is>
      </c>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46" t="n"/>
      <c r="AC67" s="9" t="n"/>
      <c r="AD67" s="9" t="n"/>
      <c r="AE67" s="9" t="n"/>
      <c r="AF67" s="9" t="n"/>
      <c r="AG67" s="9" t="n"/>
      <c r="AH67" s="9" t="n"/>
      <c r="AI67" s="9" t="n"/>
      <c r="AJ67" s="9" t="n"/>
      <c r="AK67" s="9" t="n"/>
      <c r="AL67" s="9" t="n"/>
      <c r="AM67" s="9" t="n"/>
      <c r="AN67" s="9" t="n"/>
    </row>
    <row r="68" outlineLevel="1">
      <c r="A68" s="20" t="inlineStr">
        <is>
          <t>Equity share capital</t>
        </is>
      </c>
      <c r="B68" s="17" t="inlineStr">
        <is>
          <t>Rs Mn</t>
        </is>
      </c>
      <c r="E68" s="71">
        <f>IF('Raw Data - financials'!E79="","",'Raw Data - financials'!E79)</f>
        <v/>
      </c>
      <c r="G68" s="71">
        <f>IF('Raw Data - financials'!G79="","",'Raw Data - financials'!G79)</f>
        <v/>
      </c>
      <c r="I68" s="71">
        <f>IF('Raw Data - financials'!I79="","",'Raw Data - financials'!I79)</f>
        <v/>
      </c>
      <c r="K68" s="71">
        <f>IF('Raw Data - financials'!K79="","",'Raw Data - financials'!K79)</f>
        <v/>
      </c>
      <c r="M68" s="71">
        <f>IF('Raw Data - financials'!M79="","",'Raw Data - financials'!M79)</f>
        <v/>
      </c>
      <c r="O68" s="71">
        <f>IF('Raw Data - financials'!O79="","",'Raw Data - financials'!O79)</f>
        <v/>
      </c>
      <c r="Q68" s="71">
        <f>IF('Raw Data - financials'!Q79="","",'Raw Data - financials'!Q79)</f>
        <v/>
      </c>
      <c r="S68" s="71">
        <f>IF('Raw Data - financials'!S79="","",'Raw Data - financials'!S79)</f>
        <v/>
      </c>
      <c r="U68" s="71">
        <f>IF('Raw Data - financials'!U79="","",'Raw Data - financials'!U79)</f>
        <v/>
      </c>
      <c r="W68" s="71">
        <f>IF('Raw Data - financials'!W79="","",'Raw Data - financials'!W79)</f>
        <v/>
      </c>
      <c r="AB68" s="19" t="n"/>
      <c r="AC68" s="72">
        <f>IF('Raw Data - financials'!AC79="","",'Raw Data - financials'!AC79)</f>
        <v/>
      </c>
      <c r="AD68" s="72">
        <f>IF('Raw Data - financials'!AD79="","",'Raw Data - financials'!AD79)</f>
        <v/>
      </c>
      <c r="AE68" s="72">
        <f>IF('Raw Data - financials'!AE79="","",'Raw Data - financials'!AE79)</f>
        <v/>
      </c>
      <c r="AF68" s="72">
        <f>IF('Raw Data - financials'!AF79="","",'Raw Data - financials'!AF79)</f>
        <v/>
      </c>
      <c r="AG68" s="72">
        <f>IF('Raw Data - financials'!AG79="","",'Raw Data - financials'!AG79)</f>
        <v/>
      </c>
      <c r="AH68" s="72">
        <f>IF('Raw Data - financials'!AH79="","",'Raw Data - financials'!AH79)</f>
        <v/>
      </c>
      <c r="AI68" s="72">
        <f>IF('Raw Data - financials'!AI79="","",'Raw Data - financials'!AI79)</f>
        <v/>
      </c>
      <c r="AJ68" s="72">
        <f>IF('Raw Data - financials'!AJ79="","",'Raw Data - financials'!AJ79)</f>
        <v/>
      </c>
      <c r="AK68" s="72">
        <f>IF('Projections'!AK151="","",'Projections'!AK151)</f>
        <v/>
      </c>
      <c r="AL68" s="72">
        <f>IF('Projections'!AL151="","",'Projections'!AL151)</f>
        <v/>
      </c>
      <c r="AM68" s="72">
        <f>IF('Projections'!AM151="","",'Projections'!AM151)</f>
        <v/>
      </c>
      <c r="AN68" s="72">
        <f>IF('Projections'!AN151="","",'Projections'!AN151)</f>
        <v/>
      </c>
    </row>
    <row r="69" outlineLevel="1">
      <c r="A69" s="20" t="inlineStr">
        <is>
          <t>Other equity</t>
        </is>
      </c>
      <c r="B69" s="17" t="inlineStr">
        <is>
          <t>Rs Mn</t>
        </is>
      </c>
      <c r="E69" s="71">
        <f>IF('Raw Data - financials'!E80="","",'Raw Data - financials'!E80)</f>
        <v/>
      </c>
      <c r="G69" s="71">
        <f>IF('Raw Data - financials'!G80="","",'Raw Data - financials'!G80)</f>
        <v/>
      </c>
      <c r="I69" s="71">
        <f>IF('Raw Data - financials'!I80="","",'Raw Data - financials'!I80)</f>
        <v/>
      </c>
      <c r="K69" s="71">
        <f>IF('Raw Data - financials'!K80="","",'Raw Data - financials'!K80)</f>
        <v/>
      </c>
      <c r="M69" s="71">
        <f>IF('Raw Data - financials'!M80="","",'Raw Data - financials'!M80)</f>
        <v/>
      </c>
      <c r="O69" s="71">
        <f>IF('Raw Data - financials'!O80="","",'Raw Data - financials'!O80)</f>
        <v/>
      </c>
      <c r="Q69" s="71">
        <f>IF('Raw Data - financials'!Q80="","",'Raw Data - financials'!Q80)</f>
        <v/>
      </c>
      <c r="S69" s="71">
        <f>IF('Raw Data - financials'!S80="","",'Raw Data - financials'!S80)</f>
        <v/>
      </c>
      <c r="U69" s="71">
        <f>IF('Raw Data - financials'!U80="","",'Raw Data - financials'!U80)</f>
        <v/>
      </c>
      <c r="W69" s="71">
        <f>IF('Raw Data - financials'!W80="","",'Raw Data - financials'!W80)</f>
        <v/>
      </c>
      <c r="AB69" s="19" t="n"/>
      <c r="AC69" s="72">
        <f>IF('Raw Data - financials'!AC80="","",'Raw Data - financials'!AC80)</f>
        <v/>
      </c>
      <c r="AD69" s="72">
        <f>IF('Raw Data - financials'!AD80="","",'Raw Data - financials'!AD80)</f>
        <v/>
      </c>
      <c r="AE69" s="72">
        <f>IF('Raw Data - financials'!AE80="","",'Raw Data - financials'!AE80)</f>
        <v/>
      </c>
      <c r="AF69" s="72">
        <f>IF('Raw Data - financials'!AF80="","",'Raw Data - financials'!AF80)</f>
        <v/>
      </c>
      <c r="AG69" s="72">
        <f>IF('Raw Data - financials'!AG80="","",'Raw Data - financials'!AG80)</f>
        <v/>
      </c>
      <c r="AH69" s="72">
        <f>IF('Raw Data - financials'!AH80="","",'Raw Data - financials'!AH80)</f>
        <v/>
      </c>
      <c r="AI69" s="72">
        <f>IF('Raw Data - financials'!AI80="","",'Raw Data - financials'!AI80)</f>
        <v/>
      </c>
      <c r="AJ69" s="72">
        <f>IF('Raw Data - financials'!AJ80="","",'Raw Data - financials'!AJ80)</f>
        <v/>
      </c>
      <c r="AK69" s="72">
        <f>IF('Projections'!AK153="","",'Projections'!AK153)</f>
        <v/>
      </c>
      <c r="AL69" s="72">
        <f>IF('Projections'!AL153="","",'Projections'!AL153)</f>
        <v/>
      </c>
      <c r="AM69" s="72">
        <f>IF('Projections'!AM153="","",'Projections'!AM153)</f>
        <v/>
      </c>
      <c r="AN69" s="72">
        <f>IF('Projections'!AN153="","",'Projections'!AN153)</f>
        <v/>
      </c>
    </row>
    <row r="70">
      <c r="A70" s="74" t="inlineStr">
        <is>
          <t>Equity attributable to equity holders of the parent</t>
        </is>
      </c>
      <c r="B70" s="17" t="inlineStr">
        <is>
          <t>Rs Mn</t>
        </is>
      </c>
      <c r="E70" s="75">
        <f>IFERROR(E68+E69,"")</f>
        <v/>
      </c>
      <c r="G70" s="75">
        <f>IFERROR(G68+G69,"")</f>
        <v/>
      </c>
      <c r="I70" s="75">
        <f>IFERROR(I68+I69,"")</f>
        <v/>
      </c>
      <c r="K70" s="75">
        <f>IFERROR(K68+K69,"")</f>
        <v/>
      </c>
      <c r="M70" s="75">
        <f>IFERROR(M68+M69,"")</f>
        <v/>
      </c>
      <c r="O70" s="75">
        <f>IFERROR(O68+O69,"")</f>
        <v/>
      </c>
      <c r="Q70" s="75">
        <f>IFERROR(Q68+Q69,"")</f>
        <v/>
      </c>
      <c r="S70" s="75">
        <f>IFERROR(S68+S69,"")</f>
        <v/>
      </c>
      <c r="U70" s="75">
        <f>IFERROR(U68+U69,"")</f>
        <v/>
      </c>
      <c r="W70" s="75">
        <f>IFERROR(W68+W69,"")</f>
        <v/>
      </c>
      <c r="AB70" s="19" t="n"/>
      <c r="AC70" s="76">
        <f>IFERROR(AC68+AC69,"")</f>
        <v/>
      </c>
      <c r="AD70" s="76">
        <f>IFERROR(AD68+AD69,"")</f>
        <v/>
      </c>
      <c r="AE70" s="76">
        <f>IFERROR(AE68+AE69,"")</f>
        <v/>
      </c>
      <c r="AF70" s="76">
        <f>IFERROR(AF68+AF69,"")</f>
        <v/>
      </c>
      <c r="AG70" s="76">
        <f>IFERROR(AG68+AG69,"")</f>
        <v/>
      </c>
      <c r="AH70" s="76">
        <f>IFERROR(AH68+AH69,"")</f>
        <v/>
      </c>
      <c r="AI70" s="76">
        <f>IFERROR(AI68+AI69,"")</f>
        <v/>
      </c>
      <c r="AJ70" s="76">
        <f>IFERROR(AJ68+AJ69,"")</f>
        <v/>
      </c>
      <c r="AK70" s="76">
        <f>IFERROR(AK68+AK69,"")</f>
        <v/>
      </c>
      <c r="AL70" s="76">
        <f>IFERROR(AL68+AL69,"")</f>
        <v/>
      </c>
      <c r="AM70" s="76">
        <f>IFERROR(AM68+AM69,"")</f>
        <v/>
      </c>
      <c r="AN70" s="76">
        <f>IFERROR(AN68+AN69,"")</f>
        <v/>
      </c>
    </row>
    <row r="71" outlineLevel="1">
      <c r="A71" s="20" t="inlineStr">
        <is>
          <t>Non-controlling interest</t>
        </is>
      </c>
      <c r="B71" s="17" t="inlineStr">
        <is>
          <t>Rs Mn</t>
        </is>
      </c>
      <c r="E71" s="71">
        <f>IF('Raw Data - financials'!E82="","",'Raw Data - financials'!E82)</f>
        <v/>
      </c>
      <c r="G71" s="71">
        <f>IF('Raw Data - financials'!G82="","",'Raw Data - financials'!G82)</f>
        <v/>
      </c>
      <c r="I71" s="71">
        <f>IF('Raw Data - financials'!I82="","",'Raw Data - financials'!I82)</f>
        <v/>
      </c>
      <c r="K71" s="71">
        <f>IF('Raw Data - financials'!K82="","",'Raw Data - financials'!K82)</f>
        <v/>
      </c>
      <c r="M71" s="71">
        <f>IF('Raw Data - financials'!M82="","",'Raw Data - financials'!M82)</f>
        <v/>
      </c>
      <c r="O71" s="71">
        <f>IF('Raw Data - financials'!O82="","",'Raw Data - financials'!O82)</f>
        <v/>
      </c>
      <c r="Q71" s="71">
        <f>IF('Raw Data - financials'!Q82="","",'Raw Data - financials'!Q82)</f>
        <v/>
      </c>
      <c r="S71" s="71">
        <f>IF('Raw Data - financials'!S82="","",'Raw Data - financials'!S82)</f>
        <v/>
      </c>
      <c r="U71" s="71">
        <f>IF('Raw Data - financials'!U82="","",'Raw Data - financials'!U82)</f>
        <v/>
      </c>
      <c r="W71" s="71">
        <f>IF('Raw Data - financials'!W82="","",'Raw Data - financials'!W82)</f>
        <v/>
      </c>
      <c r="AB71" s="19" t="n"/>
      <c r="AC71" s="72">
        <f>IF('Raw Data - financials'!AC82="","",'Raw Data - financials'!AC82)</f>
        <v/>
      </c>
      <c r="AD71" s="72">
        <f>IF('Raw Data - financials'!AD82="","",'Raw Data - financials'!AD82)</f>
        <v/>
      </c>
      <c r="AE71" s="72">
        <f>IF('Raw Data - financials'!AE82="","",'Raw Data - financials'!AE82)</f>
        <v/>
      </c>
      <c r="AF71" s="72">
        <f>IF('Raw Data - financials'!AF82="","",'Raw Data - financials'!AF82)</f>
        <v/>
      </c>
      <c r="AG71" s="72">
        <f>IF('Raw Data - financials'!AG82="","",'Raw Data - financials'!AG82)</f>
        <v/>
      </c>
      <c r="AH71" s="72">
        <f>IF('Raw Data - financials'!AH82="","",'Raw Data - financials'!AH82)</f>
        <v/>
      </c>
      <c r="AI71" s="72">
        <f>IF('Raw Data - financials'!AI82="","",'Raw Data - financials'!AI82)</f>
        <v/>
      </c>
      <c r="AJ71" s="72">
        <f>IF('Raw Data - financials'!AJ82="","",'Raw Data - financials'!AJ82)</f>
        <v/>
      </c>
      <c r="AK71" s="72" t="n">
        <v>0</v>
      </c>
      <c r="AL71" s="72" t="n">
        <v>0</v>
      </c>
      <c r="AM71" s="72" t="n">
        <v>0</v>
      </c>
      <c r="AN71" s="72" t="n">
        <v>0</v>
      </c>
    </row>
    <row r="72">
      <c r="A72" s="74" t="inlineStr">
        <is>
          <t>Total Equity</t>
        </is>
      </c>
      <c r="B72" s="17" t="inlineStr">
        <is>
          <t>Rs Mn</t>
        </is>
      </c>
      <c r="E72" s="75">
        <f>IFERROR(E70+E71,"")</f>
        <v/>
      </c>
      <c r="G72" s="75">
        <f>IFERROR(G70+G71,"")</f>
        <v/>
      </c>
      <c r="I72" s="75">
        <f>IFERROR(I70+I71,"")</f>
        <v/>
      </c>
      <c r="K72" s="75">
        <f>IFERROR(K70+K71,"")</f>
        <v/>
      </c>
      <c r="M72" s="75">
        <f>IFERROR(M70+M71,"")</f>
        <v/>
      </c>
      <c r="O72" s="75">
        <f>IFERROR(O70+O71,"")</f>
        <v/>
      </c>
      <c r="Q72" s="75">
        <f>IFERROR(Q70+Q71,"")</f>
        <v/>
      </c>
      <c r="S72" s="75">
        <f>IFERROR(S70+S71,"")</f>
        <v/>
      </c>
      <c r="U72" s="75">
        <f>IFERROR(U70+U71,"")</f>
        <v/>
      </c>
      <c r="W72" s="75">
        <f>IFERROR(W70+W71,"")</f>
        <v/>
      </c>
      <c r="AB72" s="19" t="n"/>
      <c r="AC72" s="76">
        <f>IFERROR(AC70+AC71,"")</f>
        <v/>
      </c>
      <c r="AD72" s="76">
        <f>IFERROR(AD70+AD71,"")</f>
        <v/>
      </c>
      <c r="AE72" s="76">
        <f>IFERROR(AE70+AE71,"")</f>
        <v/>
      </c>
      <c r="AF72" s="76">
        <f>IFERROR(AF70+AF71,"")</f>
        <v/>
      </c>
      <c r="AG72" s="76">
        <f>IFERROR(AG70+AG71,"")</f>
        <v/>
      </c>
      <c r="AH72" s="76">
        <f>IFERROR(AH70+AH71,"")</f>
        <v/>
      </c>
      <c r="AI72" s="76">
        <f>IFERROR(AI70+AI71,"")</f>
        <v/>
      </c>
      <c r="AJ72" s="76">
        <f>IFERROR(AJ70+AJ71,"")</f>
        <v/>
      </c>
      <c r="AK72" s="76">
        <f>IFERROR(AK70+AK71,"")</f>
        <v/>
      </c>
      <c r="AL72" s="76">
        <f>IFERROR(AL70+AL71,"")</f>
        <v/>
      </c>
      <c r="AM72" s="76">
        <f>IFERROR(AM70+AM71,"")</f>
        <v/>
      </c>
      <c r="AN72" s="76">
        <f>IFERROR(AN70+AN71,"")</f>
        <v/>
      </c>
    </row>
    <row r="73">
      <c r="AB73" s="19" t="n"/>
    </row>
    <row r="74">
      <c r="A74" s="9" t="inlineStr">
        <is>
          <t>Non-current liabilities</t>
        </is>
      </c>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46" t="n"/>
      <c r="AC74" s="9" t="n"/>
      <c r="AD74" s="9" t="n"/>
      <c r="AE74" s="9" t="n"/>
      <c r="AF74" s="9" t="n"/>
      <c r="AG74" s="9" t="n"/>
      <c r="AH74" s="9" t="n"/>
      <c r="AI74" s="9" t="n"/>
      <c r="AJ74" s="9" t="n"/>
      <c r="AK74" s="9" t="n"/>
      <c r="AL74" s="9" t="n"/>
      <c r="AM74" s="9" t="n"/>
      <c r="AN74" s="9" t="n"/>
    </row>
    <row r="75" outlineLevel="1">
      <c r="A75" s="20" t="inlineStr">
        <is>
          <t>Borrowings</t>
        </is>
      </c>
      <c r="B75" s="17" t="inlineStr">
        <is>
          <t>Rs Mn</t>
        </is>
      </c>
      <c r="E75" s="71">
        <f>IF('Raw Data - financials'!E86="","",'Raw Data - financials'!E86)</f>
        <v/>
      </c>
      <c r="G75" s="71">
        <f>IF('Raw Data - financials'!G86="","",'Raw Data - financials'!G86)</f>
        <v/>
      </c>
      <c r="I75" s="71">
        <f>IF('Raw Data - financials'!I86="","",'Raw Data - financials'!I86)</f>
        <v/>
      </c>
      <c r="K75" s="71">
        <f>IF('Raw Data - financials'!K86="","",'Raw Data - financials'!K86)</f>
        <v/>
      </c>
      <c r="M75" s="71">
        <f>IF('Raw Data - financials'!M86="","",'Raw Data - financials'!M86)</f>
        <v/>
      </c>
      <c r="O75" s="71">
        <f>IF('Raw Data - financials'!O86="","",'Raw Data - financials'!O86)</f>
        <v/>
      </c>
      <c r="Q75" s="71">
        <f>IF('Raw Data - financials'!Q86="","",'Raw Data - financials'!Q86)</f>
        <v/>
      </c>
      <c r="S75" s="71">
        <f>IF('Raw Data - financials'!S86="","",'Raw Data - financials'!S86)</f>
        <v/>
      </c>
      <c r="U75" s="71">
        <f>IF('Raw Data - financials'!U86="","",'Raw Data - financials'!U86)</f>
        <v/>
      </c>
      <c r="W75" s="71">
        <f>IF('Raw Data - financials'!W86="","",'Raw Data - financials'!W86)</f>
        <v/>
      </c>
      <c r="AB75" s="19" t="n"/>
      <c r="AC75" s="72">
        <f>IF('Raw Data - financials'!AC86="","",'Raw Data - financials'!AC86)</f>
        <v/>
      </c>
      <c r="AD75" s="72">
        <f>IF('Raw Data - financials'!AD86="","",'Raw Data - financials'!AD86)</f>
        <v/>
      </c>
      <c r="AE75" s="72">
        <f>IF('Raw Data - financials'!AE86="","",'Raw Data - financials'!AE86)</f>
        <v/>
      </c>
      <c r="AF75" s="72">
        <f>IF('Raw Data - financials'!AF86="","",'Raw Data - financials'!AF86)</f>
        <v/>
      </c>
      <c r="AG75" s="72">
        <f>IF('Raw Data - financials'!AG86="","",'Raw Data - financials'!AG86)</f>
        <v/>
      </c>
      <c r="AH75" s="72">
        <f>IF('Raw Data - financials'!AH86="","",'Raw Data - financials'!AH86)</f>
        <v/>
      </c>
      <c r="AI75" s="72">
        <f>IF('Raw Data - financials'!AI86="","",'Raw Data - financials'!AI86)</f>
        <v/>
      </c>
      <c r="AJ75" s="72">
        <f>IF('Raw Data - financials'!AJ86="","",'Raw Data - financials'!AJ86)</f>
        <v/>
      </c>
      <c r="AK75" s="72">
        <f>IF('Projections'!AK154="","",'Projections'!AK154)</f>
        <v/>
      </c>
      <c r="AL75" s="72">
        <f>IF('Projections'!AL154="","",'Projections'!AL154)</f>
        <v/>
      </c>
      <c r="AM75" s="72">
        <f>IF('Projections'!AM154="","",'Projections'!AM154)</f>
        <v/>
      </c>
      <c r="AN75" s="72">
        <f>IF('Projections'!AN154="","",'Projections'!AN154)</f>
        <v/>
      </c>
    </row>
    <row r="76" outlineLevel="1">
      <c r="A76" s="20" t="inlineStr">
        <is>
          <t>Lease liabilities</t>
        </is>
      </c>
      <c r="B76" s="17" t="inlineStr">
        <is>
          <t>Rs Mn</t>
        </is>
      </c>
      <c r="E76" s="71">
        <f>IF('Raw Data - financials'!E87="","",'Raw Data - financials'!E87)</f>
        <v/>
      </c>
      <c r="G76" s="71">
        <f>IF('Raw Data - financials'!G87="","",'Raw Data - financials'!G87)</f>
        <v/>
      </c>
      <c r="I76" s="71">
        <f>IF('Raw Data - financials'!I87="","",'Raw Data - financials'!I87)</f>
        <v/>
      </c>
      <c r="K76" s="71">
        <f>IF('Raw Data - financials'!K87="","",'Raw Data - financials'!K87)</f>
        <v/>
      </c>
      <c r="M76" s="71">
        <f>IF('Raw Data - financials'!M87="","",'Raw Data - financials'!M87)</f>
        <v/>
      </c>
      <c r="O76" s="71">
        <f>IF('Raw Data - financials'!O87="","",'Raw Data - financials'!O87)</f>
        <v/>
      </c>
      <c r="Q76" s="71">
        <f>IF('Raw Data - financials'!Q87="","",'Raw Data - financials'!Q87)</f>
        <v/>
      </c>
      <c r="S76" s="71">
        <f>IF('Raw Data - financials'!S87="","",'Raw Data - financials'!S87)</f>
        <v/>
      </c>
      <c r="U76" s="71">
        <f>IF('Raw Data - financials'!U87="","",'Raw Data - financials'!U87)</f>
        <v/>
      </c>
      <c r="W76" s="71">
        <f>IF('Raw Data - financials'!W87="","",'Raw Data - financials'!W87)</f>
        <v/>
      </c>
      <c r="AB76" s="19" t="n"/>
      <c r="AC76" s="72">
        <f>IF('Raw Data - financials'!AC87="","",'Raw Data - financials'!AC87)</f>
        <v/>
      </c>
      <c r="AD76" s="72">
        <f>IF('Raw Data - financials'!AD87="","",'Raw Data - financials'!AD87)</f>
        <v/>
      </c>
      <c r="AE76" s="72">
        <f>IF('Raw Data - financials'!AE87="","",'Raw Data - financials'!AE87)</f>
        <v/>
      </c>
      <c r="AF76" s="72">
        <f>IF('Raw Data - financials'!AF87="","",'Raw Data - financials'!AF87)</f>
        <v/>
      </c>
      <c r="AG76" s="72">
        <f>IF('Raw Data - financials'!AG87="","",'Raw Data - financials'!AG87)</f>
        <v/>
      </c>
      <c r="AH76" s="72">
        <f>IF('Raw Data - financials'!AH87="","",'Raw Data - financials'!AH87)</f>
        <v/>
      </c>
      <c r="AI76" s="72">
        <f>IF('Raw Data - financials'!AI87="","",'Raw Data - financials'!AI87)</f>
        <v/>
      </c>
      <c r="AJ76" s="72">
        <f>IF('Raw Data - financials'!AJ87="","",'Raw Data - financials'!AJ87)</f>
        <v/>
      </c>
      <c r="AK76" s="72">
        <f>IF('Projections'!AK156="","",'Projections'!AK156)</f>
        <v/>
      </c>
      <c r="AL76" s="72">
        <f>IF('Projections'!AL156="","",'Projections'!AL156)</f>
        <v/>
      </c>
      <c r="AM76" s="72">
        <f>IF('Projections'!AM156="","",'Projections'!AM156)</f>
        <v/>
      </c>
      <c r="AN76" s="72">
        <f>IF('Projections'!AN156="","",'Projections'!AN156)</f>
        <v/>
      </c>
    </row>
    <row r="77" outlineLevel="1">
      <c r="A77" s="20" t="inlineStr">
        <is>
          <t>Other financial liabilities</t>
        </is>
      </c>
      <c r="B77" s="17" t="inlineStr">
        <is>
          <t>Rs Mn</t>
        </is>
      </c>
      <c r="E77" s="71">
        <f>IF('Raw Data - financials'!E88="","",'Raw Data - financials'!E88)</f>
        <v/>
      </c>
      <c r="G77" s="71">
        <f>IF('Raw Data - financials'!G88="","",'Raw Data - financials'!G88)</f>
        <v/>
      </c>
      <c r="I77" s="71">
        <f>IF('Raw Data - financials'!I88="","",'Raw Data - financials'!I88)</f>
        <v/>
      </c>
      <c r="K77" s="71">
        <f>IF('Raw Data - financials'!K88="","",'Raw Data - financials'!K88)</f>
        <v/>
      </c>
      <c r="M77" s="71">
        <f>IF('Raw Data - financials'!M88="","",'Raw Data - financials'!M88)</f>
        <v/>
      </c>
      <c r="O77" s="71">
        <f>IF('Raw Data - financials'!O88="","",'Raw Data - financials'!O88)</f>
        <v/>
      </c>
      <c r="Q77" s="71">
        <f>IF('Raw Data - financials'!Q88="","",'Raw Data - financials'!Q88)</f>
        <v/>
      </c>
      <c r="S77" s="71">
        <f>IF('Raw Data - financials'!S88="","",'Raw Data - financials'!S88)</f>
        <v/>
      </c>
      <c r="U77" s="71">
        <f>IF('Raw Data - financials'!U88="","",'Raw Data - financials'!U88)</f>
        <v/>
      </c>
      <c r="W77" s="71">
        <f>IF('Raw Data - financials'!W88="","",'Raw Data - financials'!W88)</f>
        <v/>
      </c>
      <c r="AB77" s="19" t="n"/>
      <c r="AC77" s="72">
        <f>IF('Raw Data - financials'!AC88="","",'Raw Data - financials'!AC88)</f>
        <v/>
      </c>
      <c r="AD77" s="72">
        <f>IF('Raw Data - financials'!AD88="","",'Raw Data - financials'!AD88)</f>
        <v/>
      </c>
      <c r="AE77" s="72">
        <f>IF('Raw Data - financials'!AE88="","",'Raw Data - financials'!AE88)</f>
        <v/>
      </c>
      <c r="AF77" s="72">
        <f>IF('Raw Data - financials'!AF88="","",'Raw Data - financials'!AF88)</f>
        <v/>
      </c>
      <c r="AG77" s="72">
        <f>IF('Raw Data - financials'!AG88="","",'Raw Data - financials'!AG88)</f>
        <v/>
      </c>
      <c r="AH77" s="72">
        <f>IF('Raw Data - financials'!AH88="","",'Raw Data - financials'!AH88)</f>
        <v/>
      </c>
      <c r="AI77" s="72">
        <f>IF('Raw Data - financials'!AI88="","",'Raw Data - financials'!AI88)</f>
        <v/>
      </c>
      <c r="AJ77" s="72">
        <f>IF('Raw Data - financials'!AJ88="","",'Raw Data - financials'!AJ88)</f>
        <v/>
      </c>
      <c r="AK77" s="72" t="n">
        <v>0</v>
      </c>
      <c r="AL77" s="72" t="n">
        <v>0</v>
      </c>
      <c r="AM77" s="72" t="n">
        <v>0</v>
      </c>
      <c r="AN77" s="72" t="n">
        <v>0</v>
      </c>
    </row>
    <row r="78" outlineLevel="1">
      <c r="A78" s="20" t="inlineStr">
        <is>
          <t>Provisions</t>
        </is>
      </c>
      <c r="B78" s="17" t="inlineStr">
        <is>
          <t>Rs Mn</t>
        </is>
      </c>
      <c r="E78" s="71">
        <f>IF('Raw Data - financials'!E89="","",'Raw Data - financials'!E89)</f>
        <v/>
      </c>
      <c r="G78" s="71">
        <f>IF('Raw Data - financials'!G89="","",'Raw Data - financials'!G89)</f>
        <v/>
      </c>
      <c r="I78" s="71">
        <f>IF('Raw Data - financials'!I89="","",'Raw Data - financials'!I89)</f>
        <v/>
      </c>
      <c r="K78" s="71">
        <f>IF('Raw Data - financials'!K89="","",'Raw Data - financials'!K89)</f>
        <v/>
      </c>
      <c r="M78" s="71">
        <f>IF('Raw Data - financials'!M89="","",'Raw Data - financials'!M89)</f>
        <v/>
      </c>
      <c r="O78" s="71">
        <f>IF('Raw Data - financials'!O89="","",'Raw Data - financials'!O89)</f>
        <v/>
      </c>
      <c r="Q78" s="71">
        <f>IF('Raw Data - financials'!Q89="","",'Raw Data - financials'!Q89)</f>
        <v/>
      </c>
      <c r="S78" s="71">
        <f>IF('Raw Data - financials'!S89="","",'Raw Data - financials'!S89)</f>
        <v/>
      </c>
      <c r="U78" s="71">
        <f>IF('Raw Data - financials'!U89="","",'Raw Data - financials'!U89)</f>
        <v/>
      </c>
      <c r="W78" s="71">
        <f>IF('Raw Data - financials'!W89="","",'Raw Data - financials'!W89)</f>
        <v/>
      </c>
      <c r="AB78" s="19" t="n"/>
      <c r="AC78" s="72">
        <f>IF('Raw Data - financials'!AC89="","",'Raw Data - financials'!AC89)</f>
        <v/>
      </c>
      <c r="AD78" s="72">
        <f>IF('Raw Data - financials'!AD89="","",'Raw Data - financials'!AD89)</f>
        <v/>
      </c>
      <c r="AE78" s="72">
        <f>IF('Raw Data - financials'!AE89="","",'Raw Data - financials'!AE89)</f>
        <v/>
      </c>
      <c r="AF78" s="72">
        <f>IF('Raw Data - financials'!AF89="","",'Raw Data - financials'!AF89)</f>
        <v/>
      </c>
      <c r="AG78" s="72">
        <f>IF('Raw Data - financials'!AG89="","",'Raw Data - financials'!AG89)</f>
        <v/>
      </c>
      <c r="AH78" s="72">
        <f>IF('Raw Data - financials'!AH89="","",'Raw Data - financials'!AH89)</f>
        <v/>
      </c>
      <c r="AI78" s="72">
        <f>IF('Raw Data - financials'!AI89="","",'Raw Data - financials'!AI89)</f>
        <v/>
      </c>
      <c r="AJ78" s="72">
        <f>IF('Raw Data - financials'!AJ89="","",'Raw Data - financials'!AJ89)</f>
        <v/>
      </c>
      <c r="AK78" s="72" t="n">
        <v>0</v>
      </c>
      <c r="AL78" s="72" t="n">
        <v>0</v>
      </c>
      <c r="AM78" s="72" t="n">
        <v>0</v>
      </c>
      <c r="AN78" s="72" t="n">
        <v>0</v>
      </c>
    </row>
    <row r="79">
      <c r="A79" s="74" t="inlineStr">
        <is>
          <t>Total Non-Current Liabilities</t>
        </is>
      </c>
      <c r="B79" s="17" t="inlineStr">
        <is>
          <t>Rs Mn</t>
        </is>
      </c>
      <c r="E79" s="75">
        <f>IFERROR(E75+E76+E77+E78,"")</f>
        <v/>
      </c>
      <c r="G79" s="75">
        <f>IFERROR(G75+G76+G77+G78,"")</f>
        <v/>
      </c>
      <c r="I79" s="75">
        <f>IFERROR(I75+I76+I77+I78,"")</f>
        <v/>
      </c>
      <c r="K79" s="75">
        <f>IFERROR(K75+K76+K77+K78,"")</f>
        <v/>
      </c>
      <c r="M79" s="75">
        <f>IFERROR(M75+M76+M77+M78,"")</f>
        <v/>
      </c>
      <c r="O79" s="75">
        <f>IFERROR(O75+O76+O77+O78,"")</f>
        <v/>
      </c>
      <c r="Q79" s="75">
        <f>IFERROR(Q75+Q76+Q77+Q78,"")</f>
        <v/>
      </c>
      <c r="S79" s="75">
        <f>IFERROR(S75+S76+S77+S78,"")</f>
        <v/>
      </c>
      <c r="U79" s="75">
        <f>IFERROR(U75+U76+U77+U78,"")</f>
        <v/>
      </c>
      <c r="W79" s="75">
        <f>IFERROR(W75+W76+W77+W78,"")</f>
        <v/>
      </c>
      <c r="AB79" s="19" t="n"/>
      <c r="AC79" s="76">
        <f>IFERROR(AC75+AC76+AC77+AC78,"")</f>
        <v/>
      </c>
      <c r="AD79" s="76">
        <f>IFERROR(AD75+AD76+AD77+AD78,"")</f>
        <v/>
      </c>
      <c r="AE79" s="76">
        <f>IFERROR(AE75+AE76+AE77+AE78,"")</f>
        <v/>
      </c>
      <c r="AF79" s="76">
        <f>IFERROR(AF75+AF76+AF77+AF78,"")</f>
        <v/>
      </c>
      <c r="AG79" s="76">
        <f>IFERROR(AG75+AG76+AG77+AG78,"")</f>
        <v/>
      </c>
      <c r="AH79" s="76">
        <f>IFERROR(AH75+AH76+AH77+AH78,"")</f>
        <v/>
      </c>
      <c r="AI79" s="76">
        <f>IFERROR(AI75+AI76+AI77+AI78,"")</f>
        <v/>
      </c>
      <c r="AJ79" s="76">
        <f>IFERROR(AJ75+AJ76+AJ77+AJ78,"")</f>
        <v/>
      </c>
      <c r="AK79" s="76">
        <f>IFERROR(AK75+AK76+AK77+AK78,"")</f>
        <v/>
      </c>
      <c r="AL79" s="76">
        <f>IFERROR(AL75+AL76+AL77+AL78,"")</f>
        <v/>
      </c>
      <c r="AM79" s="76">
        <f>IFERROR(AM75+AM76+AM77+AM78,"")</f>
        <v/>
      </c>
      <c r="AN79" s="76">
        <f>IFERROR(AN75+AN76+AN77+AN78,"")</f>
        <v/>
      </c>
    </row>
    <row r="80">
      <c r="AB80" s="19" t="n"/>
    </row>
    <row r="81">
      <c r="A81" s="9" t="inlineStr">
        <is>
          <t>Current liabilities</t>
        </is>
      </c>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46" t="n"/>
      <c r="AC81" s="9" t="n"/>
      <c r="AD81" s="9" t="n"/>
      <c r="AE81" s="9" t="n"/>
      <c r="AF81" s="9" t="n"/>
      <c r="AG81" s="9" t="n"/>
      <c r="AH81" s="9" t="n"/>
      <c r="AI81" s="9" t="n"/>
      <c r="AJ81" s="9" t="n"/>
      <c r="AK81" s="9" t="n"/>
      <c r="AL81" s="9" t="n"/>
      <c r="AM81" s="9" t="n"/>
      <c r="AN81" s="9" t="n"/>
    </row>
    <row r="82" outlineLevel="1">
      <c r="A82" s="20" t="inlineStr">
        <is>
          <t>Borrowings</t>
        </is>
      </c>
      <c r="B82" s="17" t="inlineStr">
        <is>
          <t>Rs Mn</t>
        </is>
      </c>
      <c r="E82" s="71">
        <f>IF('Raw Data - financials'!E93="","",'Raw Data - financials'!E93)</f>
        <v/>
      </c>
      <c r="G82" s="71">
        <f>IF('Raw Data - financials'!G93="","",'Raw Data - financials'!G93)</f>
        <v/>
      </c>
      <c r="I82" s="71">
        <f>IF('Raw Data - financials'!I93="","",'Raw Data - financials'!I93)</f>
        <v/>
      </c>
      <c r="K82" s="71">
        <f>IF('Raw Data - financials'!K93="","",'Raw Data - financials'!K93)</f>
        <v/>
      </c>
      <c r="M82" s="71">
        <f>IF('Raw Data - financials'!M93="","",'Raw Data - financials'!M93)</f>
        <v/>
      </c>
      <c r="O82" s="71">
        <f>IF('Raw Data - financials'!O93="","",'Raw Data - financials'!O93)</f>
        <v/>
      </c>
      <c r="Q82" s="71">
        <f>IF('Raw Data - financials'!Q93="","",'Raw Data - financials'!Q93)</f>
        <v/>
      </c>
      <c r="S82" s="71">
        <f>IF('Raw Data - financials'!S93="","",'Raw Data - financials'!S93)</f>
        <v/>
      </c>
      <c r="U82" s="71">
        <f>IF('Raw Data - financials'!U93="","",'Raw Data - financials'!U93)</f>
        <v/>
      </c>
      <c r="W82" s="71">
        <f>IF('Raw Data - financials'!W93="","",'Raw Data - financials'!W93)</f>
        <v/>
      </c>
      <c r="AB82" s="19" t="n"/>
      <c r="AC82" s="72">
        <f>IF('Raw Data - financials'!AC93="","",'Raw Data - financials'!AC93)</f>
        <v/>
      </c>
      <c r="AD82" s="72">
        <f>IF('Raw Data - financials'!AD93="","",'Raw Data - financials'!AD93)</f>
        <v/>
      </c>
      <c r="AE82" s="72">
        <f>IF('Raw Data - financials'!AE93="","",'Raw Data - financials'!AE93)</f>
        <v/>
      </c>
      <c r="AF82" s="72">
        <f>IF('Raw Data - financials'!AF93="","",'Raw Data - financials'!AF93)</f>
        <v/>
      </c>
      <c r="AG82" s="72">
        <f>IF('Raw Data - financials'!AG93="","",'Raw Data - financials'!AG93)</f>
        <v/>
      </c>
      <c r="AH82" s="72">
        <f>IF('Raw Data - financials'!AH93="","",'Raw Data - financials'!AH93)</f>
        <v/>
      </c>
      <c r="AI82" s="72">
        <f>IF('Raw Data - financials'!AI93="","",'Raw Data - financials'!AI93)</f>
        <v/>
      </c>
      <c r="AJ82" s="72">
        <f>IF('Raw Data - financials'!AJ93="","",'Raw Data - financials'!AJ93)</f>
        <v/>
      </c>
      <c r="AK82" s="72" t="n">
        <v>0</v>
      </c>
      <c r="AL82" s="72" t="n">
        <v>0</v>
      </c>
      <c r="AM82" s="72" t="n">
        <v>0</v>
      </c>
      <c r="AN82" s="72" t="n">
        <v>0</v>
      </c>
    </row>
    <row r="83" outlineLevel="1">
      <c r="A83" s="20" t="inlineStr">
        <is>
          <t>Lease liabilities</t>
        </is>
      </c>
      <c r="B83" s="17" t="inlineStr">
        <is>
          <t>Rs Mn</t>
        </is>
      </c>
      <c r="E83" s="71">
        <f>IF('Raw Data - financials'!E94="","",'Raw Data - financials'!E94)</f>
        <v/>
      </c>
      <c r="G83" s="71">
        <f>IF('Raw Data - financials'!G94="","",'Raw Data - financials'!G94)</f>
        <v/>
      </c>
      <c r="I83" s="71">
        <f>IF('Raw Data - financials'!I94="","",'Raw Data - financials'!I94)</f>
        <v/>
      </c>
      <c r="K83" s="71">
        <f>IF('Raw Data - financials'!K94="","",'Raw Data - financials'!K94)</f>
        <v/>
      </c>
      <c r="M83" s="71">
        <f>IF('Raw Data - financials'!M94="","",'Raw Data - financials'!M94)</f>
        <v/>
      </c>
      <c r="O83" s="71">
        <f>IF('Raw Data - financials'!O94="","",'Raw Data - financials'!O94)</f>
        <v/>
      </c>
      <c r="Q83" s="71">
        <f>IF('Raw Data - financials'!Q94="","",'Raw Data - financials'!Q94)</f>
        <v/>
      </c>
      <c r="S83" s="71">
        <f>IF('Raw Data - financials'!S94="","",'Raw Data - financials'!S94)</f>
        <v/>
      </c>
      <c r="U83" s="71">
        <f>IF('Raw Data - financials'!U94="","",'Raw Data - financials'!U94)</f>
        <v/>
      </c>
      <c r="W83" s="71">
        <f>IF('Raw Data - financials'!W94="","",'Raw Data - financials'!W94)</f>
        <v/>
      </c>
      <c r="AB83" s="19" t="n"/>
      <c r="AC83" s="72">
        <f>IF('Raw Data - financials'!AC94="","",'Raw Data - financials'!AC94)</f>
        <v/>
      </c>
      <c r="AD83" s="72">
        <f>IF('Raw Data - financials'!AD94="","",'Raw Data - financials'!AD94)</f>
        <v/>
      </c>
      <c r="AE83" s="72">
        <f>IF('Raw Data - financials'!AE94="","",'Raw Data - financials'!AE94)</f>
        <v/>
      </c>
      <c r="AF83" s="72">
        <f>IF('Raw Data - financials'!AF94="","",'Raw Data - financials'!AF94)</f>
        <v/>
      </c>
      <c r="AG83" s="72">
        <f>IF('Raw Data - financials'!AG94="","",'Raw Data - financials'!AG94)</f>
        <v/>
      </c>
      <c r="AH83" s="72">
        <f>IF('Raw Data - financials'!AH94="","",'Raw Data - financials'!AH94)</f>
        <v/>
      </c>
      <c r="AI83" s="72">
        <f>IF('Raw Data - financials'!AI94="","",'Raw Data - financials'!AI94)</f>
        <v/>
      </c>
      <c r="AJ83" s="72">
        <f>IF('Raw Data - financials'!AJ94="","",'Raw Data - financials'!AJ94)</f>
        <v/>
      </c>
      <c r="AK83" s="72" t="n">
        <v>0</v>
      </c>
      <c r="AL83" s="72" t="n">
        <v>0</v>
      </c>
      <c r="AM83" s="72" t="n">
        <v>0</v>
      </c>
      <c r="AN83" s="72" t="n">
        <v>0</v>
      </c>
    </row>
    <row r="84" outlineLevel="1">
      <c r="A84" s="20" t="inlineStr">
        <is>
          <t>Trade payables - micro &amp; small enterprises</t>
        </is>
      </c>
      <c r="B84" s="17" t="inlineStr">
        <is>
          <t>Rs Mn</t>
        </is>
      </c>
      <c r="E84" s="71">
        <f>IF('Raw Data - financials'!E95="","",'Raw Data - financials'!E95)</f>
        <v/>
      </c>
      <c r="G84" s="71">
        <f>IF('Raw Data - financials'!G95="","",'Raw Data - financials'!G95)</f>
        <v/>
      </c>
      <c r="I84" s="71">
        <f>IF('Raw Data - financials'!I95="","",'Raw Data - financials'!I95)</f>
        <v/>
      </c>
      <c r="K84" s="71">
        <f>IF('Raw Data - financials'!K95="","",'Raw Data - financials'!K95)</f>
        <v/>
      </c>
      <c r="M84" s="71">
        <f>IF('Raw Data - financials'!M95="","",'Raw Data - financials'!M95)</f>
        <v/>
      </c>
      <c r="O84" s="71">
        <f>IF('Raw Data - financials'!O95="","",'Raw Data - financials'!O95)</f>
        <v/>
      </c>
      <c r="Q84" s="71">
        <f>IF('Raw Data - financials'!Q95="","",'Raw Data - financials'!Q95)</f>
        <v/>
      </c>
      <c r="S84" s="71">
        <f>IF('Raw Data - financials'!S95="","",'Raw Data - financials'!S95)</f>
        <v/>
      </c>
      <c r="U84" s="71">
        <f>IF('Raw Data - financials'!U95="","",'Raw Data - financials'!U95)</f>
        <v/>
      </c>
      <c r="W84" s="71">
        <f>IF('Raw Data - financials'!W95="","",'Raw Data - financials'!W95)</f>
        <v/>
      </c>
      <c r="AB84" s="19" t="n"/>
      <c r="AC84" s="72">
        <f>IF('Raw Data - financials'!AC95="","",'Raw Data - financials'!AC95)</f>
        <v/>
      </c>
      <c r="AD84" s="72">
        <f>IF('Raw Data - financials'!AD95="","",'Raw Data - financials'!AD95)</f>
        <v/>
      </c>
      <c r="AE84" s="72">
        <f>IF('Raw Data - financials'!AE95="","",'Raw Data - financials'!AE95)</f>
        <v/>
      </c>
      <c r="AF84" s="72">
        <f>IF('Raw Data - financials'!AF95="","",'Raw Data - financials'!AF95)</f>
        <v/>
      </c>
      <c r="AG84" s="72">
        <f>IF('Raw Data - financials'!AG95="","",'Raw Data - financials'!AG95)</f>
        <v/>
      </c>
      <c r="AH84" s="72">
        <f>IF('Raw Data - financials'!AH95="","",'Raw Data - financials'!AH95)</f>
        <v/>
      </c>
      <c r="AI84" s="72">
        <f>IF('Raw Data - financials'!AI95="","",'Raw Data - financials'!AI95)</f>
        <v/>
      </c>
      <c r="AJ84" s="72">
        <f>IF('Raw Data - financials'!AJ95="","",'Raw Data - financials'!AJ95)</f>
        <v/>
      </c>
      <c r="AK84" s="72" t="n">
        <v>0</v>
      </c>
      <c r="AL84" s="72" t="n">
        <v>0</v>
      </c>
      <c r="AM84" s="72" t="n">
        <v>0</v>
      </c>
      <c r="AN84" s="72" t="n">
        <v>0</v>
      </c>
    </row>
    <row r="85" outlineLevel="1">
      <c r="A85" s="20" t="inlineStr">
        <is>
          <t>Trade payables - other creditors</t>
        </is>
      </c>
      <c r="B85" s="17" t="inlineStr">
        <is>
          <t>Rs Mn</t>
        </is>
      </c>
      <c r="E85" s="71">
        <f>IF('Raw Data - financials'!E96="","",'Raw Data - financials'!E96)</f>
        <v/>
      </c>
      <c r="G85" s="71">
        <f>IF('Raw Data - financials'!G96="","",'Raw Data - financials'!G96)</f>
        <v/>
      </c>
      <c r="I85" s="71">
        <f>IF('Raw Data - financials'!I96="","",'Raw Data - financials'!I96)</f>
        <v/>
      </c>
      <c r="K85" s="71">
        <f>IF('Raw Data - financials'!K96="","",'Raw Data - financials'!K96)</f>
        <v/>
      </c>
      <c r="M85" s="71">
        <f>IF('Raw Data - financials'!M96="","",'Raw Data - financials'!M96)</f>
        <v/>
      </c>
      <c r="O85" s="71">
        <f>IF('Raw Data - financials'!O96="","",'Raw Data - financials'!O96)</f>
        <v/>
      </c>
      <c r="Q85" s="71">
        <f>IF('Raw Data - financials'!Q96="","",'Raw Data - financials'!Q96)</f>
        <v/>
      </c>
      <c r="S85" s="71">
        <f>IF('Raw Data - financials'!S96="","",'Raw Data - financials'!S96)</f>
        <v/>
      </c>
      <c r="U85" s="71">
        <f>IF('Raw Data - financials'!U96="","",'Raw Data - financials'!U96)</f>
        <v/>
      </c>
      <c r="W85" s="71">
        <f>IF('Raw Data - financials'!W96="","",'Raw Data - financials'!W96)</f>
        <v/>
      </c>
      <c r="AB85" s="19" t="n"/>
      <c r="AC85" s="72">
        <f>IF('Raw Data - financials'!AC96="","",'Raw Data - financials'!AC96)</f>
        <v/>
      </c>
      <c r="AD85" s="72">
        <f>IF('Raw Data - financials'!AD96="","",'Raw Data - financials'!AD96)</f>
        <v/>
      </c>
      <c r="AE85" s="72">
        <f>IF('Raw Data - financials'!AE96="","",'Raw Data - financials'!AE96)</f>
        <v/>
      </c>
      <c r="AF85" s="72">
        <f>IF('Raw Data - financials'!AF96="","",'Raw Data - financials'!AF96)</f>
        <v/>
      </c>
      <c r="AG85" s="72">
        <f>IF('Raw Data - financials'!AG96="","",'Raw Data - financials'!AG96)</f>
        <v/>
      </c>
      <c r="AH85" s="72">
        <f>IF('Raw Data - financials'!AH96="","",'Raw Data - financials'!AH96)</f>
        <v/>
      </c>
      <c r="AI85" s="72">
        <f>IF('Raw Data - financials'!AI96="","",'Raw Data - financials'!AI96)</f>
        <v/>
      </c>
      <c r="AJ85" s="72">
        <f>IF('Raw Data - financials'!AJ96="","",'Raw Data - financials'!AJ96)</f>
        <v/>
      </c>
      <c r="AK85" s="72">
        <f>IF('Projections'!AK158="","",'Projections'!AK158)</f>
        <v/>
      </c>
      <c r="AL85" s="72">
        <f>IF('Projections'!AL158="","",'Projections'!AL158)</f>
        <v/>
      </c>
      <c r="AM85" s="72">
        <f>IF('Projections'!AM158="","",'Projections'!AM158)</f>
        <v/>
      </c>
      <c r="AN85" s="72">
        <f>IF('Projections'!AN158="","",'Projections'!AN158)</f>
        <v/>
      </c>
    </row>
    <row r="86" outlineLevel="1">
      <c r="A86" s="20" t="inlineStr">
        <is>
          <t>Other financial liabilities</t>
        </is>
      </c>
      <c r="B86" s="17" t="inlineStr">
        <is>
          <t>Rs Mn</t>
        </is>
      </c>
      <c r="E86" s="71">
        <f>IF('Raw Data - financials'!E97="","",'Raw Data - financials'!E97)</f>
        <v/>
      </c>
      <c r="G86" s="71">
        <f>IF('Raw Data - financials'!G97="","",'Raw Data - financials'!G97)</f>
        <v/>
      </c>
      <c r="I86" s="71">
        <f>IF('Raw Data - financials'!I97="","",'Raw Data - financials'!I97)</f>
        <v/>
      </c>
      <c r="K86" s="71">
        <f>IF('Raw Data - financials'!K97="","",'Raw Data - financials'!K97)</f>
        <v/>
      </c>
      <c r="M86" s="71">
        <f>IF('Raw Data - financials'!M97="","",'Raw Data - financials'!M97)</f>
        <v/>
      </c>
      <c r="O86" s="71">
        <f>IF('Raw Data - financials'!O97="","",'Raw Data - financials'!O97)</f>
        <v/>
      </c>
      <c r="Q86" s="71">
        <f>IF('Raw Data - financials'!Q97="","",'Raw Data - financials'!Q97)</f>
        <v/>
      </c>
      <c r="S86" s="71">
        <f>IF('Raw Data - financials'!S97="","",'Raw Data - financials'!S97)</f>
        <v/>
      </c>
      <c r="U86" s="71">
        <f>IF('Raw Data - financials'!U97="","",'Raw Data - financials'!U97)</f>
        <v/>
      </c>
      <c r="W86" s="71">
        <f>IF('Raw Data - financials'!W97="","",'Raw Data - financials'!W97)</f>
        <v/>
      </c>
      <c r="AB86" s="19" t="n"/>
      <c r="AC86" s="72">
        <f>IF('Raw Data - financials'!AC97="","",'Raw Data - financials'!AC97)</f>
        <v/>
      </c>
      <c r="AD86" s="72">
        <f>IF('Raw Data - financials'!AD97="","",'Raw Data - financials'!AD97)</f>
        <v/>
      </c>
      <c r="AE86" s="72">
        <f>IF('Raw Data - financials'!AE97="","",'Raw Data - financials'!AE97)</f>
        <v/>
      </c>
      <c r="AF86" s="72">
        <f>IF('Raw Data - financials'!AF97="","",'Raw Data - financials'!AF97)</f>
        <v/>
      </c>
      <c r="AG86" s="72">
        <f>IF('Raw Data - financials'!AG97="","",'Raw Data - financials'!AG97)</f>
        <v/>
      </c>
      <c r="AH86" s="72">
        <f>IF('Raw Data - financials'!AH97="","",'Raw Data - financials'!AH97)</f>
        <v/>
      </c>
      <c r="AI86" s="72">
        <f>IF('Raw Data - financials'!AI97="","",'Raw Data - financials'!AI97)</f>
        <v/>
      </c>
      <c r="AJ86" s="72">
        <f>IF('Raw Data - financials'!AJ97="","",'Raw Data - financials'!AJ97)</f>
        <v/>
      </c>
      <c r="AK86" s="72" t="n">
        <v>0</v>
      </c>
      <c r="AL86" s="72" t="n">
        <v>0</v>
      </c>
      <c r="AM86" s="72" t="n">
        <v>0</v>
      </c>
      <c r="AN86" s="72" t="n">
        <v>0</v>
      </c>
    </row>
    <row r="87" outlineLevel="1">
      <c r="A87" s="20" t="inlineStr">
        <is>
          <t>Provisions</t>
        </is>
      </c>
      <c r="B87" s="17" t="inlineStr">
        <is>
          <t>Rs Mn</t>
        </is>
      </c>
      <c r="E87" s="71">
        <f>IF('Raw Data - financials'!E98="","",'Raw Data - financials'!E98)</f>
        <v/>
      </c>
      <c r="G87" s="71">
        <f>IF('Raw Data - financials'!G98="","",'Raw Data - financials'!G98)</f>
        <v/>
      </c>
      <c r="I87" s="71">
        <f>IF('Raw Data - financials'!I98="","",'Raw Data - financials'!I98)</f>
        <v/>
      </c>
      <c r="K87" s="71">
        <f>IF('Raw Data - financials'!K98="","",'Raw Data - financials'!K98)</f>
        <v/>
      </c>
      <c r="M87" s="71">
        <f>IF('Raw Data - financials'!M98="","",'Raw Data - financials'!M98)</f>
        <v/>
      </c>
      <c r="O87" s="71">
        <f>IF('Raw Data - financials'!O98="","",'Raw Data - financials'!O98)</f>
        <v/>
      </c>
      <c r="Q87" s="71">
        <f>IF('Raw Data - financials'!Q98="","",'Raw Data - financials'!Q98)</f>
        <v/>
      </c>
      <c r="S87" s="71">
        <f>IF('Raw Data - financials'!S98="","",'Raw Data - financials'!S98)</f>
        <v/>
      </c>
      <c r="U87" s="71">
        <f>IF('Raw Data - financials'!U98="","",'Raw Data - financials'!U98)</f>
        <v/>
      </c>
      <c r="W87" s="71">
        <f>IF('Raw Data - financials'!W98="","",'Raw Data - financials'!W98)</f>
        <v/>
      </c>
      <c r="AB87" s="19" t="n"/>
      <c r="AC87" s="72">
        <f>IF('Raw Data - financials'!AC98="","",'Raw Data - financials'!AC98)</f>
        <v/>
      </c>
      <c r="AD87" s="72">
        <f>IF('Raw Data - financials'!AD98="","",'Raw Data - financials'!AD98)</f>
        <v/>
      </c>
      <c r="AE87" s="72">
        <f>IF('Raw Data - financials'!AE98="","",'Raw Data - financials'!AE98)</f>
        <v/>
      </c>
      <c r="AF87" s="72">
        <f>IF('Raw Data - financials'!AF98="","",'Raw Data - financials'!AF98)</f>
        <v/>
      </c>
      <c r="AG87" s="72">
        <f>IF('Raw Data - financials'!AG98="","",'Raw Data - financials'!AG98)</f>
        <v/>
      </c>
      <c r="AH87" s="72">
        <f>IF('Raw Data - financials'!AH98="","",'Raw Data - financials'!AH98)</f>
        <v/>
      </c>
      <c r="AI87" s="72">
        <f>IF('Raw Data - financials'!AI98="","",'Raw Data - financials'!AI98)</f>
        <v/>
      </c>
      <c r="AJ87" s="72">
        <f>IF('Raw Data - financials'!AJ98="","",'Raw Data - financials'!AJ98)</f>
        <v/>
      </c>
      <c r="AK87" s="72" t="n">
        <v>0</v>
      </c>
      <c r="AL87" s="72" t="n">
        <v>0</v>
      </c>
      <c r="AM87" s="72" t="n">
        <v>0</v>
      </c>
      <c r="AN87" s="72" t="n">
        <v>0</v>
      </c>
    </row>
    <row r="88" outlineLevel="1">
      <c r="A88" s="20" t="inlineStr">
        <is>
          <t>Contract liabilities</t>
        </is>
      </c>
      <c r="B88" s="17" t="inlineStr">
        <is>
          <t>Rs Mn</t>
        </is>
      </c>
      <c r="E88" s="71">
        <f>IF('Raw Data - financials'!E99="","",'Raw Data - financials'!E99)</f>
        <v/>
      </c>
      <c r="G88" s="71">
        <f>IF('Raw Data - financials'!G99="","",'Raw Data - financials'!G99)</f>
        <v/>
      </c>
      <c r="I88" s="71">
        <f>IF('Raw Data - financials'!I99="","",'Raw Data - financials'!I99)</f>
        <v/>
      </c>
      <c r="K88" s="71">
        <f>IF('Raw Data - financials'!K99="","",'Raw Data - financials'!K99)</f>
        <v/>
      </c>
      <c r="M88" s="71">
        <f>IF('Raw Data - financials'!M99="","",'Raw Data - financials'!M99)</f>
        <v/>
      </c>
      <c r="O88" s="71">
        <f>IF('Raw Data - financials'!O99="","",'Raw Data - financials'!O99)</f>
        <v/>
      </c>
      <c r="Q88" s="71">
        <f>IF('Raw Data - financials'!Q99="","",'Raw Data - financials'!Q99)</f>
        <v/>
      </c>
      <c r="S88" s="71">
        <f>IF('Raw Data - financials'!S99="","",'Raw Data - financials'!S99)</f>
        <v/>
      </c>
      <c r="U88" s="71">
        <f>IF('Raw Data - financials'!U99="","",'Raw Data - financials'!U99)</f>
        <v/>
      </c>
      <c r="W88" s="71">
        <f>IF('Raw Data - financials'!W99="","",'Raw Data - financials'!W99)</f>
        <v/>
      </c>
      <c r="AB88" s="19" t="n"/>
      <c r="AC88" s="72">
        <f>IF('Raw Data - financials'!AC99="","",'Raw Data - financials'!AC99)</f>
        <v/>
      </c>
      <c r="AD88" s="72">
        <f>IF('Raw Data - financials'!AD99="","",'Raw Data - financials'!AD99)</f>
        <v/>
      </c>
      <c r="AE88" s="72">
        <f>IF('Raw Data - financials'!AE99="","",'Raw Data - financials'!AE99)</f>
        <v/>
      </c>
      <c r="AF88" s="72">
        <f>IF('Raw Data - financials'!AF99="","",'Raw Data - financials'!AF99)</f>
        <v/>
      </c>
      <c r="AG88" s="72">
        <f>IF('Raw Data - financials'!AG99="","",'Raw Data - financials'!AG99)</f>
        <v/>
      </c>
      <c r="AH88" s="72">
        <f>IF('Raw Data - financials'!AH99="","",'Raw Data - financials'!AH99)</f>
        <v/>
      </c>
      <c r="AI88" s="72">
        <f>IF('Raw Data - financials'!AI99="","",'Raw Data - financials'!AI99)</f>
        <v/>
      </c>
      <c r="AJ88" s="72">
        <f>IF('Raw Data - financials'!AJ99="","",'Raw Data - financials'!AJ99)</f>
        <v/>
      </c>
      <c r="AK88" s="72" t="n">
        <v>0</v>
      </c>
      <c r="AL88" s="72" t="n">
        <v>0</v>
      </c>
      <c r="AM88" s="72" t="n">
        <v>0</v>
      </c>
      <c r="AN88" s="72" t="n">
        <v>0</v>
      </c>
    </row>
    <row r="89" outlineLevel="1">
      <c r="A89" s="20" t="inlineStr">
        <is>
          <t>Current tax liabilities (net)</t>
        </is>
      </c>
      <c r="B89" s="17" t="inlineStr">
        <is>
          <t>Rs Mn</t>
        </is>
      </c>
      <c r="E89" s="71">
        <f>IF('Raw Data - financials'!E100="","",'Raw Data - financials'!E100)</f>
        <v/>
      </c>
      <c r="G89" s="71">
        <f>IF('Raw Data - financials'!G100="","",'Raw Data - financials'!G100)</f>
        <v/>
      </c>
      <c r="I89" s="71">
        <f>IF('Raw Data - financials'!I100="","",'Raw Data - financials'!I100)</f>
        <v/>
      </c>
      <c r="K89" s="71">
        <f>IF('Raw Data - financials'!K100="","",'Raw Data - financials'!K100)</f>
        <v/>
      </c>
      <c r="M89" s="71">
        <f>IF('Raw Data - financials'!M100="","",'Raw Data - financials'!M100)</f>
        <v/>
      </c>
      <c r="O89" s="71">
        <f>IF('Raw Data - financials'!O100="","",'Raw Data - financials'!O100)</f>
        <v/>
      </c>
      <c r="Q89" s="71">
        <f>IF('Raw Data - financials'!Q100="","",'Raw Data - financials'!Q100)</f>
        <v/>
      </c>
      <c r="S89" s="71">
        <f>IF('Raw Data - financials'!S100="","",'Raw Data - financials'!S100)</f>
        <v/>
      </c>
      <c r="U89" s="71">
        <f>IF('Raw Data - financials'!U100="","",'Raw Data - financials'!U100)</f>
        <v/>
      </c>
      <c r="W89" s="71">
        <f>IF('Raw Data - financials'!W100="","",'Raw Data - financials'!W100)</f>
        <v/>
      </c>
      <c r="AB89" s="19" t="n"/>
      <c r="AC89" s="72">
        <f>IF('Raw Data - financials'!AC100="","",'Raw Data - financials'!AC100)</f>
        <v/>
      </c>
      <c r="AD89" s="72">
        <f>IF('Raw Data - financials'!AD100="","",'Raw Data - financials'!AD100)</f>
        <v/>
      </c>
      <c r="AE89" s="72">
        <f>IF('Raw Data - financials'!AE100="","",'Raw Data - financials'!AE100)</f>
        <v/>
      </c>
      <c r="AF89" s="72">
        <f>IF('Raw Data - financials'!AF100="","",'Raw Data - financials'!AF100)</f>
        <v/>
      </c>
      <c r="AG89" s="72">
        <f>IF('Raw Data - financials'!AG100="","",'Raw Data - financials'!AG100)</f>
        <v/>
      </c>
      <c r="AH89" s="72">
        <f>IF('Raw Data - financials'!AH100="","",'Raw Data - financials'!AH100)</f>
        <v/>
      </c>
      <c r="AI89" s="72">
        <f>IF('Raw Data - financials'!AI100="","",'Raw Data - financials'!AI100)</f>
        <v/>
      </c>
      <c r="AJ89" s="72">
        <f>IF('Raw Data - financials'!AJ100="","",'Raw Data - financials'!AJ100)</f>
        <v/>
      </c>
      <c r="AK89" s="72" t="n">
        <v>0</v>
      </c>
      <c r="AL89" s="72" t="n">
        <v>0</v>
      </c>
      <c r="AM89" s="72" t="n">
        <v>0</v>
      </c>
      <c r="AN89" s="72" t="n">
        <v>0</v>
      </c>
    </row>
    <row r="90" outlineLevel="1">
      <c r="A90" s="20" t="inlineStr">
        <is>
          <t>Other current liabilities</t>
        </is>
      </c>
      <c r="B90" s="17" t="inlineStr">
        <is>
          <t>Rs Mn</t>
        </is>
      </c>
      <c r="E90" s="71">
        <f>IF('Raw Data - financials'!E101="","",'Raw Data - financials'!E101)</f>
        <v/>
      </c>
      <c r="G90" s="71">
        <f>IF('Raw Data - financials'!G101="","",'Raw Data - financials'!G101)</f>
        <v/>
      </c>
      <c r="I90" s="71">
        <f>IF('Raw Data - financials'!I101="","",'Raw Data - financials'!I101)</f>
        <v/>
      </c>
      <c r="K90" s="71">
        <f>IF('Raw Data - financials'!K101="","",'Raw Data - financials'!K101)</f>
        <v/>
      </c>
      <c r="M90" s="71">
        <f>IF('Raw Data - financials'!M101="","",'Raw Data - financials'!M101)</f>
        <v/>
      </c>
      <c r="O90" s="71">
        <f>IF('Raw Data - financials'!O101="","",'Raw Data - financials'!O101)</f>
        <v/>
      </c>
      <c r="Q90" s="71">
        <f>IF('Raw Data - financials'!Q101="","",'Raw Data - financials'!Q101)</f>
        <v/>
      </c>
      <c r="S90" s="71">
        <f>IF('Raw Data - financials'!S101="","",'Raw Data - financials'!S101)</f>
        <v/>
      </c>
      <c r="U90" s="71">
        <f>IF('Raw Data - financials'!U101="","",'Raw Data - financials'!U101)</f>
        <v/>
      </c>
      <c r="W90" s="71">
        <f>IF('Raw Data - financials'!W101="","",'Raw Data - financials'!W101)</f>
        <v/>
      </c>
      <c r="AB90" s="19" t="n"/>
      <c r="AC90" s="72">
        <f>IF('Raw Data - financials'!AC101="","",'Raw Data - financials'!AC101)</f>
        <v/>
      </c>
      <c r="AD90" s="72">
        <f>IF('Raw Data - financials'!AD101="","",'Raw Data - financials'!AD101)</f>
        <v/>
      </c>
      <c r="AE90" s="72">
        <f>IF('Raw Data - financials'!AE101="","",'Raw Data - financials'!AE101)</f>
        <v/>
      </c>
      <c r="AF90" s="72">
        <f>IF('Raw Data - financials'!AF101="","",'Raw Data - financials'!AF101)</f>
        <v/>
      </c>
      <c r="AG90" s="72">
        <f>IF('Raw Data - financials'!AG101="","",'Raw Data - financials'!AG101)</f>
        <v/>
      </c>
      <c r="AH90" s="72">
        <f>IF('Raw Data - financials'!AH101="","",'Raw Data - financials'!AH101)</f>
        <v/>
      </c>
      <c r="AI90" s="72">
        <f>IF('Raw Data - financials'!AI101="","",'Raw Data - financials'!AI101)</f>
        <v/>
      </c>
      <c r="AJ90" s="72">
        <f>IF('Raw Data - financials'!AJ101="","",'Raw Data - financials'!AJ101)</f>
        <v/>
      </c>
      <c r="AK90" s="72">
        <f>IF('Projections'!AK160="","",'Projections'!AK160)</f>
        <v/>
      </c>
      <c r="AL90" s="72">
        <f>IF('Projections'!AL160="","",'Projections'!AL160)</f>
        <v/>
      </c>
      <c r="AM90" s="72">
        <f>IF('Projections'!AM160="","",'Projections'!AM160)</f>
        <v/>
      </c>
      <c r="AN90" s="72">
        <f>IF('Projections'!AN160="","",'Projections'!AN160)</f>
        <v/>
      </c>
    </row>
    <row r="91">
      <c r="A91" s="74" t="inlineStr">
        <is>
          <t>Total Current Liabilities</t>
        </is>
      </c>
      <c r="B91" s="17" t="inlineStr">
        <is>
          <t>Rs Mn</t>
        </is>
      </c>
      <c r="E91" s="75">
        <f>IFERROR(E82+E83+E84+E85+E86+E87+E88+E89+E90,"")</f>
        <v/>
      </c>
      <c r="G91" s="75">
        <f>IFERROR(G82+G83+G84+G85+G86+G87+G88+G89+G90,"")</f>
        <v/>
      </c>
      <c r="I91" s="75">
        <f>IFERROR(I82+I83+I84+I85+I86+I87+I88+I89+I90,"")</f>
        <v/>
      </c>
      <c r="K91" s="75">
        <f>IFERROR(K82+K83+K84+K85+K86+K87+K88+K89+K90,"")</f>
        <v/>
      </c>
      <c r="M91" s="75">
        <f>IFERROR(M82+M83+M84+M85+M86+M87+M88+M89+M90,"")</f>
        <v/>
      </c>
      <c r="O91" s="75">
        <f>IFERROR(O82+O83+O84+O85+O86+O87+O88+O89+O90,"")</f>
        <v/>
      </c>
      <c r="Q91" s="75">
        <f>IFERROR(Q82+Q83+Q84+Q85+Q86+Q87+Q88+Q89+Q90,"")</f>
        <v/>
      </c>
      <c r="S91" s="75">
        <f>IFERROR(S82+S83+S84+S85+S86+S87+S88+S89+S90,"")</f>
        <v/>
      </c>
      <c r="U91" s="75">
        <f>IFERROR(U82+U83+U84+U85+U86+U87+U88+U89+U90,"")</f>
        <v/>
      </c>
      <c r="W91" s="75">
        <f>IFERROR(W82+W83+W84+W85+W86+W87+W88+W89+W90,"")</f>
        <v/>
      </c>
      <c r="AB91" s="19" t="n"/>
      <c r="AC91" s="76">
        <f>IFERROR(AC82+AC83+AC84+AC85+AC86+AC87+AC88+AC89+AC90,"")</f>
        <v/>
      </c>
      <c r="AD91" s="76">
        <f>IFERROR(AD82+AD83+AD84+AD85+AD86+AD87+AD88+AD89+AD90,"")</f>
        <v/>
      </c>
      <c r="AE91" s="76">
        <f>IFERROR(AE82+AE83+AE84+AE85+AE86+AE87+AE88+AE89+AE90,"")</f>
        <v/>
      </c>
      <c r="AF91" s="76">
        <f>IFERROR(AF82+AF83+AF84+AF85+AF86+AF87+AF88+AF89+AF90,"")</f>
        <v/>
      </c>
      <c r="AG91" s="76">
        <f>IFERROR(AG82+AG83+AG84+AG85+AG86+AG87+AG88+AG89+AG90,"")</f>
        <v/>
      </c>
      <c r="AH91" s="76">
        <f>IFERROR(AH82+AH83+AH84+AH85+AH86+AH87+AH88+AH89+AH90,"")</f>
        <v/>
      </c>
      <c r="AI91" s="76">
        <f>IFERROR(AI82+AI83+AI84+AI85+AI86+AI87+AI88+AI89+AI90,"")</f>
        <v/>
      </c>
      <c r="AJ91" s="76">
        <f>IFERROR(AJ82+AJ83+AJ84+AJ85+AJ86+AJ87+AJ88+AJ89+AJ90,"")</f>
        <v/>
      </c>
      <c r="AK91" s="76">
        <f>IFERROR(AK82+AK83+AK84+AK85+AK86+AK87+AK88+AK89+AK90,"")</f>
        <v/>
      </c>
      <c r="AL91" s="76">
        <f>IFERROR(AL82+AL83+AL84+AL85+AL86+AL87+AL88+AL89+AL90,"")</f>
        <v/>
      </c>
      <c r="AM91" s="76">
        <f>IFERROR(AM82+AM83+AM84+AM85+AM86+AM87+AM88+AM89+AM90,"")</f>
        <v/>
      </c>
      <c r="AN91" s="76">
        <f>IFERROR(AN82+AN83+AN84+AN85+AN86+AN87+AN88+AN89+AN90,"")</f>
        <v/>
      </c>
    </row>
    <row r="92">
      <c r="AB92" s="19" t="n"/>
    </row>
    <row r="93">
      <c r="A93" s="74" t="inlineStr">
        <is>
          <t>Total Liabilities</t>
        </is>
      </c>
      <c r="B93" s="17" t="inlineStr">
        <is>
          <t>Rs Mn</t>
        </is>
      </c>
      <c r="E93" s="75">
        <f>IFERROR(E79+E91,"")</f>
        <v/>
      </c>
      <c r="G93" s="75">
        <f>IFERROR(G79+G91,"")</f>
        <v/>
      </c>
      <c r="I93" s="75">
        <f>IFERROR(I79+I91,"")</f>
        <v/>
      </c>
      <c r="K93" s="75">
        <f>IFERROR(K79+K91,"")</f>
        <v/>
      </c>
      <c r="M93" s="75">
        <f>IFERROR(M79+M91,"")</f>
        <v/>
      </c>
      <c r="O93" s="75">
        <f>IFERROR(O79+O91,"")</f>
        <v/>
      </c>
      <c r="Q93" s="75">
        <f>IFERROR(Q79+Q91,"")</f>
        <v/>
      </c>
      <c r="S93" s="75">
        <f>IFERROR(S79+S91,"")</f>
        <v/>
      </c>
      <c r="U93" s="75">
        <f>IFERROR(U79+U91,"")</f>
        <v/>
      </c>
      <c r="W93" s="75">
        <f>IFERROR(W79+W91,"")</f>
        <v/>
      </c>
      <c r="AB93" s="19" t="n"/>
      <c r="AC93" s="76">
        <f>IFERROR(AC79+AC91,"")</f>
        <v/>
      </c>
      <c r="AD93" s="76">
        <f>IFERROR(AD79+AD91,"")</f>
        <v/>
      </c>
      <c r="AE93" s="76">
        <f>IFERROR(AE79+AE91,"")</f>
        <v/>
      </c>
      <c r="AF93" s="76">
        <f>IFERROR(AF79+AF91,"")</f>
        <v/>
      </c>
      <c r="AG93" s="76">
        <f>IFERROR(AG79+AG91,"")</f>
        <v/>
      </c>
      <c r="AH93" s="76">
        <f>IFERROR(AH79+AH91,"")</f>
        <v/>
      </c>
      <c r="AI93" s="76">
        <f>IFERROR(AI79+AI91,"")</f>
        <v/>
      </c>
      <c r="AJ93" s="76">
        <f>IFERROR(AJ79+AJ91,"")</f>
        <v/>
      </c>
      <c r="AK93" s="76">
        <f>IFERROR(AK79+AK91,"")</f>
        <v/>
      </c>
      <c r="AL93" s="76">
        <f>IFERROR(AL79+AL91,"")</f>
        <v/>
      </c>
      <c r="AM93" s="76">
        <f>IFERROR(AM79+AM91,"")</f>
        <v/>
      </c>
      <c r="AN93" s="76">
        <f>IFERROR(AN79+AN91,"")</f>
        <v/>
      </c>
    </row>
    <row r="94">
      <c r="A94" s="74" t="inlineStr">
        <is>
          <t>TOTAL EQUITY AND LIABILITIES</t>
        </is>
      </c>
      <c r="B94" s="17" t="inlineStr">
        <is>
          <t>Rs Mn</t>
        </is>
      </c>
      <c r="E94" s="75">
        <f>IFERROR(E72+E93,"")</f>
        <v/>
      </c>
      <c r="G94" s="75">
        <f>IFERROR(G72+G93,"")</f>
        <v/>
      </c>
      <c r="I94" s="75">
        <f>IFERROR(I72+I93,"")</f>
        <v/>
      </c>
      <c r="K94" s="75">
        <f>IFERROR(K72+K93,"")</f>
        <v/>
      </c>
      <c r="M94" s="75">
        <f>IFERROR(M72+M93,"")</f>
        <v/>
      </c>
      <c r="O94" s="75">
        <f>IFERROR(O72+O93,"")</f>
        <v/>
      </c>
      <c r="Q94" s="75">
        <f>IFERROR(Q72+Q93,"")</f>
        <v/>
      </c>
      <c r="S94" s="75">
        <f>IFERROR(S72+S93,"")</f>
        <v/>
      </c>
      <c r="U94" s="75">
        <f>IFERROR(U72+U93,"")</f>
        <v/>
      </c>
      <c r="W94" s="75">
        <f>IFERROR(W72+W93,"")</f>
        <v/>
      </c>
      <c r="AB94" s="19" t="n"/>
      <c r="AC94" s="76">
        <f>IFERROR(AC72+AC93,"")</f>
        <v/>
      </c>
      <c r="AD94" s="76">
        <f>IFERROR(AD72+AD93,"")</f>
        <v/>
      </c>
      <c r="AE94" s="76">
        <f>IFERROR(AE72+AE93,"")</f>
        <v/>
      </c>
      <c r="AF94" s="76">
        <f>IFERROR(AF72+AF93,"")</f>
        <v/>
      </c>
      <c r="AG94" s="76">
        <f>IFERROR(AG72+AG93,"")</f>
        <v/>
      </c>
      <c r="AH94" s="76">
        <f>IFERROR(AH72+AH93,"")</f>
        <v/>
      </c>
      <c r="AI94" s="76">
        <f>IFERROR(AI72+AI93,"")</f>
        <v/>
      </c>
      <c r="AJ94" s="76">
        <f>IFERROR(AJ72+AJ93,"")</f>
        <v/>
      </c>
      <c r="AK94" s="76">
        <f>IFERROR(AK72+AK93,"")</f>
        <v/>
      </c>
      <c r="AL94" s="76">
        <f>IFERROR(AL72+AL93,"")</f>
        <v/>
      </c>
      <c r="AM94" s="76">
        <f>IFERROR(AM72+AM93,"")</f>
        <v/>
      </c>
      <c r="AN94" s="76">
        <f>IFERROR(AN72+AN93,"")</f>
        <v/>
      </c>
    </row>
    <row r="95" outlineLevel="1">
      <c r="A95" s="20" t="inlineStr">
        <is>
          <t>Check (Total Assets - Total Equity and Liabilities)</t>
        </is>
      </c>
      <c r="B95" s="17" t="inlineStr">
        <is>
          <t>Rs Mn</t>
        </is>
      </c>
      <c r="E95" s="71">
        <f>IFERROR(E64-E94,"")</f>
        <v/>
      </c>
      <c r="G95" s="71">
        <f>IFERROR(G64-G94,"")</f>
        <v/>
      </c>
      <c r="I95" s="71">
        <f>IFERROR(I64-I94,"")</f>
        <v/>
      </c>
      <c r="K95" s="71">
        <f>IFERROR(K64-K94,"")</f>
        <v/>
      </c>
      <c r="M95" s="71">
        <f>IFERROR(M64-M94,"")</f>
        <v/>
      </c>
      <c r="O95" s="71">
        <f>IFERROR(O64-O94,"")</f>
        <v/>
      </c>
      <c r="Q95" s="71">
        <f>IFERROR(Q64-Q94,"")</f>
        <v/>
      </c>
      <c r="S95" s="71">
        <f>IFERROR(S64-S94,"")</f>
        <v/>
      </c>
      <c r="U95" s="71">
        <f>IFERROR(U64-U94,"")</f>
        <v/>
      </c>
      <c r="W95" s="71">
        <f>IFERROR(W64-W94,"")</f>
        <v/>
      </c>
      <c r="AB95" s="19" t="n"/>
      <c r="AC95" s="72">
        <f>IFERROR(AC64-AC94,"")</f>
        <v/>
      </c>
      <c r="AD95" s="72">
        <f>IFERROR(AD64-AD94,"")</f>
        <v/>
      </c>
      <c r="AE95" s="72">
        <f>IFERROR(AE64-AE94,"")</f>
        <v/>
      </c>
      <c r="AF95" s="72">
        <f>IFERROR(AF64-AF94,"")</f>
        <v/>
      </c>
      <c r="AG95" s="72">
        <f>IFERROR(AG64-AG94,"")</f>
        <v/>
      </c>
      <c r="AH95" s="72">
        <f>IFERROR(AH64-AH94,"")</f>
        <v/>
      </c>
      <c r="AI95" s="72">
        <f>IFERROR(AI64-AI94,"")</f>
        <v/>
      </c>
      <c r="AJ95" s="72">
        <f>IFERROR(AJ64-AJ94,"")</f>
        <v/>
      </c>
      <c r="AK95" s="72">
        <f>IFERROR(AK64-AK94,"")</f>
        <v/>
      </c>
      <c r="AL95" s="72">
        <f>IFERROR(AL64-AL94,"")</f>
        <v/>
      </c>
      <c r="AM95" s="72">
        <f>IFERROR(AM64-AM94,"")</f>
        <v/>
      </c>
      <c r="AN95" s="72">
        <f>IFERROR(AN64-AN94,"")</f>
        <v/>
      </c>
    </row>
    <row r="96">
      <c r="AB96" s="19" t="n"/>
    </row>
    <row r="97">
      <c r="A97" s="5" t="inlineStr">
        <is>
          <t>CASH FLOW STATEMENT (CONSOLIDATED, ANNUAL ONLY)</t>
        </is>
      </c>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44" t="n"/>
      <c r="AC97" s="5" t="n"/>
      <c r="AD97" s="5" t="n"/>
      <c r="AE97" s="5" t="n"/>
      <c r="AF97" s="5" t="n"/>
      <c r="AG97" s="5" t="n"/>
      <c r="AH97" s="5" t="n"/>
      <c r="AI97" s="5" t="n"/>
      <c r="AJ97" s="5" t="n"/>
      <c r="AK97" s="5" t="n"/>
      <c r="AL97" s="5" t="n"/>
      <c r="AM97" s="5" t="n"/>
      <c r="AN97" s="5" t="n"/>
    </row>
    <row r="98">
      <c r="A98" s="17" t="inlineStr">
        <is>
          <t>Nykaa discloses Cash Flow only annually (no quarterly breakout), so this section is annual-only, same as the Balance Sheet's projected columns. Historical years link to Raw Data - financials actuals. For FY27E-30E: the 3 major reconciling items (D&amp;A, Finance costs, Other/interest income) are modeled explicitly; every other non-cash P&amp;L adjustment (FX, share-based pay, gratuity, ECL, etc.) is combined into one 'Other non-cash adjustments' line and set to 0 for projected years, since none of those are separately modeled in the P&amp;L. Net change in working capital IS carried through for projected years (derived from the Balance Sheet's inventory/receivable/payable-days and other-asset/liability assumptions), so this statement ties to the Balance Sheet's cash movement -- see the check row at the bottom of the sheet.</t>
        </is>
      </c>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45" t="n"/>
      <c r="AC98" s="17" t="n"/>
      <c r="AD98" s="17" t="n"/>
      <c r="AE98" s="17" t="n"/>
      <c r="AF98" s="17" t="n"/>
      <c r="AG98" s="17" t="n"/>
      <c r="AH98" s="17" t="n"/>
      <c r="AI98" s="17" t="n"/>
      <c r="AJ98" s="17" t="n"/>
      <c r="AK98" s="17" t="n"/>
      <c r="AL98" s="17" t="n"/>
      <c r="AM98" s="17" t="n"/>
      <c r="AN98" s="17" t="n"/>
    </row>
    <row r="99" outlineLevel="1">
      <c r="A99" s="20" t="inlineStr">
        <is>
          <t>Profit Before Tax</t>
        </is>
      </c>
      <c r="B99" s="17" t="inlineStr">
        <is>
          <t>Rs Mn</t>
        </is>
      </c>
      <c r="AB99" s="19" t="n"/>
      <c r="AC99" s="72">
        <f>IFERROR(AC22,"")</f>
        <v/>
      </c>
      <c r="AD99" s="72">
        <f>IFERROR(AD22,"")</f>
        <v/>
      </c>
      <c r="AE99" s="72">
        <f>IFERROR(AE22,"")</f>
        <v/>
      </c>
      <c r="AF99" s="72">
        <f>IFERROR(AF22,"")</f>
        <v/>
      </c>
      <c r="AG99" s="72">
        <f>IFERROR(AG22,"")</f>
        <v/>
      </c>
      <c r="AH99" s="72">
        <f>IFERROR(AH22,"")</f>
        <v/>
      </c>
      <c r="AI99" s="72">
        <f>IFERROR(AI22,"")</f>
        <v/>
      </c>
      <c r="AJ99" s="72">
        <f>IFERROR(AJ22,"")</f>
        <v/>
      </c>
      <c r="AK99" s="72">
        <f>IFERROR(AK22,"")</f>
        <v/>
      </c>
      <c r="AL99" s="72">
        <f>IFERROR(AL22,"")</f>
        <v/>
      </c>
      <c r="AM99" s="72">
        <f>IFERROR(AM22,"")</f>
        <v/>
      </c>
      <c r="AN99" s="72">
        <f>IFERROR(AN22,"")</f>
        <v/>
      </c>
    </row>
    <row r="100" outlineLevel="1">
      <c r="A100" s="20" t="inlineStr">
        <is>
          <t>Add: Depreciation &amp; amortisation</t>
        </is>
      </c>
      <c r="B100" s="17" t="inlineStr">
        <is>
          <t>Rs Mn</t>
        </is>
      </c>
      <c r="AB100" s="19" t="n"/>
      <c r="AC100" s="72">
        <f>IFERROR(AC16,"")</f>
        <v/>
      </c>
      <c r="AD100" s="72">
        <f>IFERROR(AD16,"")</f>
        <v/>
      </c>
      <c r="AE100" s="72">
        <f>IFERROR(AE16,"")</f>
        <v/>
      </c>
      <c r="AF100" s="72">
        <f>IFERROR(AF16,"")</f>
        <v/>
      </c>
      <c r="AG100" s="72">
        <f>IFERROR(AG16,"")</f>
        <v/>
      </c>
      <c r="AH100" s="72">
        <f>IFERROR(AH16,"")</f>
        <v/>
      </c>
      <c r="AI100" s="72">
        <f>IFERROR(AI16,"")</f>
        <v/>
      </c>
      <c r="AJ100" s="72">
        <f>IFERROR(AJ16,"")</f>
        <v/>
      </c>
      <c r="AK100" s="72">
        <f>IFERROR(AK16,"")</f>
        <v/>
      </c>
      <c r="AL100" s="72">
        <f>IFERROR(AL16,"")</f>
        <v/>
      </c>
      <c r="AM100" s="72">
        <f>IFERROR(AM16,"")</f>
        <v/>
      </c>
      <c r="AN100" s="72">
        <f>IFERROR(AN16,"")</f>
        <v/>
      </c>
    </row>
    <row r="101" outlineLevel="1">
      <c r="A101" s="20" t="inlineStr">
        <is>
          <t>Add: Finance costs</t>
        </is>
      </c>
      <c r="B101" s="17" t="inlineStr">
        <is>
          <t>Rs Mn</t>
        </is>
      </c>
      <c r="AB101" s="19" t="n"/>
      <c r="AC101" s="72">
        <f>IFERROR(AC15,"")</f>
        <v/>
      </c>
      <c r="AD101" s="72">
        <f>IFERROR(AD15,"")</f>
        <v/>
      </c>
      <c r="AE101" s="72">
        <f>IFERROR(AE15,"")</f>
        <v/>
      </c>
      <c r="AF101" s="72">
        <f>IFERROR(AF15,"")</f>
        <v/>
      </c>
      <c r="AG101" s="72">
        <f>IFERROR(AG15,"")</f>
        <v/>
      </c>
      <c r="AH101" s="72">
        <f>IFERROR(AH15,"")</f>
        <v/>
      </c>
      <c r="AI101" s="72">
        <f>IFERROR(AI15,"")</f>
        <v/>
      </c>
      <c r="AJ101" s="72">
        <f>IFERROR(AJ15,"")</f>
        <v/>
      </c>
      <c r="AK101" s="72">
        <f>IFERROR(AK15,"")</f>
        <v/>
      </c>
      <c r="AL101" s="72">
        <f>IFERROR(AL15,"")</f>
        <v/>
      </c>
      <c r="AM101" s="72">
        <f>IFERROR(AM15,"")</f>
        <v/>
      </c>
      <c r="AN101" s="72">
        <f>IFERROR(AN15,"")</f>
        <v/>
      </c>
    </row>
    <row r="102" outlineLevel="1">
      <c r="A102" s="20" t="inlineStr">
        <is>
          <t>Less: Other income</t>
        </is>
      </c>
      <c r="B102" s="17" t="inlineStr">
        <is>
          <t>Rs Mn</t>
        </is>
      </c>
      <c r="AB102" s="19" t="n"/>
      <c r="AC102" s="72">
        <f>IFERROR(AC7,"")</f>
        <v/>
      </c>
      <c r="AD102" s="72">
        <f>IFERROR(AD7,"")</f>
        <v/>
      </c>
      <c r="AE102" s="72">
        <f>IFERROR(AE7,"")</f>
        <v/>
      </c>
      <c r="AF102" s="72">
        <f>IFERROR(AF7,"")</f>
        <v/>
      </c>
      <c r="AG102" s="72">
        <f>IFERROR(AG7,"")</f>
        <v/>
      </c>
      <c r="AH102" s="72">
        <f>IFERROR(AH7,"")</f>
        <v/>
      </c>
      <c r="AI102" s="72">
        <f>IFERROR(AI7,"")</f>
        <v/>
      </c>
      <c r="AJ102" s="72">
        <f>IFERROR(AJ7,"")</f>
        <v/>
      </c>
      <c r="AK102" s="72">
        <f>IFERROR(AK7,"")</f>
        <v/>
      </c>
      <c r="AL102" s="72">
        <f>IFERROR(AL7,"")</f>
        <v/>
      </c>
      <c r="AM102" s="72">
        <f>IFERROR(AM7,"")</f>
        <v/>
      </c>
      <c r="AN102" s="72">
        <f>IFERROR(AN7,"")</f>
        <v/>
      </c>
    </row>
    <row r="103" outlineLevel="1">
      <c r="A103" s="20" t="inlineStr">
        <is>
          <t>Other non-cash adjustments (net)</t>
        </is>
      </c>
      <c r="B103" s="17" t="inlineStr">
        <is>
          <t>Rs Mn</t>
        </is>
      </c>
      <c r="AB103" s="19" t="n"/>
      <c r="AC103" s="72">
        <f>IF(COUNT('Raw Data - financials'!AC115,'Raw Data - financials'!AC116,'Raw Data - financials'!AC117,'Raw Data - financials'!AC118,'Raw Data - financials'!AC119,'Raw Data - financials'!AC120,'Raw Data - financials'!AC121,'Raw Data - financials'!AC123,'Raw Data - financials'!AC124,'Raw Data - financials'!AC125,'Raw Data - financials'!AC126)=0,"",SUM('Raw Data - financials'!AC115,'Raw Data - financials'!AC116,'Raw Data - financials'!AC117,'Raw Data - financials'!AC118,'Raw Data - financials'!AC119,'Raw Data - financials'!AC120,'Raw Data - financials'!AC121,'Raw Data - financials'!AC123,'Raw Data - financials'!AC124,'Raw Data - financials'!AC125,'Raw Data - financials'!AC126))</f>
        <v/>
      </c>
      <c r="AD103" s="72">
        <f>IF(COUNT('Raw Data - financials'!AD115,'Raw Data - financials'!AD116,'Raw Data - financials'!AD117,'Raw Data - financials'!AD118,'Raw Data - financials'!AD119,'Raw Data - financials'!AD120,'Raw Data - financials'!AD121,'Raw Data - financials'!AD123,'Raw Data - financials'!AD124,'Raw Data - financials'!AD125,'Raw Data - financials'!AD126)=0,"",SUM('Raw Data - financials'!AD115,'Raw Data - financials'!AD116,'Raw Data - financials'!AD117,'Raw Data - financials'!AD118,'Raw Data - financials'!AD119,'Raw Data - financials'!AD120,'Raw Data - financials'!AD121,'Raw Data - financials'!AD123,'Raw Data - financials'!AD124,'Raw Data - financials'!AD125,'Raw Data - financials'!AD126))</f>
        <v/>
      </c>
      <c r="AE103" s="72">
        <f>IF(COUNT('Raw Data - financials'!AE115,'Raw Data - financials'!AE116,'Raw Data - financials'!AE117,'Raw Data - financials'!AE118,'Raw Data - financials'!AE119,'Raw Data - financials'!AE120,'Raw Data - financials'!AE121,'Raw Data - financials'!AE123,'Raw Data - financials'!AE124,'Raw Data - financials'!AE125,'Raw Data - financials'!AE126)=0,"",SUM('Raw Data - financials'!AE115,'Raw Data - financials'!AE116,'Raw Data - financials'!AE117,'Raw Data - financials'!AE118,'Raw Data - financials'!AE119,'Raw Data - financials'!AE120,'Raw Data - financials'!AE121,'Raw Data - financials'!AE123,'Raw Data - financials'!AE124,'Raw Data - financials'!AE125,'Raw Data - financials'!AE126))</f>
        <v/>
      </c>
      <c r="AF103" s="72">
        <f>IF(COUNT('Raw Data - financials'!AF115,'Raw Data - financials'!AF116,'Raw Data - financials'!AF117,'Raw Data - financials'!AF118,'Raw Data - financials'!AF119,'Raw Data - financials'!AF120,'Raw Data - financials'!AF121,'Raw Data - financials'!AF123,'Raw Data - financials'!AF124,'Raw Data - financials'!AF125,'Raw Data - financials'!AF126)=0,"",SUM('Raw Data - financials'!AF115,'Raw Data - financials'!AF116,'Raw Data - financials'!AF117,'Raw Data - financials'!AF118,'Raw Data - financials'!AF119,'Raw Data - financials'!AF120,'Raw Data - financials'!AF121,'Raw Data - financials'!AF123,'Raw Data - financials'!AF124,'Raw Data - financials'!AF125,'Raw Data - financials'!AF126))</f>
        <v/>
      </c>
      <c r="AG103" s="72">
        <f>IF(COUNT('Raw Data - financials'!AG115,'Raw Data - financials'!AG116,'Raw Data - financials'!AG117,'Raw Data - financials'!AG118,'Raw Data - financials'!AG119,'Raw Data - financials'!AG120,'Raw Data - financials'!AG121,'Raw Data - financials'!AG123,'Raw Data - financials'!AG124,'Raw Data - financials'!AG125,'Raw Data - financials'!AG126)=0,"",SUM('Raw Data - financials'!AG115,'Raw Data - financials'!AG116,'Raw Data - financials'!AG117,'Raw Data - financials'!AG118,'Raw Data - financials'!AG119,'Raw Data - financials'!AG120,'Raw Data - financials'!AG121,'Raw Data - financials'!AG123,'Raw Data - financials'!AG124,'Raw Data - financials'!AG125,'Raw Data - financials'!AG126))</f>
        <v/>
      </c>
      <c r="AH103" s="72">
        <f>IF(COUNT('Raw Data - financials'!AH115,'Raw Data - financials'!AH116,'Raw Data - financials'!AH117,'Raw Data - financials'!AH118,'Raw Data - financials'!AH119,'Raw Data - financials'!AH120,'Raw Data - financials'!AH121,'Raw Data - financials'!AH123,'Raw Data - financials'!AH124,'Raw Data - financials'!AH125,'Raw Data - financials'!AH126)=0,"",SUM('Raw Data - financials'!AH115,'Raw Data - financials'!AH116,'Raw Data - financials'!AH117,'Raw Data - financials'!AH118,'Raw Data - financials'!AH119,'Raw Data - financials'!AH120,'Raw Data - financials'!AH121,'Raw Data - financials'!AH123,'Raw Data - financials'!AH124,'Raw Data - financials'!AH125,'Raw Data - financials'!AH126))</f>
        <v/>
      </c>
      <c r="AI103" s="72">
        <f>IF(COUNT('Raw Data - financials'!AI115,'Raw Data - financials'!AI116,'Raw Data - financials'!AI117,'Raw Data - financials'!AI118,'Raw Data - financials'!AI119,'Raw Data - financials'!AI120,'Raw Data - financials'!AI121,'Raw Data - financials'!AI123,'Raw Data - financials'!AI124,'Raw Data - financials'!AI125,'Raw Data - financials'!AI126)=0,"",SUM('Raw Data - financials'!AI115,'Raw Data - financials'!AI116,'Raw Data - financials'!AI117,'Raw Data - financials'!AI118,'Raw Data - financials'!AI119,'Raw Data - financials'!AI120,'Raw Data - financials'!AI121,'Raw Data - financials'!AI123,'Raw Data - financials'!AI124,'Raw Data - financials'!AI125,'Raw Data - financials'!AI126))</f>
        <v/>
      </c>
      <c r="AJ103" s="72">
        <f>IF(COUNT('Raw Data - financials'!AJ115,'Raw Data - financials'!AJ116,'Raw Data - financials'!AJ117,'Raw Data - financials'!AJ118,'Raw Data - financials'!AJ119,'Raw Data - financials'!AJ120,'Raw Data - financials'!AJ121,'Raw Data - financials'!AJ123,'Raw Data - financials'!AJ124,'Raw Data - financials'!AJ125,'Raw Data - financials'!AJ126)=0,"",SUM('Raw Data - financials'!AJ115,'Raw Data - financials'!AJ116,'Raw Data - financials'!AJ117,'Raw Data - financials'!AJ118,'Raw Data - financials'!AJ119,'Raw Data - financials'!AJ120,'Raw Data - financials'!AJ121,'Raw Data - financials'!AJ123,'Raw Data - financials'!AJ124,'Raw Data - financials'!AJ125,'Raw Data - financials'!AJ126))</f>
        <v/>
      </c>
      <c r="AK103" s="72" t="n">
        <v>0</v>
      </c>
      <c r="AL103" s="72" t="n">
        <v>0</v>
      </c>
      <c r="AM103" s="72" t="n">
        <v>0</v>
      </c>
      <c r="AN103" s="72" t="n">
        <v>0</v>
      </c>
    </row>
    <row r="104">
      <c r="A104" s="74" t="inlineStr">
        <is>
          <t>Operating Profit Before Working Capital Changes</t>
        </is>
      </c>
      <c r="B104" s="17" t="inlineStr">
        <is>
          <t>Rs Mn</t>
        </is>
      </c>
      <c r="AB104" s="19" t="n"/>
      <c r="AC104" s="76">
        <f>IFERROR(AC99+AC100+AC101-AC102+AC103,"")</f>
        <v/>
      </c>
      <c r="AD104" s="76">
        <f>IFERROR(AD99+AD100+AD101-AD102+AD103,"")</f>
        <v/>
      </c>
      <c r="AE104" s="76">
        <f>IFERROR(AE99+AE100+AE101-AE102+AE103,"")</f>
        <v/>
      </c>
      <c r="AF104" s="76">
        <f>IFERROR(AF99+AF100+AF101-AF102+AF103,"")</f>
        <v/>
      </c>
      <c r="AG104" s="76">
        <f>IFERROR(AG99+AG100+AG101-AG102+AG103,"")</f>
        <v/>
      </c>
      <c r="AH104" s="76">
        <f>IFERROR(AH99+AH100+AH101-AH102+AH103,"")</f>
        <v/>
      </c>
      <c r="AI104" s="76">
        <f>IFERROR(AI99+AI100+AI101-AI102+AI103,"")</f>
        <v/>
      </c>
      <c r="AJ104" s="76">
        <f>IFERROR(AJ99+AJ100+AJ101-AJ102+AJ103,"")</f>
        <v/>
      </c>
      <c r="AK104" s="76">
        <f>IFERROR(AK99+AK100+AK101-AK102+AK103,"")</f>
        <v/>
      </c>
      <c r="AL104" s="76">
        <f>IFERROR(AL99+AL100+AL101-AL102+AL103,"")</f>
        <v/>
      </c>
      <c r="AM104" s="76">
        <f>IFERROR(AM99+AM100+AM101-AM102+AM103,"")</f>
        <v/>
      </c>
      <c r="AN104" s="76">
        <f>IFERROR(AN99+AN100+AN101-AN102+AN103,"")</f>
        <v/>
      </c>
    </row>
    <row r="105" outlineLevel="1">
      <c r="A105" s="20" t="inlineStr">
        <is>
          <t>Net change in working capital</t>
        </is>
      </c>
      <c r="B105" s="17" t="inlineStr">
        <is>
          <t>Rs Mn</t>
        </is>
      </c>
      <c r="AB105" s="19" t="n"/>
      <c r="AC105" s="72">
        <f>IF(COUNT('Raw Data - financials'!AC130,'Raw Data - financials'!AC131,'Raw Data - financials'!AC132,'Raw Data - financials'!AC133,'Raw Data - financials'!AC134,'Raw Data - financials'!AC135,'Raw Data - financials'!AC136,'Raw Data - financials'!AC137,'Raw Data - financials'!AC138,'Raw Data - financials'!AC139,'Raw Data - financials'!AC140,'Raw Data - financials'!AC141,'Raw Data - financials'!AC142)=0,"",SUM('Raw Data - financials'!AC130,'Raw Data - financials'!AC131,'Raw Data - financials'!AC132,'Raw Data - financials'!AC133,'Raw Data - financials'!AC134,'Raw Data - financials'!AC135,'Raw Data - financials'!AC136,'Raw Data - financials'!AC137,'Raw Data - financials'!AC138,'Raw Data - financials'!AC139,'Raw Data - financials'!AC140,'Raw Data - financials'!AC141,'Raw Data - financials'!AC142))</f>
        <v/>
      </c>
      <c r="AD105" s="72">
        <f>IF(COUNT('Raw Data - financials'!AD130,'Raw Data - financials'!AD131,'Raw Data - financials'!AD132,'Raw Data - financials'!AD133,'Raw Data - financials'!AD134,'Raw Data - financials'!AD135,'Raw Data - financials'!AD136,'Raw Data - financials'!AD137,'Raw Data - financials'!AD138,'Raw Data - financials'!AD139,'Raw Data - financials'!AD140,'Raw Data - financials'!AD141,'Raw Data - financials'!AD142)=0,"",SUM('Raw Data - financials'!AD130,'Raw Data - financials'!AD131,'Raw Data - financials'!AD132,'Raw Data - financials'!AD133,'Raw Data - financials'!AD134,'Raw Data - financials'!AD135,'Raw Data - financials'!AD136,'Raw Data - financials'!AD137,'Raw Data - financials'!AD138,'Raw Data - financials'!AD139,'Raw Data - financials'!AD140,'Raw Data - financials'!AD141,'Raw Data - financials'!AD142))</f>
        <v/>
      </c>
      <c r="AE105" s="72">
        <f>IF(COUNT('Raw Data - financials'!AE130,'Raw Data - financials'!AE131,'Raw Data - financials'!AE132,'Raw Data - financials'!AE133,'Raw Data - financials'!AE134,'Raw Data - financials'!AE135,'Raw Data - financials'!AE136,'Raw Data - financials'!AE137,'Raw Data - financials'!AE138,'Raw Data - financials'!AE139,'Raw Data - financials'!AE140,'Raw Data - financials'!AE141,'Raw Data - financials'!AE142)=0,"",SUM('Raw Data - financials'!AE130,'Raw Data - financials'!AE131,'Raw Data - financials'!AE132,'Raw Data - financials'!AE133,'Raw Data - financials'!AE134,'Raw Data - financials'!AE135,'Raw Data - financials'!AE136,'Raw Data - financials'!AE137,'Raw Data - financials'!AE138,'Raw Data - financials'!AE139,'Raw Data - financials'!AE140,'Raw Data - financials'!AE141,'Raw Data - financials'!AE142))</f>
        <v/>
      </c>
      <c r="AF105" s="72">
        <f>IF(COUNT('Raw Data - financials'!AF130,'Raw Data - financials'!AF131,'Raw Data - financials'!AF132,'Raw Data - financials'!AF133,'Raw Data - financials'!AF134,'Raw Data - financials'!AF135,'Raw Data - financials'!AF136,'Raw Data - financials'!AF137,'Raw Data - financials'!AF138,'Raw Data - financials'!AF139,'Raw Data - financials'!AF140,'Raw Data - financials'!AF141,'Raw Data - financials'!AF142)=0,"",SUM('Raw Data - financials'!AF130,'Raw Data - financials'!AF131,'Raw Data - financials'!AF132,'Raw Data - financials'!AF133,'Raw Data - financials'!AF134,'Raw Data - financials'!AF135,'Raw Data - financials'!AF136,'Raw Data - financials'!AF137,'Raw Data - financials'!AF138,'Raw Data - financials'!AF139,'Raw Data - financials'!AF140,'Raw Data - financials'!AF141,'Raw Data - financials'!AF142))</f>
        <v/>
      </c>
      <c r="AG105" s="72">
        <f>IF(COUNT('Raw Data - financials'!AG130,'Raw Data - financials'!AG131,'Raw Data - financials'!AG132,'Raw Data - financials'!AG133,'Raw Data - financials'!AG134,'Raw Data - financials'!AG135,'Raw Data - financials'!AG136,'Raw Data - financials'!AG137,'Raw Data - financials'!AG138,'Raw Data - financials'!AG139,'Raw Data - financials'!AG140,'Raw Data - financials'!AG141,'Raw Data - financials'!AG142)=0,"",SUM('Raw Data - financials'!AG130,'Raw Data - financials'!AG131,'Raw Data - financials'!AG132,'Raw Data - financials'!AG133,'Raw Data - financials'!AG134,'Raw Data - financials'!AG135,'Raw Data - financials'!AG136,'Raw Data - financials'!AG137,'Raw Data - financials'!AG138,'Raw Data - financials'!AG139,'Raw Data - financials'!AG140,'Raw Data - financials'!AG141,'Raw Data - financials'!AG142))</f>
        <v/>
      </c>
      <c r="AH105" s="72">
        <f>IF(COUNT('Raw Data - financials'!AH130,'Raw Data - financials'!AH131,'Raw Data - financials'!AH132,'Raw Data - financials'!AH133,'Raw Data - financials'!AH134,'Raw Data - financials'!AH135,'Raw Data - financials'!AH136,'Raw Data - financials'!AH137,'Raw Data - financials'!AH138,'Raw Data - financials'!AH139,'Raw Data - financials'!AH140,'Raw Data - financials'!AH141,'Raw Data - financials'!AH142)=0,"",SUM('Raw Data - financials'!AH130,'Raw Data - financials'!AH131,'Raw Data - financials'!AH132,'Raw Data - financials'!AH133,'Raw Data - financials'!AH134,'Raw Data - financials'!AH135,'Raw Data - financials'!AH136,'Raw Data - financials'!AH137,'Raw Data - financials'!AH138,'Raw Data - financials'!AH139,'Raw Data - financials'!AH140,'Raw Data - financials'!AH141,'Raw Data - financials'!AH142))</f>
        <v/>
      </c>
      <c r="AI105" s="72">
        <f>IF(COUNT('Raw Data - financials'!AI130,'Raw Data - financials'!AI131,'Raw Data - financials'!AI132,'Raw Data - financials'!AI133,'Raw Data - financials'!AI134,'Raw Data - financials'!AI135,'Raw Data - financials'!AI136,'Raw Data - financials'!AI137,'Raw Data - financials'!AI138,'Raw Data - financials'!AI139,'Raw Data - financials'!AI140,'Raw Data - financials'!AI141,'Raw Data - financials'!AI142)=0,"",SUM('Raw Data - financials'!AI130,'Raw Data - financials'!AI131,'Raw Data - financials'!AI132,'Raw Data - financials'!AI133,'Raw Data - financials'!AI134,'Raw Data - financials'!AI135,'Raw Data - financials'!AI136,'Raw Data - financials'!AI137,'Raw Data - financials'!AI138,'Raw Data - financials'!AI139,'Raw Data - financials'!AI140,'Raw Data - financials'!AI141,'Raw Data - financials'!AI142))</f>
        <v/>
      </c>
      <c r="AJ105" s="72">
        <f>IF(COUNT('Raw Data - financials'!AJ130,'Raw Data - financials'!AJ131,'Raw Data - financials'!AJ132,'Raw Data - financials'!AJ133,'Raw Data - financials'!AJ134,'Raw Data - financials'!AJ135,'Raw Data - financials'!AJ136,'Raw Data - financials'!AJ137,'Raw Data - financials'!AJ138,'Raw Data - financials'!AJ139,'Raw Data - financials'!AJ140,'Raw Data - financials'!AJ141,'Raw Data - financials'!AJ142)=0,"",SUM('Raw Data - financials'!AJ130,'Raw Data - financials'!AJ131,'Raw Data - financials'!AJ132,'Raw Data - financials'!AJ133,'Raw Data - financials'!AJ134,'Raw Data - financials'!AJ135,'Raw Data - financials'!AJ136,'Raw Data - financials'!AJ137,'Raw Data - financials'!AJ138,'Raw Data - financials'!AJ139,'Raw Data - financials'!AJ140,'Raw Data - financials'!AJ141,'Raw Data - financials'!AJ142))</f>
        <v/>
      </c>
      <c r="AK105" s="72">
        <f>IFERROR(-('Projections'!AK142-'Projections'!AJ142)-('Projections'!AK144-'Projections'!AJ144)-('Projections'!AK146-'Projections'!AJ146)+('Projections'!AK158-'Projections'!AJ158)+('Projections'!AK160-'Projections'!AJ160),"")</f>
        <v/>
      </c>
      <c r="AL105" s="72">
        <f>IFERROR(-('Projections'!AL142-'Projections'!AK142)-('Projections'!AL144-'Projections'!AK144)-('Projections'!AL146-'Projections'!AK146)+('Projections'!AL158-'Projections'!AK158)+('Projections'!AL160-'Projections'!AK160),"")</f>
        <v/>
      </c>
      <c r="AM105" s="72">
        <f>IFERROR(-('Projections'!AM142-'Projections'!AL142)-('Projections'!AM144-'Projections'!AL144)-('Projections'!AM146-'Projections'!AL146)+('Projections'!AM158-'Projections'!AL158)+('Projections'!AM160-'Projections'!AL160),"")</f>
        <v/>
      </c>
      <c r="AN105" s="72">
        <f>IFERROR(-('Projections'!AN142-'Projections'!AM142)-('Projections'!AN144-'Projections'!AM144)-('Projections'!AN146-'Projections'!AM146)+('Projections'!AN158-'Projections'!AM158)+('Projections'!AN160-'Projections'!AM160),"")</f>
        <v/>
      </c>
    </row>
    <row r="106">
      <c r="A106" s="74" t="inlineStr">
        <is>
          <t>Cash Generated from Operations</t>
        </is>
      </c>
      <c r="B106" s="17" t="inlineStr">
        <is>
          <t>Rs Mn</t>
        </is>
      </c>
      <c r="AB106" s="19" t="n"/>
      <c r="AC106" s="76">
        <f>IFERROR(AC104+AC105,"")</f>
        <v/>
      </c>
      <c r="AD106" s="76">
        <f>IFERROR(AD104+AD105,"")</f>
        <v/>
      </c>
      <c r="AE106" s="76">
        <f>IFERROR(AE104+AE105,"")</f>
        <v/>
      </c>
      <c r="AF106" s="76">
        <f>IFERROR(AF104+AF105,"")</f>
        <v/>
      </c>
      <c r="AG106" s="76">
        <f>IFERROR(AG104+AG105,"")</f>
        <v/>
      </c>
      <c r="AH106" s="76">
        <f>IFERROR(AH104+AH105,"")</f>
        <v/>
      </c>
      <c r="AI106" s="76">
        <f>IFERROR(AI104+AI105,"")</f>
        <v/>
      </c>
      <c r="AJ106" s="76">
        <f>IFERROR(AJ104+AJ105,"")</f>
        <v/>
      </c>
      <c r="AK106" s="76">
        <f>IFERROR(AK104+AK105,"")</f>
        <v/>
      </c>
      <c r="AL106" s="76">
        <f>IFERROR(AL104+AL105,"")</f>
        <v/>
      </c>
      <c r="AM106" s="76">
        <f>IFERROR(AM104+AM105,"")</f>
        <v/>
      </c>
      <c r="AN106" s="76">
        <f>IFERROR(AN104+AN105,"")</f>
        <v/>
      </c>
    </row>
    <row r="107" outlineLevel="1">
      <c r="A107" s="20" t="inlineStr">
        <is>
          <t>Less: Taxes paid</t>
        </is>
      </c>
      <c r="B107" s="17" t="inlineStr">
        <is>
          <t>Rs Mn</t>
        </is>
      </c>
      <c r="AB107" s="19" t="n"/>
      <c r="AC107" s="72">
        <f>IF('Raw Data - financials'!AC144="","",'Raw Data - financials'!AC144)</f>
        <v/>
      </c>
      <c r="AD107" s="72">
        <f>IF('Raw Data - financials'!AD144="","",'Raw Data - financials'!AD144)</f>
        <v/>
      </c>
      <c r="AE107" s="72">
        <f>IF('Raw Data - financials'!AE144="","",'Raw Data - financials'!AE144)</f>
        <v/>
      </c>
      <c r="AF107" s="72">
        <f>IF('Raw Data - financials'!AF144="","",'Raw Data - financials'!AF144)</f>
        <v/>
      </c>
      <c r="AG107" s="72">
        <f>IF('Raw Data - financials'!AG144="","",'Raw Data - financials'!AG144)</f>
        <v/>
      </c>
      <c r="AH107" s="72">
        <f>IF('Raw Data - financials'!AH144="","",'Raw Data - financials'!AH144)</f>
        <v/>
      </c>
      <c r="AI107" s="72">
        <f>IF('Raw Data - financials'!AI144="","",'Raw Data - financials'!AI144)</f>
        <v/>
      </c>
      <c r="AJ107" s="72">
        <f>IF('Raw Data - financials'!AJ144="","",'Raw Data - financials'!AJ144)</f>
        <v/>
      </c>
      <c r="AK107" s="72">
        <f>IFERROR(-AK29,"")</f>
        <v/>
      </c>
      <c r="AL107" s="72">
        <f>IFERROR(-AL29,"")</f>
        <v/>
      </c>
      <c r="AM107" s="72">
        <f>IFERROR(-AM29,"")</f>
        <v/>
      </c>
      <c r="AN107" s="72">
        <f>IFERROR(-AN29,"")</f>
        <v/>
      </c>
    </row>
    <row r="108">
      <c r="A108" s="74" t="inlineStr">
        <is>
          <t>Net Cash Flow from Operating Activities (A)</t>
        </is>
      </c>
      <c r="B108" s="17" t="inlineStr">
        <is>
          <t>Rs Mn</t>
        </is>
      </c>
      <c r="AB108" s="19" t="n"/>
      <c r="AC108" s="76">
        <f>IFERROR(AC106+AC107,"")</f>
        <v/>
      </c>
      <c r="AD108" s="76">
        <f>IFERROR(AD106+AD107,"")</f>
        <v/>
      </c>
      <c r="AE108" s="76">
        <f>IFERROR(AE106+AE107,"")</f>
        <v/>
      </c>
      <c r="AF108" s="76">
        <f>IFERROR(AF106+AF107,"")</f>
        <v/>
      </c>
      <c r="AG108" s="76">
        <f>IFERROR(AG106+AG107,"")</f>
        <v/>
      </c>
      <c r="AH108" s="76">
        <f>IFERROR(AH106+AH107,"")</f>
        <v/>
      </c>
      <c r="AI108" s="76">
        <f>IFERROR(AI106+AI107,"")</f>
        <v/>
      </c>
      <c r="AJ108" s="76">
        <f>IFERROR(AJ106+AJ107,"")</f>
        <v/>
      </c>
      <c r="AK108" s="76">
        <f>IFERROR(AK106+AK107,"")</f>
        <v/>
      </c>
      <c r="AL108" s="76">
        <f>IFERROR(AL106+AL107,"")</f>
        <v/>
      </c>
      <c r="AM108" s="76">
        <f>IFERROR(AM106+AM107,"")</f>
        <v/>
      </c>
      <c r="AN108" s="76">
        <f>IFERROR(AN106+AN107,"")</f>
        <v/>
      </c>
    </row>
    <row r="109">
      <c r="AB109" s="19" t="n"/>
    </row>
    <row r="110">
      <c r="A110" s="9" t="inlineStr">
        <is>
          <t>Investing activities</t>
        </is>
      </c>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46" t="n"/>
      <c r="AC110" s="9" t="n"/>
      <c r="AD110" s="9" t="n"/>
      <c r="AE110" s="9" t="n"/>
      <c r="AF110" s="9" t="n"/>
      <c r="AG110" s="9" t="n"/>
      <c r="AH110" s="9" t="n"/>
      <c r="AI110" s="9" t="n"/>
      <c r="AJ110" s="9" t="n"/>
      <c r="AK110" s="9" t="n"/>
      <c r="AL110" s="9" t="n"/>
      <c r="AM110" s="9" t="n"/>
      <c r="AN110" s="9" t="n"/>
    </row>
    <row r="111" outlineLevel="1">
      <c r="A111" s="20" t="inlineStr">
        <is>
          <t>Purchase of PP&amp;E and other intangible assets</t>
        </is>
      </c>
      <c r="B111" s="17" t="inlineStr">
        <is>
          <t>Rs Mn</t>
        </is>
      </c>
      <c r="AB111" s="19" t="n"/>
      <c r="AC111" s="72">
        <f>IF('Raw Data - financials'!AC148="","",'Raw Data - financials'!AC148)</f>
        <v/>
      </c>
      <c r="AD111" s="72">
        <f>IF('Raw Data - financials'!AD148="","",'Raw Data - financials'!AD148)</f>
        <v/>
      </c>
      <c r="AE111" s="72">
        <f>IF('Raw Data - financials'!AE148="","",'Raw Data - financials'!AE148)</f>
        <v/>
      </c>
      <c r="AF111" s="72">
        <f>IF('Raw Data - financials'!AF148="","",'Raw Data - financials'!AF148)</f>
        <v/>
      </c>
      <c r="AG111" s="72">
        <f>IF('Raw Data - financials'!AG148="","",'Raw Data - financials'!AG148)</f>
        <v/>
      </c>
      <c r="AH111" s="72">
        <f>IF('Raw Data - financials'!AH148="","",'Raw Data - financials'!AH148)</f>
        <v/>
      </c>
      <c r="AI111" s="72">
        <f>IF('Raw Data - financials'!AI148="","",'Raw Data - financials'!AI148)</f>
        <v/>
      </c>
      <c r="AJ111" s="72">
        <f>IF('Raw Data - financials'!AJ148="","",'Raw Data - financials'!AJ148)</f>
        <v/>
      </c>
      <c r="AK111" s="72">
        <f>IFERROR(-(('Projections'!AK139-'Projections'!AJ139)+AK16),"")</f>
        <v/>
      </c>
      <c r="AL111" s="72">
        <f>IFERROR(-(('Projections'!AL139-'Projections'!AK139)+AL16),"")</f>
        <v/>
      </c>
      <c r="AM111" s="72">
        <f>IFERROR(-(('Projections'!AM139-'Projections'!AL139)+AM16),"")</f>
        <v/>
      </c>
      <c r="AN111" s="72">
        <f>IFERROR(-(('Projections'!AN139-'Projections'!AM139)+AN16),"")</f>
        <v/>
      </c>
    </row>
    <row r="112" outlineLevel="1">
      <c r="A112" s="20" t="inlineStr">
        <is>
          <t>Proceeds from sale of property, plant and equipment</t>
        </is>
      </c>
      <c r="B112" s="17" t="inlineStr">
        <is>
          <t>Rs Mn</t>
        </is>
      </c>
      <c r="AB112" s="19" t="n"/>
      <c r="AC112" s="72">
        <f>IF('Raw Data - financials'!AC149="","",'Raw Data - financials'!AC149)</f>
        <v/>
      </c>
      <c r="AD112" s="72">
        <f>IF('Raw Data - financials'!AD149="","",'Raw Data - financials'!AD149)</f>
        <v/>
      </c>
      <c r="AE112" s="72">
        <f>IF('Raw Data - financials'!AE149="","",'Raw Data - financials'!AE149)</f>
        <v/>
      </c>
      <c r="AF112" s="72">
        <f>IF('Raw Data - financials'!AF149="","",'Raw Data - financials'!AF149)</f>
        <v/>
      </c>
      <c r="AG112" s="72">
        <f>IF('Raw Data - financials'!AG149="","",'Raw Data - financials'!AG149)</f>
        <v/>
      </c>
      <c r="AH112" s="72">
        <f>IF('Raw Data - financials'!AH149="","",'Raw Data - financials'!AH149)</f>
        <v/>
      </c>
      <c r="AI112" s="72">
        <f>IF('Raw Data - financials'!AI149="","",'Raw Data - financials'!AI149)</f>
        <v/>
      </c>
      <c r="AJ112" s="72">
        <f>IF('Raw Data - financials'!AJ149="","",'Raw Data - financials'!AJ149)</f>
        <v/>
      </c>
      <c r="AK112" s="72" t="n">
        <v>0</v>
      </c>
      <c r="AL112" s="72" t="n">
        <v>0</v>
      </c>
      <c r="AM112" s="72" t="n">
        <v>0</v>
      </c>
      <c r="AN112" s="72" t="n">
        <v>0</v>
      </c>
    </row>
    <row r="113" outlineLevel="1">
      <c r="A113" s="20" t="inlineStr">
        <is>
          <t>Net purchase/(sale) of investments</t>
        </is>
      </c>
      <c r="B113" s="17" t="inlineStr">
        <is>
          <t>Rs Mn</t>
        </is>
      </c>
      <c r="AB113" s="19" t="n"/>
      <c r="AC113" s="72">
        <f>IF(COUNT('Raw Data - financials'!AC150,'Raw Data - financials'!AC152,'Raw Data - financials'!AC153,'Raw Data - financials'!AC154)=0,"",SUM('Raw Data - financials'!AC150,'Raw Data - financials'!AC152,'Raw Data - financials'!AC153,'Raw Data - financials'!AC154))</f>
        <v/>
      </c>
      <c r="AD113" s="72">
        <f>IF(COUNT('Raw Data - financials'!AD150,'Raw Data - financials'!AD152,'Raw Data - financials'!AD153,'Raw Data - financials'!AD154)=0,"",SUM('Raw Data - financials'!AD150,'Raw Data - financials'!AD152,'Raw Data - financials'!AD153,'Raw Data - financials'!AD154))</f>
        <v/>
      </c>
      <c r="AE113" s="72">
        <f>IF(COUNT('Raw Data - financials'!AE150,'Raw Data - financials'!AE152,'Raw Data - financials'!AE153,'Raw Data - financials'!AE154)=0,"",SUM('Raw Data - financials'!AE150,'Raw Data - financials'!AE152,'Raw Data - financials'!AE153,'Raw Data - financials'!AE154))</f>
        <v/>
      </c>
      <c r="AF113" s="72">
        <f>IF(COUNT('Raw Data - financials'!AF150,'Raw Data - financials'!AF152,'Raw Data - financials'!AF153,'Raw Data - financials'!AF154)=0,"",SUM('Raw Data - financials'!AF150,'Raw Data - financials'!AF152,'Raw Data - financials'!AF153,'Raw Data - financials'!AF154))</f>
        <v/>
      </c>
      <c r="AG113" s="72">
        <f>IF(COUNT('Raw Data - financials'!AG150,'Raw Data - financials'!AG152,'Raw Data - financials'!AG153,'Raw Data - financials'!AG154)=0,"",SUM('Raw Data - financials'!AG150,'Raw Data - financials'!AG152,'Raw Data - financials'!AG153,'Raw Data - financials'!AG154))</f>
        <v/>
      </c>
      <c r="AH113" s="72">
        <f>IF(COUNT('Raw Data - financials'!AH150,'Raw Data - financials'!AH152,'Raw Data - financials'!AH153,'Raw Data - financials'!AH154)=0,"",SUM('Raw Data - financials'!AH150,'Raw Data - financials'!AH152,'Raw Data - financials'!AH153,'Raw Data - financials'!AH154))</f>
        <v/>
      </c>
      <c r="AI113" s="72">
        <f>IF(COUNT('Raw Data - financials'!AI150,'Raw Data - financials'!AI152,'Raw Data - financials'!AI153,'Raw Data - financials'!AI154)=0,"",SUM('Raw Data - financials'!AI150,'Raw Data - financials'!AI152,'Raw Data - financials'!AI153,'Raw Data - financials'!AI154))</f>
        <v/>
      </c>
      <c r="AJ113" s="72">
        <f>IF(COUNT('Raw Data - financials'!AJ150,'Raw Data - financials'!AJ152,'Raw Data - financials'!AJ153,'Raw Data - financials'!AJ154)=0,"",SUM('Raw Data - financials'!AJ150,'Raw Data - financials'!AJ152,'Raw Data - financials'!AJ153,'Raw Data - financials'!AJ154))</f>
        <v/>
      </c>
      <c r="AK113" s="72">
        <f>IFERROR(-('Projections'!AK140-'Projections'!AJ140),"")</f>
        <v/>
      </c>
      <c r="AL113" s="72">
        <f>IFERROR(-('Projections'!AL140-'Projections'!AK140),"")</f>
        <v/>
      </c>
      <c r="AM113" s="72">
        <f>IFERROR(-('Projections'!AM140-'Projections'!AL140),"")</f>
        <v/>
      </c>
      <c r="AN113" s="72">
        <f>IFERROR(-('Projections'!AN140-'Projections'!AM140),"")</f>
        <v/>
      </c>
    </row>
    <row r="114" outlineLevel="1">
      <c r="A114" s="20" t="inlineStr">
        <is>
          <t>Investment in subsidiary / associate / business acquisitions</t>
        </is>
      </c>
      <c r="B114" s="17" t="inlineStr">
        <is>
          <t>Rs Mn</t>
        </is>
      </c>
      <c r="AB114" s="19" t="n"/>
      <c r="AC114" s="72">
        <f>IF(COUNT('Raw Data - financials'!AC151,'Raw Data - financials'!AC155,'Raw Data - financials'!AC156)=0,"",SUM('Raw Data - financials'!AC151,'Raw Data - financials'!AC155,'Raw Data - financials'!AC156))</f>
        <v/>
      </c>
      <c r="AD114" s="72">
        <f>IF(COUNT('Raw Data - financials'!AD151,'Raw Data - financials'!AD155,'Raw Data - financials'!AD156)=0,"",SUM('Raw Data - financials'!AD151,'Raw Data - financials'!AD155,'Raw Data - financials'!AD156))</f>
        <v/>
      </c>
      <c r="AE114" s="72">
        <f>IF(COUNT('Raw Data - financials'!AE151,'Raw Data - financials'!AE155,'Raw Data - financials'!AE156)=0,"",SUM('Raw Data - financials'!AE151,'Raw Data - financials'!AE155,'Raw Data - financials'!AE156))</f>
        <v/>
      </c>
      <c r="AF114" s="72">
        <f>IF(COUNT('Raw Data - financials'!AF151,'Raw Data - financials'!AF155,'Raw Data - financials'!AF156)=0,"",SUM('Raw Data - financials'!AF151,'Raw Data - financials'!AF155,'Raw Data - financials'!AF156))</f>
        <v/>
      </c>
      <c r="AG114" s="72">
        <f>IF(COUNT('Raw Data - financials'!AG151,'Raw Data - financials'!AG155,'Raw Data - financials'!AG156)=0,"",SUM('Raw Data - financials'!AG151,'Raw Data - financials'!AG155,'Raw Data - financials'!AG156))</f>
        <v/>
      </c>
      <c r="AH114" s="72">
        <f>IF(COUNT('Raw Data - financials'!AH151,'Raw Data - financials'!AH155,'Raw Data - financials'!AH156)=0,"",SUM('Raw Data - financials'!AH151,'Raw Data - financials'!AH155,'Raw Data - financials'!AH156))</f>
        <v/>
      </c>
      <c r="AI114" s="72">
        <f>IF(COUNT('Raw Data - financials'!AI151,'Raw Data - financials'!AI155,'Raw Data - financials'!AI156)=0,"",SUM('Raw Data - financials'!AI151,'Raw Data - financials'!AI155,'Raw Data - financials'!AI156))</f>
        <v/>
      </c>
      <c r="AJ114" s="72">
        <f>IF(COUNT('Raw Data - financials'!AJ151,'Raw Data - financials'!AJ155,'Raw Data - financials'!AJ156)=0,"",SUM('Raw Data - financials'!AJ151,'Raw Data - financials'!AJ155,'Raw Data - financials'!AJ156))</f>
        <v/>
      </c>
      <c r="AK114" s="72" t="n">
        <v>0</v>
      </c>
      <c r="AL114" s="72" t="n">
        <v>0</v>
      </c>
      <c r="AM114" s="72" t="n">
        <v>0</v>
      </c>
      <c r="AN114" s="72" t="n">
        <v>0</v>
      </c>
    </row>
    <row r="115" outlineLevel="1">
      <c r="A115" s="20" t="inlineStr">
        <is>
          <t>Interest received</t>
        </is>
      </c>
      <c r="B115" s="17" t="inlineStr">
        <is>
          <t>Rs Mn</t>
        </is>
      </c>
      <c r="AB115" s="19" t="n"/>
      <c r="AC115" s="72">
        <f>IF('Raw Data - financials'!AC157="","",'Raw Data - financials'!AC157)</f>
        <v/>
      </c>
      <c r="AD115" s="72">
        <f>IF('Raw Data - financials'!AD157="","",'Raw Data - financials'!AD157)</f>
        <v/>
      </c>
      <c r="AE115" s="72">
        <f>IF('Raw Data - financials'!AE157="","",'Raw Data - financials'!AE157)</f>
        <v/>
      </c>
      <c r="AF115" s="72">
        <f>IF('Raw Data - financials'!AF157="","",'Raw Data - financials'!AF157)</f>
        <v/>
      </c>
      <c r="AG115" s="72">
        <f>IF('Raw Data - financials'!AG157="","",'Raw Data - financials'!AG157)</f>
        <v/>
      </c>
      <c r="AH115" s="72">
        <f>IF('Raw Data - financials'!AH157="","",'Raw Data - financials'!AH157)</f>
        <v/>
      </c>
      <c r="AI115" s="72">
        <f>IF('Raw Data - financials'!AI157="","",'Raw Data - financials'!AI157)</f>
        <v/>
      </c>
      <c r="AJ115" s="72">
        <f>IF('Raw Data - financials'!AJ157="","",'Raw Data - financials'!AJ157)</f>
        <v/>
      </c>
      <c r="AK115" s="72">
        <f>IFERROR(AK7,"")</f>
        <v/>
      </c>
      <c r="AL115" s="72">
        <f>IFERROR(AL7,"")</f>
        <v/>
      </c>
      <c r="AM115" s="72">
        <f>IFERROR(AM7,"")</f>
        <v/>
      </c>
      <c r="AN115" s="72">
        <f>IFERROR(AN7,"")</f>
        <v/>
      </c>
    </row>
    <row r="116">
      <c r="A116" s="74" t="inlineStr">
        <is>
          <t>Net Cash Flow from Investing Activities (B)</t>
        </is>
      </c>
      <c r="B116" s="17" t="inlineStr">
        <is>
          <t>Rs Mn</t>
        </is>
      </c>
      <c r="AB116" s="19" t="n"/>
      <c r="AC116" s="76">
        <f>IFERROR(AC111+AC112+AC113+AC114+AC115,"")</f>
        <v/>
      </c>
      <c r="AD116" s="76">
        <f>IFERROR(AD111+AD112+AD113+AD114+AD115,"")</f>
        <v/>
      </c>
      <c r="AE116" s="76">
        <f>IFERROR(AE111+AE112+AE113+AE114+AE115,"")</f>
        <v/>
      </c>
      <c r="AF116" s="76">
        <f>IFERROR(AF111+AF112+AF113+AF114+AF115,"")</f>
        <v/>
      </c>
      <c r="AG116" s="76">
        <f>IFERROR(AG111+AG112+AG113+AG114+AG115,"")</f>
        <v/>
      </c>
      <c r="AH116" s="76">
        <f>IFERROR(AH111+AH112+AH113+AH114+AH115,"")</f>
        <v/>
      </c>
      <c r="AI116" s="76">
        <f>IFERROR(AI111+AI112+AI113+AI114+AI115,"")</f>
        <v/>
      </c>
      <c r="AJ116" s="76">
        <f>IFERROR(AJ111+AJ112+AJ113+AJ114+AJ115,"")</f>
        <v/>
      </c>
      <c r="AK116" s="76">
        <f>IFERROR(AK111+AK112+AK113+AK114+AK115,"")</f>
        <v/>
      </c>
      <c r="AL116" s="76">
        <f>IFERROR(AL111+AL112+AL113+AL114+AL115,"")</f>
        <v/>
      </c>
      <c r="AM116" s="76">
        <f>IFERROR(AM111+AM112+AM113+AM114+AM115,"")</f>
        <v/>
      </c>
      <c r="AN116" s="76">
        <f>IFERROR(AN111+AN112+AN113+AN114+AN115,"")</f>
        <v/>
      </c>
    </row>
    <row r="117">
      <c r="AB117" s="19" t="n"/>
    </row>
    <row r="118">
      <c r="A118" s="9" t="inlineStr">
        <is>
          <t>Financing activities</t>
        </is>
      </c>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46" t="n"/>
      <c r="AC118" s="9" t="n"/>
      <c r="AD118" s="9" t="n"/>
      <c r="AE118" s="9" t="n"/>
      <c r="AF118" s="9" t="n"/>
      <c r="AG118" s="9" t="n"/>
      <c r="AH118" s="9" t="n"/>
      <c r="AI118" s="9" t="n"/>
      <c r="AJ118" s="9" t="n"/>
      <c r="AK118" s="9" t="n"/>
      <c r="AL118" s="9" t="n"/>
      <c r="AM118" s="9" t="n"/>
      <c r="AN118" s="9" t="n"/>
    </row>
    <row r="119" outlineLevel="1">
      <c r="A119" s="20" t="inlineStr">
        <is>
          <t>Proceeds from issue of equity shares, net</t>
        </is>
      </c>
      <c r="B119" s="17" t="inlineStr">
        <is>
          <t>Rs Mn</t>
        </is>
      </c>
      <c r="AB119" s="19" t="n"/>
      <c r="AC119" s="72">
        <f>IF(COUNT('Raw Data - financials'!AC161,'Raw Data - financials'!AC162,'Raw Data - financials'!AC163,'Raw Data - financials'!AC164,'Raw Data - financials'!AC166,'Raw Data - financials'!AC167)=0,"",SUM('Raw Data - financials'!AC161,'Raw Data - financials'!AC162,'Raw Data - financials'!AC163,'Raw Data - financials'!AC164,'Raw Data - financials'!AC166,'Raw Data - financials'!AC167))</f>
        <v/>
      </c>
      <c r="AD119" s="72">
        <f>IF(COUNT('Raw Data - financials'!AD161,'Raw Data - financials'!AD162,'Raw Data - financials'!AD163,'Raw Data - financials'!AD164,'Raw Data - financials'!AD166,'Raw Data - financials'!AD167)=0,"",SUM('Raw Data - financials'!AD161,'Raw Data - financials'!AD162,'Raw Data - financials'!AD163,'Raw Data - financials'!AD164,'Raw Data - financials'!AD166,'Raw Data - financials'!AD167))</f>
        <v/>
      </c>
      <c r="AE119" s="72">
        <f>IF(COUNT('Raw Data - financials'!AE161,'Raw Data - financials'!AE162,'Raw Data - financials'!AE163,'Raw Data - financials'!AE164,'Raw Data - financials'!AE166,'Raw Data - financials'!AE167)=0,"",SUM('Raw Data - financials'!AE161,'Raw Data - financials'!AE162,'Raw Data - financials'!AE163,'Raw Data - financials'!AE164,'Raw Data - financials'!AE166,'Raw Data - financials'!AE167))</f>
        <v/>
      </c>
      <c r="AF119" s="72">
        <f>IF(COUNT('Raw Data - financials'!AF161,'Raw Data - financials'!AF162,'Raw Data - financials'!AF163,'Raw Data - financials'!AF164,'Raw Data - financials'!AF166,'Raw Data - financials'!AF167)=0,"",SUM('Raw Data - financials'!AF161,'Raw Data - financials'!AF162,'Raw Data - financials'!AF163,'Raw Data - financials'!AF164,'Raw Data - financials'!AF166,'Raw Data - financials'!AF167))</f>
        <v/>
      </c>
      <c r="AG119" s="72">
        <f>IF(COUNT('Raw Data - financials'!AG161,'Raw Data - financials'!AG162,'Raw Data - financials'!AG163,'Raw Data - financials'!AG164,'Raw Data - financials'!AG166,'Raw Data - financials'!AG167)=0,"",SUM('Raw Data - financials'!AG161,'Raw Data - financials'!AG162,'Raw Data - financials'!AG163,'Raw Data - financials'!AG164,'Raw Data - financials'!AG166,'Raw Data - financials'!AG167))</f>
        <v/>
      </c>
      <c r="AH119" s="72">
        <f>IF(COUNT('Raw Data - financials'!AH161,'Raw Data - financials'!AH162,'Raw Data - financials'!AH163,'Raw Data - financials'!AH164,'Raw Data - financials'!AH166,'Raw Data - financials'!AH167)=0,"",SUM('Raw Data - financials'!AH161,'Raw Data - financials'!AH162,'Raw Data - financials'!AH163,'Raw Data - financials'!AH164,'Raw Data - financials'!AH166,'Raw Data - financials'!AH167))</f>
        <v/>
      </c>
      <c r="AI119" s="72">
        <f>IF(COUNT('Raw Data - financials'!AI161,'Raw Data - financials'!AI162,'Raw Data - financials'!AI163,'Raw Data - financials'!AI164,'Raw Data - financials'!AI166,'Raw Data - financials'!AI167)=0,"",SUM('Raw Data - financials'!AI161,'Raw Data - financials'!AI162,'Raw Data - financials'!AI163,'Raw Data - financials'!AI164,'Raw Data - financials'!AI166,'Raw Data - financials'!AI167))</f>
        <v/>
      </c>
      <c r="AJ119" s="72">
        <f>IF(COUNT('Raw Data - financials'!AJ161,'Raw Data - financials'!AJ162,'Raw Data - financials'!AJ163,'Raw Data - financials'!AJ164,'Raw Data - financials'!AJ166,'Raw Data - financials'!AJ167)=0,"",SUM('Raw Data - financials'!AJ161,'Raw Data - financials'!AJ162,'Raw Data - financials'!AJ163,'Raw Data - financials'!AJ164,'Raw Data - financials'!AJ166,'Raw Data - financials'!AJ167))</f>
        <v/>
      </c>
      <c r="AK119" s="72">
        <f>IFERROR(AK68-AJ68,"")</f>
        <v/>
      </c>
      <c r="AL119" s="72">
        <f>IFERROR(AL68-AK68,"")</f>
        <v/>
      </c>
      <c r="AM119" s="72">
        <f>IFERROR(AM68-AL68,"")</f>
        <v/>
      </c>
      <c r="AN119" s="72">
        <f>IFERROR(AN68-AM68,"")</f>
        <v/>
      </c>
    </row>
    <row r="120" outlineLevel="1">
      <c r="A120" s="20" t="inlineStr">
        <is>
          <t>Proceeds/(repayment) of borrowings, net</t>
        </is>
      </c>
      <c r="B120" s="17" t="inlineStr">
        <is>
          <t>Rs Mn</t>
        </is>
      </c>
      <c r="AB120" s="19" t="n"/>
      <c r="AC120" s="72">
        <f>IF(COUNT('Raw Data - financials'!AC168,'Raw Data - financials'!AC169,'Raw Data - financials'!AC170,'Raw Data - financials'!AC171)=0,"",SUM('Raw Data - financials'!AC168,'Raw Data - financials'!AC169,'Raw Data - financials'!AC170,'Raw Data - financials'!AC171))</f>
        <v/>
      </c>
      <c r="AD120" s="72">
        <f>IF(COUNT('Raw Data - financials'!AD168,'Raw Data - financials'!AD169,'Raw Data - financials'!AD170,'Raw Data - financials'!AD171)=0,"",SUM('Raw Data - financials'!AD168,'Raw Data - financials'!AD169,'Raw Data - financials'!AD170,'Raw Data - financials'!AD171))</f>
        <v/>
      </c>
      <c r="AE120" s="72">
        <f>IF(COUNT('Raw Data - financials'!AE168,'Raw Data - financials'!AE169,'Raw Data - financials'!AE170,'Raw Data - financials'!AE171)=0,"",SUM('Raw Data - financials'!AE168,'Raw Data - financials'!AE169,'Raw Data - financials'!AE170,'Raw Data - financials'!AE171))</f>
        <v/>
      </c>
      <c r="AF120" s="72">
        <f>IF(COUNT('Raw Data - financials'!AF168,'Raw Data - financials'!AF169,'Raw Data - financials'!AF170,'Raw Data - financials'!AF171)=0,"",SUM('Raw Data - financials'!AF168,'Raw Data - financials'!AF169,'Raw Data - financials'!AF170,'Raw Data - financials'!AF171))</f>
        <v/>
      </c>
      <c r="AG120" s="72">
        <f>IF(COUNT('Raw Data - financials'!AG168,'Raw Data - financials'!AG169,'Raw Data - financials'!AG170,'Raw Data - financials'!AG171)=0,"",SUM('Raw Data - financials'!AG168,'Raw Data - financials'!AG169,'Raw Data - financials'!AG170,'Raw Data - financials'!AG171))</f>
        <v/>
      </c>
      <c r="AH120" s="72">
        <f>IF(COUNT('Raw Data - financials'!AH168,'Raw Data - financials'!AH169,'Raw Data - financials'!AH170,'Raw Data - financials'!AH171)=0,"",SUM('Raw Data - financials'!AH168,'Raw Data - financials'!AH169,'Raw Data - financials'!AH170,'Raw Data - financials'!AH171))</f>
        <v/>
      </c>
      <c r="AI120" s="72">
        <f>IF(COUNT('Raw Data - financials'!AI168,'Raw Data - financials'!AI169,'Raw Data - financials'!AI170,'Raw Data - financials'!AI171)=0,"",SUM('Raw Data - financials'!AI168,'Raw Data - financials'!AI169,'Raw Data - financials'!AI170,'Raw Data - financials'!AI171))</f>
        <v/>
      </c>
      <c r="AJ120" s="72">
        <f>IF(COUNT('Raw Data - financials'!AJ168,'Raw Data - financials'!AJ169,'Raw Data - financials'!AJ170,'Raw Data - financials'!AJ171)=0,"",SUM('Raw Data - financials'!AJ168,'Raw Data - financials'!AJ169,'Raw Data - financials'!AJ170,'Raw Data - financials'!AJ171))</f>
        <v/>
      </c>
      <c r="AK120" s="72">
        <f>IFERROR('Projections'!AK154-'Projections'!AJ154,"")</f>
        <v/>
      </c>
      <c r="AL120" s="72">
        <f>IFERROR('Projections'!AL154-'Projections'!AK154,"")</f>
        <v/>
      </c>
      <c r="AM120" s="72">
        <f>IFERROR('Projections'!AM154-'Projections'!AL154,"")</f>
        <v/>
      </c>
      <c r="AN120" s="72">
        <f>IFERROR('Projections'!AN154-'Projections'!AM154,"")</f>
        <v/>
      </c>
    </row>
    <row r="121" outlineLevel="1">
      <c r="A121" s="20" t="inlineStr">
        <is>
          <t>Net movement in lease liabilities</t>
        </is>
      </c>
      <c r="B121" s="17" t="inlineStr">
        <is>
          <t>Rs Mn</t>
        </is>
      </c>
      <c r="AB121" s="19" t="n"/>
      <c r="AC121" s="72">
        <f>IF('Raw Data - financials'!AC173="","",'Raw Data - financials'!AC173)</f>
        <v/>
      </c>
      <c r="AD121" s="72">
        <f>IF('Raw Data - financials'!AD173="","",'Raw Data - financials'!AD173)</f>
        <v/>
      </c>
      <c r="AE121" s="72">
        <f>IF('Raw Data - financials'!AE173="","",'Raw Data - financials'!AE173)</f>
        <v/>
      </c>
      <c r="AF121" s="72">
        <f>IF('Raw Data - financials'!AF173="","",'Raw Data - financials'!AF173)</f>
        <v/>
      </c>
      <c r="AG121" s="72">
        <f>IF('Raw Data - financials'!AG173="","",'Raw Data - financials'!AG173)</f>
        <v/>
      </c>
      <c r="AH121" s="72">
        <f>IF('Raw Data - financials'!AH173="","",'Raw Data - financials'!AH173)</f>
        <v/>
      </c>
      <c r="AI121" s="72">
        <f>IF('Raw Data - financials'!AI173="","",'Raw Data - financials'!AI173)</f>
        <v/>
      </c>
      <c r="AJ121" s="72">
        <f>IF('Raw Data - financials'!AJ173="","",'Raw Data - financials'!AJ173)</f>
        <v/>
      </c>
      <c r="AK121" s="72">
        <f>IFERROR('Projections'!AK156-'Projections'!AJ156,"")</f>
        <v/>
      </c>
      <c r="AL121" s="72">
        <f>IFERROR('Projections'!AL156-'Projections'!AK156,"")</f>
        <v/>
      </c>
      <c r="AM121" s="72">
        <f>IFERROR('Projections'!AM156-'Projections'!AL156,"")</f>
        <v/>
      </c>
      <c r="AN121" s="72">
        <f>IFERROR('Projections'!AN156-'Projections'!AM156,"")</f>
        <v/>
      </c>
    </row>
    <row r="122" outlineLevel="1">
      <c r="A122" s="20" t="inlineStr">
        <is>
          <t>Interest paid</t>
        </is>
      </c>
      <c r="B122" s="17" t="inlineStr">
        <is>
          <t>Rs Mn</t>
        </is>
      </c>
      <c r="AB122" s="19" t="n"/>
      <c r="AC122" s="72">
        <f>IF(COUNT('Raw Data - financials'!AC172,'Raw Data - financials'!AC174)=0,"",SUM('Raw Data - financials'!AC172,'Raw Data - financials'!AC174))</f>
        <v/>
      </c>
      <c r="AD122" s="72">
        <f>IF(COUNT('Raw Data - financials'!AD172,'Raw Data - financials'!AD174)=0,"",SUM('Raw Data - financials'!AD172,'Raw Data - financials'!AD174))</f>
        <v/>
      </c>
      <c r="AE122" s="72">
        <f>IF(COUNT('Raw Data - financials'!AE172,'Raw Data - financials'!AE174)=0,"",SUM('Raw Data - financials'!AE172,'Raw Data - financials'!AE174))</f>
        <v/>
      </c>
      <c r="AF122" s="72">
        <f>IF(COUNT('Raw Data - financials'!AF172,'Raw Data - financials'!AF174)=0,"",SUM('Raw Data - financials'!AF172,'Raw Data - financials'!AF174))</f>
        <v/>
      </c>
      <c r="AG122" s="72">
        <f>IF(COUNT('Raw Data - financials'!AG172,'Raw Data - financials'!AG174)=0,"",SUM('Raw Data - financials'!AG172,'Raw Data - financials'!AG174))</f>
        <v/>
      </c>
      <c r="AH122" s="72">
        <f>IF(COUNT('Raw Data - financials'!AH172,'Raw Data - financials'!AH174)=0,"",SUM('Raw Data - financials'!AH172,'Raw Data - financials'!AH174))</f>
        <v/>
      </c>
      <c r="AI122" s="72">
        <f>IF(COUNT('Raw Data - financials'!AI172,'Raw Data - financials'!AI174)=0,"",SUM('Raw Data - financials'!AI172,'Raw Data - financials'!AI174))</f>
        <v/>
      </c>
      <c r="AJ122" s="72">
        <f>IF(COUNT('Raw Data - financials'!AJ172,'Raw Data - financials'!AJ174)=0,"",SUM('Raw Data - financials'!AJ172,'Raw Data - financials'!AJ174))</f>
        <v/>
      </c>
      <c r="AK122" s="72">
        <f>IFERROR(-AK15,"")</f>
        <v/>
      </c>
      <c r="AL122" s="72">
        <f>IFERROR(-AL15,"")</f>
        <v/>
      </c>
      <c r="AM122" s="72">
        <f>IFERROR(-AM15,"")</f>
        <v/>
      </c>
      <c r="AN122" s="72">
        <f>IFERROR(-AN15,"")</f>
        <v/>
      </c>
    </row>
    <row r="123">
      <c r="A123" s="74" t="inlineStr">
        <is>
          <t>Net Cash Flow from Financing Activities (C)</t>
        </is>
      </c>
      <c r="B123" s="17" t="inlineStr">
        <is>
          <t>Rs Mn</t>
        </is>
      </c>
      <c r="AB123" s="19" t="n"/>
      <c r="AC123" s="76">
        <f>IFERROR(AC119+AC120+AC121+AC122,"")</f>
        <v/>
      </c>
      <c r="AD123" s="76">
        <f>IFERROR(AD119+AD120+AD121+AD122,"")</f>
        <v/>
      </c>
      <c r="AE123" s="76">
        <f>IFERROR(AE119+AE120+AE121+AE122,"")</f>
        <v/>
      </c>
      <c r="AF123" s="76">
        <f>IFERROR(AF119+AF120+AF121+AF122,"")</f>
        <v/>
      </c>
      <c r="AG123" s="76">
        <f>IFERROR(AG119+AG120+AG121+AG122,"")</f>
        <v/>
      </c>
      <c r="AH123" s="76">
        <f>IFERROR(AH119+AH120+AH121+AH122,"")</f>
        <v/>
      </c>
      <c r="AI123" s="76">
        <f>IFERROR(AI119+AI120+AI121+AI122,"")</f>
        <v/>
      </c>
      <c r="AJ123" s="76">
        <f>IFERROR(AJ119+AJ120+AJ121+AJ122,"")</f>
        <v/>
      </c>
      <c r="AK123" s="76">
        <f>IFERROR(AK119+AK120+AK121+AK122,"")</f>
        <v/>
      </c>
      <c r="AL123" s="76">
        <f>IFERROR(AL119+AL120+AL121+AL122,"")</f>
        <v/>
      </c>
      <c r="AM123" s="76">
        <f>IFERROR(AM119+AM120+AM121+AM122,"")</f>
        <v/>
      </c>
      <c r="AN123" s="76">
        <f>IFERROR(AN119+AN120+AN121+AN122,"")</f>
        <v/>
      </c>
    </row>
    <row r="124">
      <c r="AB124" s="19" t="n"/>
    </row>
    <row r="125">
      <c r="A125" s="74" t="inlineStr">
        <is>
          <t>Net Increase/(Decrease) in Cash (A+B+C)</t>
        </is>
      </c>
      <c r="B125" s="17" t="inlineStr">
        <is>
          <t>Rs Mn</t>
        </is>
      </c>
      <c r="AB125" s="19" t="n"/>
      <c r="AC125" s="76">
        <f>IFERROR(AC108+AC116+AC123,"")</f>
        <v/>
      </c>
      <c r="AD125" s="76">
        <f>IFERROR(AD108+AD116+AD123,"")</f>
        <v/>
      </c>
      <c r="AE125" s="76">
        <f>IFERROR(AE108+AE116+AE123,"")</f>
        <v/>
      </c>
      <c r="AF125" s="76">
        <f>IFERROR(AF108+AF116+AF123,"")</f>
        <v/>
      </c>
      <c r="AG125" s="76">
        <f>IFERROR(AG108+AG116+AG123,"")</f>
        <v/>
      </c>
      <c r="AH125" s="76">
        <f>IFERROR(AH108+AH116+AH123,"")</f>
        <v/>
      </c>
      <c r="AI125" s="76">
        <f>IFERROR(AI108+AI116+AI123,"")</f>
        <v/>
      </c>
      <c r="AJ125" s="76">
        <f>IFERROR(AJ108+AJ116+AJ123,"")</f>
        <v/>
      </c>
      <c r="AK125" s="76">
        <f>IFERROR(AK108+AK116+AK123,"")</f>
        <v/>
      </c>
      <c r="AL125" s="76">
        <f>IFERROR(AL108+AL116+AL123,"")</f>
        <v/>
      </c>
      <c r="AM125" s="76">
        <f>IFERROR(AM108+AM116+AM123,"")</f>
        <v/>
      </c>
      <c r="AN125" s="76">
        <f>IFERROR(AN108+AN116+AN123,"")</f>
        <v/>
      </c>
    </row>
    <row r="126" outlineLevel="1">
      <c r="A126" s="20" t="inlineStr">
        <is>
          <t>Net foreign exchange difference</t>
        </is>
      </c>
      <c r="B126" s="17" t="inlineStr">
        <is>
          <t>Rs Mn</t>
        </is>
      </c>
      <c r="AB126" s="19" t="n"/>
      <c r="AC126" s="72">
        <f>IF('Raw Data - financials'!AC178="","",'Raw Data - financials'!AC178)</f>
        <v/>
      </c>
      <c r="AD126" s="72">
        <f>IF('Raw Data - financials'!AD178="","",'Raw Data - financials'!AD178)</f>
        <v/>
      </c>
      <c r="AE126" s="72">
        <f>IF('Raw Data - financials'!AE178="","",'Raw Data - financials'!AE178)</f>
        <v/>
      </c>
      <c r="AF126" s="72">
        <f>IF('Raw Data - financials'!AF178="","",'Raw Data - financials'!AF178)</f>
        <v/>
      </c>
      <c r="AG126" s="72">
        <f>IF('Raw Data - financials'!AG178="","",'Raw Data - financials'!AG178)</f>
        <v/>
      </c>
      <c r="AH126" s="72">
        <f>IF('Raw Data - financials'!AH178="","",'Raw Data - financials'!AH178)</f>
        <v/>
      </c>
      <c r="AI126" s="72">
        <f>IF('Raw Data - financials'!AI178="","",'Raw Data - financials'!AI178)</f>
        <v/>
      </c>
      <c r="AJ126" s="72">
        <f>IF('Raw Data - financials'!AJ178="","",'Raw Data - financials'!AJ178)</f>
        <v/>
      </c>
      <c r="AK126" s="72" t="n">
        <v>0</v>
      </c>
      <c r="AL126" s="72" t="n">
        <v>0</v>
      </c>
      <c r="AM126" s="72" t="n">
        <v>0</v>
      </c>
      <c r="AN126" s="72" t="n">
        <v>0</v>
      </c>
    </row>
    <row r="127" outlineLevel="1">
      <c r="A127" s="20" t="inlineStr">
        <is>
          <t>Cash and cash equivalents at the beginning of the year</t>
        </is>
      </c>
      <c r="B127" s="17" t="inlineStr">
        <is>
          <t>Rs Mn</t>
        </is>
      </c>
      <c r="AB127" s="19" t="n"/>
      <c r="AC127" s="72">
        <f>IFERROR(AB57,"")</f>
        <v/>
      </c>
      <c r="AD127" s="72">
        <f>IFERROR(AC57,"")</f>
        <v/>
      </c>
      <c r="AE127" s="72">
        <f>IFERROR(AD57,"")</f>
        <v/>
      </c>
      <c r="AF127" s="72">
        <f>IFERROR(AE57,"")</f>
        <v/>
      </c>
      <c r="AG127" s="72">
        <f>IFERROR(AF57,"")</f>
        <v/>
      </c>
      <c r="AH127" s="72">
        <f>IFERROR(AG57,"")</f>
        <v/>
      </c>
      <c r="AI127" s="72">
        <f>IFERROR(AH57,"")</f>
        <v/>
      </c>
      <c r="AJ127" s="72">
        <f>IFERROR(AI57,"")</f>
        <v/>
      </c>
      <c r="AK127" s="72">
        <f>IFERROR(AJ57,"")</f>
        <v/>
      </c>
      <c r="AL127" s="72">
        <f>IFERROR(AK57,"")</f>
        <v/>
      </c>
      <c r="AM127" s="72">
        <f>IFERROR(AL57,"")</f>
        <v/>
      </c>
      <c r="AN127" s="72">
        <f>IFERROR(AM57,"")</f>
        <v/>
      </c>
    </row>
    <row r="128">
      <c r="A128" s="74" t="inlineStr">
        <is>
          <t>Cash and Cash Equivalents at the End of the Year</t>
        </is>
      </c>
      <c r="B128" s="17" t="inlineStr">
        <is>
          <t>Rs Mn</t>
        </is>
      </c>
      <c r="AB128" s="19" t="n"/>
      <c r="AC128" s="76">
        <f>IFERROR(AC125+AC126+AC127,"")</f>
        <v/>
      </c>
      <c r="AD128" s="76">
        <f>IFERROR(AD125+AD126+AD127,"")</f>
        <v/>
      </c>
      <c r="AE128" s="76">
        <f>IFERROR(AE125+AE126+AE127,"")</f>
        <v/>
      </c>
      <c r="AF128" s="76">
        <f>IFERROR(AF125+AF126+AF127,"")</f>
        <v/>
      </c>
      <c r="AG128" s="76">
        <f>IFERROR(AG125+AG126+AG127,"")</f>
        <v/>
      </c>
      <c r="AH128" s="76">
        <f>IFERROR(AH125+AH126+AH127,"")</f>
        <v/>
      </c>
      <c r="AI128" s="76">
        <f>IFERROR(AI125+AI126+AI127,"")</f>
        <v/>
      </c>
      <c r="AJ128" s="76">
        <f>IFERROR(AJ125+AJ126+AJ127,"")</f>
        <v/>
      </c>
      <c r="AK128" s="76">
        <f>IFERROR(AK125+AK126+AK127,"")</f>
        <v/>
      </c>
      <c r="AL128" s="76">
        <f>IFERROR(AL125+AL126+AL127,"")</f>
        <v/>
      </c>
      <c r="AM128" s="76">
        <f>IFERROR(AM125+AM126+AM127,"")</f>
        <v/>
      </c>
      <c r="AN128" s="76">
        <f>IFERROR(AN125+AN126+AN127,"")</f>
        <v/>
      </c>
    </row>
    <row r="129" outlineLevel="1">
      <c r="A129" s="20" t="inlineStr">
        <is>
          <t>Check (CF ending cash - Balance Sheet cash)</t>
        </is>
      </c>
      <c r="B129" s="17" t="inlineStr">
        <is>
          <t>Rs Mn</t>
        </is>
      </c>
      <c r="AB129" s="19" t="n"/>
      <c r="AC129" s="72">
        <f>IFERROR(AC128-AC57,"")</f>
        <v/>
      </c>
      <c r="AD129" s="72">
        <f>IFERROR(AD128-AD57,"")</f>
        <v/>
      </c>
      <c r="AE129" s="72">
        <f>IFERROR(AE128-AE57,"")</f>
        <v/>
      </c>
      <c r="AF129" s="72">
        <f>IFERROR(AF128-AF57,"")</f>
        <v/>
      </c>
      <c r="AG129" s="72">
        <f>IFERROR(AG128-AG57,"")</f>
        <v/>
      </c>
      <c r="AH129" s="72">
        <f>IFERROR(AH128-AH57,"")</f>
        <v/>
      </c>
      <c r="AI129" s="72">
        <f>IFERROR(AI128-AI57,"")</f>
        <v/>
      </c>
      <c r="AJ129" s="72">
        <f>IFERROR(AJ128-AJ57,"")</f>
        <v/>
      </c>
      <c r="AK129" s="72">
        <f>IFERROR(AK128-AK57,"")</f>
        <v/>
      </c>
      <c r="AL129" s="72">
        <f>IFERROR(AL128-AL57,"")</f>
        <v/>
      </c>
      <c r="AM129" s="72">
        <f>IFERROR(AM128-AM57,"")</f>
        <v/>
      </c>
      <c r="AN129" s="72">
        <f>IFERROR(AN128-AN57,"")</f>
        <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2026-07-22T12:06:08Z</dcterms:created>
  <dcterms:modified xmlns:dcterms="http://purl.org/dc/terms/" xmlns:xsi="http://www.w3.org/2001/XMLSchema-instance" xsi:type="dcterms:W3CDTF">2026-07-30T18:51:22Z</dcterms:modified>
  <cp:lastModifiedBy>Parth Shah</cp:lastModifiedBy>
  <cp:lastPrinted>2026-07-30T09:12:30Z</cp:lastPrinted>
</cp:coreProperties>
</file>